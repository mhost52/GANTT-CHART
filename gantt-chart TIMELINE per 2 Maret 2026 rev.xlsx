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0" windowWidth="20730" windowHeight="1176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14" l="1"/>
  <c r="A14" i="14" s="1"/>
  <c r="A15" i="14" s="1"/>
  <c r="A16" i="14" s="1"/>
  <c r="A17" i="14" s="1"/>
  <c r="F115" i="9"/>
  <c r="F114" i="9"/>
  <c r="I114" i="9" s="1"/>
  <c r="F113" i="9"/>
  <c r="F112" i="9"/>
  <c r="F111" i="9"/>
  <c r="F110" i="9"/>
  <c r="F109" i="9"/>
  <c r="F108" i="9"/>
  <c r="I108" i="9" s="1"/>
  <c r="F107" i="9"/>
  <c r="F106" i="9"/>
  <c r="F105" i="9"/>
  <c r="I105" i="9" s="1"/>
  <c r="F104" i="9"/>
  <c r="I104" i="9" s="1"/>
  <c r="F103" i="9"/>
  <c r="I103" i="9" s="1"/>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F87" i="9"/>
  <c r="I87" i="9" s="1"/>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E26" i="9"/>
  <c r="F26" i="9" s="1"/>
  <c r="I26" i="9" s="1"/>
  <c r="F23" i="9"/>
  <c r="I23" i="9" s="1"/>
  <c r="F22" i="9"/>
  <c r="E24" i="9" s="1"/>
  <c r="F24" i="9" s="1"/>
  <c r="I24" i="9" s="1"/>
  <c r="F21" i="9"/>
  <c r="I21" i="9" s="1"/>
  <c r="F20" i="9"/>
  <c r="I20" i="9" s="1"/>
  <c r="F19" i="9"/>
  <c r="I19" i="9" s="1"/>
  <c r="F18" i="9"/>
  <c r="I18" i="9" s="1"/>
  <c r="F17" i="9"/>
  <c r="I17" i="9" s="1"/>
  <c r="F16" i="9"/>
  <c r="I16" i="9" s="1"/>
  <c r="F15" i="9"/>
  <c r="I15" i="9" s="1"/>
  <c r="F14" i="9"/>
  <c r="I14" i="9" s="1"/>
  <c r="F13" i="9"/>
  <c r="I13" i="9" s="1"/>
  <c r="F12" i="9"/>
  <c r="I12" i="9" s="1"/>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K6" i="9"/>
  <c r="L6" i="9" s="1"/>
  <c r="E25" i="9" l="1"/>
  <c r="F25" i="9" s="1"/>
  <c r="I25" i="9" s="1"/>
  <c r="I22" i="9"/>
  <c r="K5" i="9"/>
  <c r="K4" i="9"/>
  <c r="K7" i="9"/>
  <c r="A24" i="9"/>
  <c r="A25" i="9" s="1"/>
  <c r="A26" i="9" s="1"/>
  <c r="A27" i="9" s="1"/>
  <c r="A28" i="9" s="1"/>
  <c r="A29" i="9" s="1"/>
  <c r="A30" i="9" s="1"/>
  <c r="A31" i="9" s="1"/>
  <c r="A32" i="9" s="1"/>
  <c r="A33" i="9" s="1"/>
  <c r="A34" i="9" s="1"/>
  <c r="A35" i="9" s="1"/>
  <c r="A36" i="9" s="1"/>
  <c r="A37" i="9" s="1"/>
  <c r="M6" i="9"/>
  <c r="L7" i="9"/>
  <c r="E27" i="9"/>
  <c r="F27" i="9" s="1"/>
  <c r="I27" i="9" s="1"/>
  <c r="E28" i="9"/>
  <c r="F28" i="9" s="1"/>
  <c r="E29" i="9"/>
  <c r="F29" i="9" s="1"/>
  <c r="N6" i="9" l="1"/>
  <c r="M7" i="9"/>
  <c r="I29" i="9"/>
  <c r="E31" i="9"/>
  <c r="F31" i="9" s="1"/>
  <c r="I28" i="9"/>
  <c r="E30" i="9"/>
  <c r="F30" i="9" s="1"/>
  <c r="E32" i="9" s="1"/>
  <c r="N7" i="9" l="1"/>
  <c r="O6" i="9"/>
  <c r="I31" i="9"/>
  <c r="I30" i="9"/>
  <c r="F32" i="9"/>
  <c r="O7" i="9" l="1"/>
  <c r="P6" i="9"/>
  <c r="I32" i="9"/>
  <c r="E34" i="9"/>
  <c r="F34" i="9" s="1"/>
  <c r="E33" i="9"/>
  <c r="F33" i="9" s="1"/>
  <c r="Q6" i="9" l="1"/>
  <c r="P7" i="9"/>
  <c r="I33" i="9"/>
  <c r="E35" i="9"/>
  <c r="F35" i="9" s="1"/>
  <c r="E37" i="9" s="1"/>
  <c r="F37" i="9" s="1"/>
  <c r="I37" i="9" s="1"/>
  <c r="I34" i="9"/>
  <c r="E36" i="9"/>
  <c r="F36" i="9" s="1"/>
  <c r="R6" i="9" l="1"/>
  <c r="Q7" i="9"/>
  <c r="I36" i="9"/>
  <c r="E38" i="9"/>
  <c r="F38" i="9" s="1"/>
  <c r="I35" i="9"/>
  <c r="R7" i="9" l="1"/>
  <c r="R5" i="9"/>
  <c r="R4" i="9"/>
  <c r="S6" i="9"/>
  <c r="I38" i="9"/>
  <c r="E40" i="9"/>
  <c r="F40" i="9" s="1"/>
  <c r="T6" i="9" l="1"/>
  <c r="S7" i="9"/>
  <c r="I40" i="9"/>
  <c r="E42" i="9"/>
  <c r="F42" i="9" s="1"/>
  <c r="E44" i="9" s="1"/>
  <c r="U6" i="9" l="1"/>
  <c r="T7" i="9"/>
  <c r="I42" i="9"/>
  <c r="F44" i="9"/>
  <c r="V6" i="9" l="1"/>
  <c r="U7" i="9"/>
  <c r="I44" i="9"/>
  <c r="E47" i="9"/>
  <c r="F47" i="9" s="1"/>
  <c r="V7" i="9" l="1"/>
  <c r="W6" i="9"/>
  <c r="I47" i="9"/>
  <c r="E49" i="9"/>
  <c r="F49" i="9" s="1"/>
  <c r="W7" i="9" l="1"/>
  <c r="X6" i="9"/>
  <c r="I49" i="9"/>
  <c r="E51" i="9"/>
  <c r="F51" i="9" s="1"/>
  <c r="Y6" i="9" l="1"/>
  <c r="X7" i="9"/>
  <c r="I51" i="9"/>
  <c r="E53" i="9"/>
  <c r="F53" i="9" s="1"/>
  <c r="Z6" i="9" l="1"/>
  <c r="Y7" i="9"/>
  <c r="Y5" i="9"/>
  <c r="Y4" i="9"/>
  <c r="I53" i="9"/>
  <c r="E55" i="9"/>
  <c r="F55" i="9" s="1"/>
  <c r="E57" i="9" s="1"/>
  <c r="Z7" i="9" l="1"/>
  <c r="AA6" i="9"/>
  <c r="I55" i="9"/>
  <c r="F57" i="9"/>
  <c r="E59" i="9" s="1"/>
  <c r="AB6" i="9" l="1"/>
  <c r="AA7" i="9"/>
  <c r="I57" i="9"/>
  <c r="AC6" i="9" l="1"/>
  <c r="AB7" i="9"/>
  <c r="AD6" i="9" l="1"/>
  <c r="AC7" i="9"/>
  <c r="AD7" i="9" l="1"/>
  <c r="AE6" i="9"/>
  <c r="AE7" i="9" l="1"/>
  <c r="AF6" i="9"/>
  <c r="AF5" i="9" l="1"/>
  <c r="AF4" i="9"/>
  <c r="AG6" i="9"/>
  <c r="AF7" i="9"/>
  <c r="AH6" i="9" l="1"/>
  <c r="AG7" i="9"/>
  <c r="AH7" i="9" l="1"/>
  <c r="AI6" i="9"/>
  <c r="AJ6" i="9" l="1"/>
  <c r="AI7" i="9"/>
  <c r="AK6" i="9" l="1"/>
  <c r="AJ7" i="9"/>
  <c r="AL6" i="9" l="1"/>
  <c r="AK7" i="9"/>
  <c r="AL7" i="9" l="1"/>
  <c r="AM6" i="9"/>
  <c r="AM7" i="9" l="1"/>
  <c r="AN6" i="9"/>
  <c r="AM5" i="9"/>
  <c r="AM4" i="9"/>
  <c r="AO6" i="9" l="1"/>
  <c r="AN7" i="9"/>
  <c r="AP6" i="9" l="1"/>
  <c r="AO7" i="9"/>
  <c r="AP7" i="9" l="1"/>
  <c r="AQ6" i="9"/>
  <c r="AR6" i="9" l="1"/>
  <c r="AQ7" i="9"/>
  <c r="AS6" i="9" l="1"/>
  <c r="AR7" i="9"/>
  <c r="AT6" i="9" l="1"/>
  <c r="AS7" i="9"/>
  <c r="AT7" i="9" l="1"/>
  <c r="AT5" i="9"/>
  <c r="AT4" i="9"/>
  <c r="AU6" i="9"/>
  <c r="AU7" i="9" l="1"/>
  <c r="AV6" i="9"/>
  <c r="AW6" i="9" l="1"/>
  <c r="AV7" i="9"/>
  <c r="AX6" i="9" l="1"/>
  <c r="AW7" i="9"/>
  <c r="AX7" i="9" l="1"/>
  <c r="AY6" i="9"/>
  <c r="AZ6" i="9" l="1"/>
  <c r="AY7" i="9"/>
  <c r="BA6" i="9" l="1"/>
  <c r="AZ7" i="9"/>
  <c r="BB6" i="9" l="1"/>
  <c r="BA7" i="9"/>
  <c r="BA5" i="9"/>
  <c r="BA4" i="9"/>
  <c r="BB7" i="9" l="1"/>
  <c r="BC6" i="9"/>
  <c r="BC7" i="9" l="1"/>
  <c r="BD6" i="9"/>
  <c r="BE6" i="9" l="1"/>
  <c r="BD7" i="9"/>
  <c r="BF6" i="9" l="1"/>
  <c r="BE7" i="9"/>
  <c r="BF7" i="9" l="1"/>
  <c r="BG6" i="9"/>
  <c r="BH6" i="9" l="1"/>
  <c r="BG7" i="9"/>
  <c r="BH5" i="9" l="1"/>
  <c r="BH4" i="9"/>
  <c r="BI6" i="9"/>
  <c r="BH7" i="9"/>
  <c r="BJ6" i="9" l="1"/>
  <c r="BI7" i="9"/>
  <c r="BJ7" i="9" l="1"/>
  <c r="BK6" i="9"/>
  <c r="BL6" i="9" l="1"/>
  <c r="BK7" i="9"/>
  <c r="BM6" i="9" l="1"/>
  <c r="BL7" i="9"/>
  <c r="BN6" i="9" l="1"/>
  <c r="BN7" i="9" s="1"/>
  <c r="BM7" i="9"/>
  <c r="A38" i="9" l="1"/>
  <c r="A39" i="9" s="1"/>
  <c r="A40" i="9" s="1"/>
  <c r="A41" i="9" s="1"/>
  <c r="A42" i="9" s="1"/>
  <c r="F59" i="9"/>
  <c r="I59" i="9" s="1"/>
  <c r="E39" i="9"/>
  <c r="F39" i="9" s="1"/>
  <c r="E13" i="14" l="1"/>
  <c r="F13" i="14" s="1"/>
  <c r="I13" i="14" s="1"/>
  <c r="A43" i="9"/>
  <c r="A44" i="9" s="1"/>
  <c r="E41" i="9"/>
  <c r="F41" i="9" s="1"/>
  <c r="I39" i="9"/>
  <c r="E43" i="9" l="1"/>
  <c r="E45" i="9"/>
  <c r="F45" i="9" s="1"/>
  <c r="I45" i="9" s="1"/>
  <c r="A45" i="9"/>
  <c r="A46" i="9" s="1"/>
  <c r="A47" i="9" s="1"/>
  <c r="A48" i="9" s="1"/>
  <c r="A49" i="9" s="1"/>
  <c r="A50" i="9" s="1"/>
  <c r="A51" i="9" s="1"/>
  <c r="A52" i="9" s="1"/>
  <c r="A53" i="9" s="1"/>
  <c r="A54" i="9" s="1"/>
  <c r="A55" i="9" s="1"/>
  <c r="A56" i="9" s="1"/>
  <c r="A57" i="9" s="1"/>
  <c r="A58" i="9" s="1"/>
  <c r="A59" i="9" s="1"/>
  <c r="A60" i="9" s="1"/>
  <c r="E15" i="14"/>
  <c r="F15" i="14" s="1"/>
  <c r="I15" i="14" s="1"/>
  <c r="I41" i="9"/>
  <c r="F43" i="9"/>
  <c r="E17" i="14" l="1"/>
  <c r="F17" i="14" s="1"/>
  <c r="I17" i="14" s="1"/>
  <c r="E46" i="9"/>
  <c r="F46" i="9" s="1"/>
  <c r="I43" i="9"/>
  <c r="E48" i="9" l="1"/>
  <c r="F48" i="9" s="1"/>
  <c r="I46" i="9"/>
  <c r="I48" i="9" l="1"/>
  <c r="E50" i="9"/>
  <c r="F50" i="9" s="1"/>
  <c r="I50" i="9" l="1"/>
  <c r="E52" i="9"/>
  <c r="F52" i="9" s="1"/>
  <c r="E54" i="9" l="1"/>
  <c r="F54" i="9" s="1"/>
  <c r="I52" i="9"/>
  <c r="E56" i="9" l="1"/>
  <c r="F56" i="9" s="1"/>
  <c r="I54" i="9"/>
  <c r="I56" i="9" l="1"/>
  <c r="E58" i="9"/>
  <c r="F58" i="9" s="1"/>
  <c r="I58" i="9" l="1"/>
  <c r="E60" i="9"/>
  <c r="F60" i="9" s="1"/>
  <c r="E14" i="14" l="1"/>
  <c r="F14" i="14" s="1"/>
  <c r="I60" i="9"/>
  <c r="I14" i="14" l="1"/>
  <c r="E16" i="14"/>
  <c r="F16" i="14" s="1"/>
  <c r="I16" i="14"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<sst xmlns="http://schemas.openxmlformats.org/spreadsheetml/2006/main" count="340" uniqueCount="241">
  <si>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</si>
  <si>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</si>
  <si>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</si>
  <si>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</si>
  <si>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</si>
  <si>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</si>
  <si>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</si>
  <si>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</si>
  <si>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</si>
  <si>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</si>
  <si>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</si>
  <si>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</si>
  <si>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</si>
  <si>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</si>
  <si>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</si>
  <si>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</si>
  <si>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</si>
  <si>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</si>
  <si>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</si>
  <si>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</si>
  <si>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</si>
  <si>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</si>
  <si>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</si>
  <si>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</si>
  <si>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</si>
  <si>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</si>
  <si>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</si>
  <si>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</si>
  <si>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</si>
  <si>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</si>
  <si>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</si>
  <si>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</si>
  <si>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</si>
  <si>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</si>
  <si>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</si>
  <si>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</si>
  <si>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</si>
  <si>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</si>
  <si>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</si>
  <si>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</si>
  <si>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</si>
  <si>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</si>
  <si>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</si>
  <si>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</si>
  <si>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LAPORAN PERSEDIAAN GUDANG PACKING</t>
  </si>
  <si>
    <t>DASHBOARD LAYOUT PER BIN</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</si>
  <si>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</si>
  <si>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</si>
  <si>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</si>
  <si>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</si>
  <si>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</si>
  <si>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</si>
  <si>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</si>
  <si>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</si>
  <si>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</si>
  <si>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</si>
  <si>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</si>
  <si>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</si>
  <si>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</si>
  <si>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</si>
  <si>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</si>
  <si>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</si>
  <si>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</si>
  <si>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</si>
  <si>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</si>
  <si>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</si>
  <si>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</si>
  <si>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</si>
  <si>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</si>
  <si>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</si>
  <si>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</si>
  <si>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</si>
  <si>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</si>
  <si>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</si>
  <si>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</si>
  <si>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</si>
  <si>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</si>
  <si>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</si>
  <si>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</si>
  <si>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</si>
  <si>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</si>
  <si>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</si>
  <si>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</si>
  <si>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</si>
  <si>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</si>
  <si>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</si>
  <si>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</si>
  <si>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</si>
  <si>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</si>
  <si>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</si>
  <si>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</si>
  <si>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</si>
  <si>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</si>
  <si>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</si>
  <si>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</si>
  <si>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</si>
  <si>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</si>
  <si>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</si>
  <si>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</si>
  <si>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</si>
  <si>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</si>
  <si>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</si>
  <si>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</si>
  <si>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</si>
  <si>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</si>
  <si>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</si>
  <si>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</si>
  <si>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</si>
  <si>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</si>
  <si>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</si>
  <si>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</si>
  <si>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</si>
  <si>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</si>
  <si>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</si>
  <si>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</si>
  <si>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</si>
  <si>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</si>
  <si>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</si>
  <si>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</si>
  <si>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</si>
  <si>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</si>
  <si>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</si>
  <si>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</si>
  <si>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</si>
  <si>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</si>
  <si>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</si>
  <si>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</si>
  <si>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</si>
  <si>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</si>
  <si>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</si>
  <si>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</si>
  <si>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</si>
  <si>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</si>
  <si>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</si>
  <si>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</si>
  <si>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</si>
  <si>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</si>
  <si>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</si>
  <si>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</si>
  <si>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</si>
  <si>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</si>
  <si>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</si>
  <si>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</si>
  <si>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</si>
  <si>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</si>
  <si>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</si>
  <si>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</si>
  <si>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</si>
  <si>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</si>
  <si>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</si>
  <si>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</si>
  <si>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</si>
  <si>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</si>
  <si>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</si>
  <si>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</si>
  <si>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</si>
  <si>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</si>
  <si>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</si>
  <si>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</si>
  <si>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</si>
  <si>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</si>
  <si>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</si>
  <si>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</si>
  <si>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</si>
  <si>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</si>
  <si>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</si>
  <si>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</si>
  <si>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</si>
  <si>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</si>
  <si>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</si>
  <si>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</si>
  <si>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</si>
  <si>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</si>
  <si>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</si>
  <si>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</si>
  <si>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</si>
  <si>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</si>
  <si>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</si>
  <si>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</si>
  <si>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</si>
  <si>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</si>
  <si>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</si>
  <si>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</si>
  <si>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</si>
  <si>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</si>
  <si>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</si>
  <si>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</si>
  <si>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</si>
  <si>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</si>
  <si>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</si>
  <si>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</si>
  <si>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</si>
  <si>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</si>
  <si>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</si>
  <si>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</si>
  <si>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</si>
  <si>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</si>
  <si>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</si>
  <si>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</si>
  <si>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</si>
  <si>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</si>
  <si>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</si>
  <si>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</si>
  <si>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</si>
  <si>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</si>
  <si>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</si>
  <si>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</si>
  <si>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</si>
  <si>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</si>
  <si>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</si>
  <si>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</si>
  <si>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</si>
  <si>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</si>
  <si>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</si>
  <si>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</si>
  <si>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</si>
  <si>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</si>
  <si>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</si>
  <si>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</si>
  <si>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</si>
  <si>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</si>
  <si>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</si>
  <si>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</si>
  <si>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</si>
  <si>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</si>
  <si>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</si>
  <si>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</si>
  <si>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</si>
  <si>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</si>
  <si>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</si>
  <si>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</si>
  <si>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</si>
  <si>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</si>
  <si>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Buat UI penarikan data dari API dan insert data Warehouse</t>
  </si>
  <si>
    <t>UI penarikan data dari API dan insert data Warehous(PIC: BUDI) sudah selesai</t>
  </si>
  <si>
    <t xml:space="preserve">Update status penarikan data BC </t>
  </si>
  <si>
    <t>Jali</t>
  </si>
  <si>
    <t>RICEF BY LEUWITEX ( update 2 Maret 2026 )</t>
  </si>
  <si>
    <t>Update per 2 Maret 2026</t>
  </si>
  <si>
    <t>Star</t>
  </si>
  <si>
    <t>Buat UI penarikan data dari API dan insert data Material Stock</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</si>
</sst>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b/>
      <i/>
      <sz val="9"/>
      <name val="Tahoma"/>
      <charset val="134"/>
    </font>
    <font>
      <sz val="9"/>
      <name val="Tahoma"/>
      <charset val="1"/>
    </font>
    <font>
      <b/>
      <sz val="9"/>
      <name val="Tahoma"/>
      <charset val="1"/>
    </font>
    <font>
      <i/>
      <sz val="9"/>
      <name val="Tahoma"/>
      <charset val="134"/>
    </font>
    <font>
      <sz val="8"/>
      <name val="Tahoma"/>
      <charset val="134"/>
    </font>
    <font>
      <sz val="10"/>
      <name val="Arial"/>
      <charset val="134"/>
    </font>
  </fonts>
  <fills count="12">
    <fill>
      <patternFill patternType="none"/>
    </fill>
    <fill>
      <patternFill patternType="gray125"/>
    </fill>
    <fill>
      <patternFill patternType="solid">
        <fgColor theme="3" tint="0.79973754081850645"/>
        <bgColor rgb="FFD6F4D9"/>
      </patternFill>
    </fill>
    <fill>
      <patternFill patternType="solid">
        <fgColor theme="3" tint="0.79973754081850645"/>
        <bgColor indexed="64"/>
      </patternFill>
    </fill>
    <fill>
      <patternFill patternType="solid">
        <fgColor indexed="22"/>
        <bgColor indexed="64"/>
      </patternFill>
    </fill>
    <fill>
      <patternFill patternType="solid">
        <fgColor theme="0" tint="-0.14975432599871821"/>
        <bgColor indexed="64"/>
      </patternFill>
    </fill>
    <fill>
      <patternFill patternType="solid">
        <fgColor indexed="9"/>
        <bgColor indexed="64"/>
      </patternFill>
    </fill>
    <fill>
      <patternFill patternType="solid">
        <fgColor theme="6" tint="0.79982909634693444"/>
        <bgColor indexed="64"/>
      </patternFill>
    </fill>
    <fill>
      <patternFill patternType="solid">
        <fgColor theme="6" tint="0.79985961485641044"/>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19">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0" fontId="1" fillId="10" borderId="1" xfId="0" applyFont="1" applyFill="1" applyBorder="1" applyAlignment="1">
      <alignment vertical="center" wrapText="1"/>
    </xf>
    <xf numFmtId="0" fontId="1" fillId="9" borderId="1" xfId="0" applyFont="1" applyFill="1" applyBorder="1" applyAlignment="1">
      <alignment vertical="center"/>
    </xf>
    <xf numFmtId="0" fontId="1" fillId="11" borderId="1" xfId="0" applyFont="1" applyFill="1" applyBorder="1" applyAlignment="1">
      <alignment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cellXfs>
  <cellStyles count="3">
    <cellStyle name="Hyperlink" xfId="2" builtinId="8"/>
    <cellStyle name="Normal" xfId="0" builtinId="0"/>
    <cellStyle name="Percent" xfId="1" builtinId="5"/>
  </cellStyles>
  <dxfs count="14">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a:extLst>
            <a:ext uri="{FF2B5EF4-FFF2-40B4-BE49-F238E27FC236}">
              <a16:creationId xmlns:a16="http://schemas.microsoft.com/office/drawing/2014/main" xmlns="" id="{00000000-0008-0000-0000-00002C200000}"/>
            </a:ext>
          </a:extLst>
        </xdr:cNvPr>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xmlns=""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0</xdr:col>
      <xdr:colOff>304800</xdr:colOff>
      <xdr:row>11</xdr:row>
      <xdr:rowOff>142875</xdr:rowOff>
    </xdr:to>
    <xdr:sp macro="" textlink="">
      <xdr:nvSpPr>
        <xdr:cNvPr id="12289" name="AutoShape 1" descr="blob:https://web.whatsapp.com/4841a61e-759f-484d-9013-f081556103c8">
          <a:extLst>
            <a:ext uri="{FF2B5EF4-FFF2-40B4-BE49-F238E27FC236}">
              <a16:creationId xmlns:a16="http://schemas.microsoft.com/office/drawing/2014/main" xmlns="" id="{00000000-0008-0000-0400-000001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macro="" textlink="">
      <xdr:nvSpPr>
        <xdr:cNvPr id="12291" name="AutoShape 3" descr="blob:https://web.whatsapp.com/4841a61e-759f-484d-9013-f081556103c8">
          <a:extLst>
            <a:ext uri="{FF2B5EF4-FFF2-40B4-BE49-F238E27FC236}">
              <a16:creationId xmlns:a16="http://schemas.microsoft.com/office/drawing/2014/main" xmlns="" id="{00000000-0008-0000-0400-000003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38" activePane="bottomLeft" state="frozen"/>
      <selection pane="bottomLeft" activeCell="A46" sqref="A46:XFD46"/>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237</v>
      </c>
      <c r="B1" s="57"/>
      <c r="C1" s="57"/>
      <c r="D1" s="57"/>
      <c r="E1" s="57"/>
      <c r="F1" s="57"/>
      <c r="I1" s="58"/>
      <c r="K1" s="108"/>
      <c r="L1" s="108"/>
      <c r="M1" s="108"/>
      <c r="N1" s="108"/>
      <c r="O1" s="108"/>
      <c r="P1" s="108"/>
      <c r="Q1" s="108"/>
      <c r="R1" s="108"/>
      <c r="S1" s="108"/>
      <c r="T1" s="108"/>
      <c r="U1" s="108"/>
      <c r="V1" s="108"/>
      <c r="W1" s="108"/>
      <c r="X1" s="108"/>
      <c r="Y1" s="108"/>
      <c r="Z1" s="108"/>
      <c r="AA1" s="108"/>
      <c r="AB1" s="108"/>
      <c r="AC1" s="108"/>
      <c r="AD1" s="108"/>
      <c r="AE1" s="108"/>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09">
        <v>45986</v>
      </c>
      <c r="D4" s="109"/>
      <c r="E4" s="109"/>
      <c r="F4" s="65"/>
      <c r="G4" s="66" t="s">
        <v>1</v>
      </c>
      <c r="H4" s="67">
        <v>1</v>
      </c>
      <c r="J4" s="65"/>
      <c r="K4" s="110" t="str">
        <f>"Week "&amp;(K6-($C$4-WEEKDAY($C$4,1)+2))/7+1</f>
        <v>Week 1</v>
      </c>
      <c r="L4" s="111"/>
      <c r="M4" s="111"/>
      <c r="N4" s="111"/>
      <c r="O4" s="111"/>
      <c r="P4" s="111"/>
      <c r="Q4" s="112"/>
      <c r="R4" s="110" t="str">
        <f>"Week "&amp;(R6-($C$4-WEEKDAY($C$4,1)+2))/7+1</f>
        <v>Week 2</v>
      </c>
      <c r="S4" s="111"/>
      <c r="T4" s="111"/>
      <c r="U4" s="111"/>
      <c r="V4" s="111"/>
      <c r="W4" s="111"/>
      <c r="X4" s="112"/>
      <c r="Y4" s="110" t="str">
        <f>"Week "&amp;(Y6-($C$4-WEEKDAY($C$4,1)+2))/7+1</f>
        <v>Week 3</v>
      </c>
      <c r="Z4" s="111"/>
      <c r="AA4" s="111"/>
      <c r="AB4" s="111"/>
      <c r="AC4" s="111"/>
      <c r="AD4" s="111"/>
      <c r="AE4" s="112"/>
      <c r="AF4" s="110" t="str">
        <f>"Week "&amp;(AF6-($C$4-WEEKDAY($C$4,1)+2))/7+1</f>
        <v>Week 4</v>
      </c>
      <c r="AG4" s="111"/>
      <c r="AH4" s="111"/>
      <c r="AI4" s="111"/>
      <c r="AJ4" s="111"/>
      <c r="AK4" s="111"/>
      <c r="AL4" s="112"/>
      <c r="AM4" s="110" t="str">
        <f>"Week "&amp;(AM6-($C$4-WEEKDAY($C$4,1)+2))/7+1</f>
        <v>Week 5</v>
      </c>
      <c r="AN4" s="111"/>
      <c r="AO4" s="111"/>
      <c r="AP4" s="111"/>
      <c r="AQ4" s="111"/>
      <c r="AR4" s="111"/>
      <c r="AS4" s="112"/>
      <c r="AT4" s="110" t="str">
        <f>"Week "&amp;(AT6-($C$4-WEEKDAY($C$4,1)+2))/7+1</f>
        <v>Week 6</v>
      </c>
      <c r="AU4" s="111"/>
      <c r="AV4" s="111"/>
      <c r="AW4" s="111"/>
      <c r="AX4" s="111"/>
      <c r="AY4" s="111"/>
      <c r="AZ4" s="112"/>
      <c r="BA4" s="110" t="str">
        <f>"Week "&amp;(BA6-($C$4-WEEKDAY($C$4,1)+2))/7+1</f>
        <v>Week 7</v>
      </c>
      <c r="BB4" s="111"/>
      <c r="BC4" s="111"/>
      <c r="BD4" s="111"/>
      <c r="BE4" s="111"/>
      <c r="BF4" s="111"/>
      <c r="BG4" s="112"/>
      <c r="BH4" s="110" t="str">
        <f>"Week "&amp;(BH6-($C$4-WEEKDAY($C$4,1)+2))/7+1</f>
        <v>Week 8</v>
      </c>
      <c r="BI4" s="111"/>
      <c r="BJ4" s="111"/>
      <c r="BK4" s="111"/>
      <c r="BL4" s="111"/>
      <c r="BM4" s="111"/>
      <c r="BN4" s="112"/>
    </row>
    <row r="5" spans="1:66" ht="17.25" customHeight="1">
      <c r="A5" s="65"/>
      <c r="B5" s="66" t="s">
        <v>2</v>
      </c>
      <c r="C5" s="116" t="s">
        <v>3</v>
      </c>
      <c r="D5" s="116"/>
      <c r="E5" s="116"/>
      <c r="F5" s="65"/>
      <c r="G5" s="65"/>
      <c r="H5" s="65"/>
      <c r="I5" s="65"/>
      <c r="J5" s="65"/>
      <c r="K5" s="113">
        <f>K6</f>
        <v>45985</v>
      </c>
      <c r="L5" s="114"/>
      <c r="M5" s="114"/>
      <c r="N5" s="114"/>
      <c r="O5" s="114"/>
      <c r="P5" s="114"/>
      <c r="Q5" s="115"/>
      <c r="R5" s="113">
        <f>R6</f>
        <v>45992</v>
      </c>
      <c r="S5" s="114"/>
      <c r="T5" s="114"/>
      <c r="U5" s="114"/>
      <c r="V5" s="114"/>
      <c r="W5" s="114"/>
      <c r="X5" s="115"/>
      <c r="Y5" s="113">
        <f>Y6</f>
        <v>45999</v>
      </c>
      <c r="Z5" s="114"/>
      <c r="AA5" s="114"/>
      <c r="AB5" s="114"/>
      <c r="AC5" s="114"/>
      <c r="AD5" s="114"/>
      <c r="AE5" s="115"/>
      <c r="AF5" s="113">
        <f>AF6</f>
        <v>46006</v>
      </c>
      <c r="AG5" s="114"/>
      <c r="AH5" s="114"/>
      <c r="AI5" s="114"/>
      <c r="AJ5" s="114"/>
      <c r="AK5" s="114"/>
      <c r="AL5" s="115"/>
      <c r="AM5" s="113">
        <f>AM6</f>
        <v>46013</v>
      </c>
      <c r="AN5" s="114"/>
      <c r="AO5" s="114"/>
      <c r="AP5" s="114"/>
      <c r="AQ5" s="114"/>
      <c r="AR5" s="114"/>
      <c r="AS5" s="115"/>
      <c r="AT5" s="113">
        <f>AT6</f>
        <v>46020</v>
      </c>
      <c r="AU5" s="114"/>
      <c r="AV5" s="114"/>
      <c r="AW5" s="114"/>
      <c r="AX5" s="114"/>
      <c r="AY5" s="114"/>
      <c r="AZ5" s="115"/>
      <c r="BA5" s="113">
        <f>BA6</f>
        <v>46027</v>
      </c>
      <c r="BB5" s="114"/>
      <c r="BC5" s="114"/>
      <c r="BD5" s="114"/>
      <c r="BE5" s="114"/>
      <c r="BF5" s="114"/>
      <c r="BG5" s="115"/>
      <c r="BH5" s="113">
        <f>BH6</f>
        <v>46034</v>
      </c>
      <c r="BI5" s="114"/>
      <c r="BJ5" s="114"/>
      <c r="BK5" s="114"/>
      <c r="BL5" s="114"/>
      <c r="BM5" s="114"/>
      <c r="BN5" s="115"/>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19</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24</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25</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26</v>
      </c>
      <c r="C19" s="1" t="s">
        <v>27</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28</v>
      </c>
      <c r="C20" s="1" t="s">
        <v>19</v>
      </c>
      <c r="D20" s="5"/>
      <c r="E20" s="6">
        <v>46032</v>
      </c>
      <c r="F20" s="7">
        <f t="shared" ref="F20" si="15">IF(ISBLANK(E20)," - ",IF(G20=0,E20,E20+G20-1))</f>
        <v>46043</v>
      </c>
      <c r="G20" s="8">
        <v>12</v>
      </c>
      <c r="H20" s="9">
        <v>0.9</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29</v>
      </c>
      <c r="C21" s="1" t="s">
        <v>27</v>
      </c>
      <c r="D21" s="5"/>
      <c r="E21" s="6">
        <v>46032</v>
      </c>
      <c r="F21" s="7">
        <f t="shared" ref="F21" si="17">IF(ISBLANK(E21)," - ",IF(G21=0,E21,E21+G21-1))</f>
        <v>46043</v>
      </c>
      <c r="G21" s="8">
        <v>12</v>
      </c>
      <c r="H21" s="9">
        <v>0.75</v>
      </c>
      <c r="I21" s="10">
        <f t="shared" ref="I21:I36"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30</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31</v>
      </c>
      <c r="C23" s="1" t="s">
        <v>27</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233</v>
      </c>
      <c r="C24" s="1" t="s">
        <v>27</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32</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33</v>
      </c>
      <c r="C26" s="1" t="s">
        <v>27</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34</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35</v>
      </c>
      <c r="C28" s="1" t="s">
        <v>27</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36</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37</v>
      </c>
      <c r="C30" s="1" t="s">
        <v>27</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38</v>
      </c>
      <c r="C31" s="1" t="s">
        <v>19</v>
      </c>
      <c r="D31" s="5"/>
      <c r="E31" s="6">
        <f>F29+1</f>
        <v>46064</v>
      </c>
      <c r="F31" s="7">
        <f t="shared" ref="F31:F36"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39</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1" t="s">
        <v>40</v>
      </c>
      <c r="C33" s="1" t="s">
        <v>27</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2" t="s">
        <v>41</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3" t="s">
        <v>42</v>
      </c>
      <c r="C35" s="1" t="s">
        <v>27</v>
      </c>
      <c r="D35" s="5"/>
      <c r="E35" s="6">
        <f t="shared" ref="E35:E36"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105" t="s">
        <v>43</v>
      </c>
      <c r="C36" s="1" t="s">
        <v>19</v>
      </c>
      <c r="D36" s="5"/>
      <c r="E36" s="6">
        <f t="shared" si="27"/>
        <v>46073</v>
      </c>
      <c r="F36" s="7">
        <f t="shared" si="23"/>
        <v>46076</v>
      </c>
      <c r="G36" s="8">
        <v>4</v>
      </c>
      <c r="H36" s="9">
        <v>0.5</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105" t="s">
        <v>50</v>
      </c>
      <c r="C37" s="106" t="s">
        <v>27</v>
      </c>
      <c r="D37" s="5"/>
      <c r="E37" s="6">
        <f t="shared" ref="E37:E42" si="28">F35+1</f>
        <v>46077</v>
      </c>
      <c r="F37" s="7">
        <f>IF(ISBLANK(E37)," - ",IF(G37=0,E37,E37+G37-1))</f>
        <v>46078</v>
      </c>
      <c r="G37" s="8">
        <v>2</v>
      </c>
      <c r="H37" s="9">
        <v>0</v>
      </c>
      <c r="I37" s="10">
        <f>IF(OR(F37=0,E37=0)," - ",NETWORKDAYS(E37,F37))</f>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3" t="s">
        <v>45</v>
      </c>
      <c r="C38" s="1" t="s">
        <v>19</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3" t="s">
        <v>46</v>
      </c>
      <c r="C39" s="1" t="s">
        <v>27</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105" t="s">
        <v>47</v>
      </c>
      <c r="C40" s="1" t="s">
        <v>19</v>
      </c>
      <c r="D40" s="5"/>
      <c r="E40" s="6">
        <f t="shared" si="28"/>
        <v>46079</v>
      </c>
      <c r="F40" s="7">
        <f t="shared" ref="F40:F60" si="33">IF(ISBLANK(E40)," - ",IF(G40=0,E40,E40+G40-1))</f>
        <v>46080</v>
      </c>
      <c r="G40" s="8">
        <v>2</v>
      </c>
      <c r="H40" s="9">
        <v>0.5</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93" t="s">
        <v>48</v>
      </c>
      <c r="C41" s="1" t="s">
        <v>27</v>
      </c>
      <c r="D41" s="5"/>
      <c r="E41" s="6">
        <f t="shared" si="28"/>
        <v>46081</v>
      </c>
      <c r="F41" s="7">
        <f t="shared" si="33"/>
        <v>46084</v>
      </c>
      <c r="G41" s="8">
        <v>4</v>
      </c>
      <c r="H41" s="9">
        <v>0</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3" t="s">
        <v>49</v>
      </c>
      <c r="C42" s="1" t="s">
        <v>19</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105" t="s">
        <v>44</v>
      </c>
      <c r="C43" s="107" t="s">
        <v>239</v>
      </c>
      <c r="D43" s="5"/>
      <c r="E43" s="6">
        <f>F41</f>
        <v>46084</v>
      </c>
      <c r="F43" s="7">
        <f t="shared" si="33"/>
        <v>46086</v>
      </c>
      <c r="G43" s="8">
        <v>3</v>
      </c>
      <c r="H43" s="9">
        <v>0</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105" t="s">
        <v>65</v>
      </c>
      <c r="C44" s="107" t="s">
        <v>236</v>
      </c>
      <c r="D44" s="5"/>
      <c r="E44" s="6">
        <f>F42</f>
        <v>46084</v>
      </c>
      <c r="F44" s="7">
        <f t="shared" si="33"/>
        <v>46086</v>
      </c>
      <c r="G44" s="8">
        <v>3</v>
      </c>
      <c r="H44" s="9">
        <v>0</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89" t="s">
        <v>240</v>
      </c>
      <c r="C45" s="1" t="s">
        <v>19</v>
      </c>
      <c r="D45" s="5"/>
      <c r="E45" s="6">
        <f>F41 + 1</f>
        <v>46085</v>
      </c>
      <c r="F45" s="7">
        <f t="shared" ref="F45" si="35">IF(ISBLANK(E45)," - ",IF(G45=0,E45,E45+G45-1))</f>
        <v>46086</v>
      </c>
      <c r="G45" s="8">
        <v>2</v>
      </c>
      <c r="H45" s="9">
        <v>0</v>
      </c>
      <c r="I45" s="10">
        <f t="shared" ref="I45" si="36">IF(OR(F45=0,E45=0)," - ",NETWORKDAYS(E45,F45))</f>
        <v>2</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4" t="str">
        <f t="shared" si="14"/>
        <v>1.38</v>
      </c>
      <c r="B46" s="93" t="s">
        <v>52</v>
      </c>
      <c r="C46" s="1" t="s">
        <v>27</v>
      </c>
      <c r="D46" s="5"/>
      <c r="E46" s="6">
        <f>F43+1</f>
        <v>46087</v>
      </c>
      <c r="F46" s="7">
        <f t="shared" si="33"/>
        <v>46090</v>
      </c>
      <c r="G46" s="8">
        <v>4</v>
      </c>
      <c r="H46" s="9">
        <v>0</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4" t="str">
        <f t="shared" si="14"/>
        <v>1.39</v>
      </c>
      <c r="B47" s="93" t="s">
        <v>53</v>
      </c>
      <c r="C47" s="1" t="s">
        <v>19</v>
      </c>
      <c r="D47" s="5"/>
      <c r="E47" s="6">
        <f>F44+1</f>
        <v>46087</v>
      </c>
      <c r="F47" s="7">
        <f t="shared" si="33"/>
        <v>46090</v>
      </c>
      <c r="G47" s="8">
        <v>4</v>
      </c>
      <c r="H47" s="9">
        <v>0</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3" t="s">
        <v>54</v>
      </c>
      <c r="C48" s="1" t="s">
        <v>27</v>
      </c>
      <c r="D48" s="5"/>
      <c r="E48" s="6">
        <f t="shared" ref="E48:E55" si="37">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3" t="s">
        <v>55</v>
      </c>
      <c r="C49" s="1" t="s">
        <v>19</v>
      </c>
      <c r="D49" s="5"/>
      <c r="E49" s="6">
        <f t="shared" si="37"/>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3" t="s">
        <v>56</v>
      </c>
      <c r="C50" s="1" t="s">
        <v>27</v>
      </c>
      <c r="D50" s="5"/>
      <c r="E50" s="6">
        <f t="shared" si="37"/>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3" t="s">
        <v>57</v>
      </c>
      <c r="C51" s="1" t="s">
        <v>19</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105" t="s">
        <v>58</v>
      </c>
      <c r="C52" s="1" t="s">
        <v>27</v>
      </c>
      <c r="D52" s="5"/>
      <c r="E52" s="6">
        <f t="shared" si="37"/>
        <v>46095</v>
      </c>
      <c r="F52" s="7">
        <f t="shared" si="33"/>
        <v>46098</v>
      </c>
      <c r="G52" s="8">
        <v>4</v>
      </c>
      <c r="H52" s="9">
        <v>0</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105" t="s">
        <v>59</v>
      </c>
      <c r="C53" s="1" t="s">
        <v>19</v>
      </c>
      <c r="D53" s="5"/>
      <c r="E53" s="6">
        <f t="shared" si="37"/>
        <v>46095</v>
      </c>
      <c r="F53" s="7">
        <f t="shared" si="33"/>
        <v>46098</v>
      </c>
      <c r="G53" s="8">
        <v>4</v>
      </c>
      <c r="H53" s="9">
        <v>0</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105" t="s">
        <v>60</v>
      </c>
      <c r="C54" s="1" t="s">
        <v>27</v>
      </c>
      <c r="D54" s="5"/>
      <c r="E54" s="6">
        <f t="shared" si="37"/>
        <v>46099</v>
      </c>
      <c r="F54" s="7">
        <f t="shared" si="33"/>
        <v>46100</v>
      </c>
      <c r="G54" s="8">
        <v>2</v>
      </c>
      <c r="H54" s="9">
        <v>0</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105" t="s">
        <v>61</v>
      </c>
      <c r="C55" s="1" t="s">
        <v>19</v>
      </c>
      <c r="D55" s="5"/>
      <c r="E55" s="6">
        <f t="shared" si="37"/>
        <v>46099</v>
      </c>
      <c r="F55" s="7">
        <f t="shared" si="33"/>
        <v>46100</v>
      </c>
      <c r="G55" s="8">
        <v>2</v>
      </c>
      <c r="H55" s="9">
        <v>0</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105" t="s">
        <v>62</v>
      </c>
      <c r="C56" s="1" t="s">
        <v>27</v>
      </c>
      <c r="D56" s="5"/>
      <c r="E56" s="6">
        <f>F54+9</f>
        <v>46109</v>
      </c>
      <c r="F56" s="7">
        <f t="shared" si="33"/>
        <v>46112</v>
      </c>
      <c r="G56" s="8">
        <v>4</v>
      </c>
      <c r="H56" s="9">
        <v>0</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3" t="s">
        <v>63</v>
      </c>
      <c r="C57" s="1" t="s">
        <v>19</v>
      </c>
      <c r="D57" s="5"/>
      <c r="E57" s="6">
        <f>F55+9</f>
        <v>46109</v>
      </c>
      <c r="F57" s="7">
        <f t="shared" si="33"/>
        <v>46112</v>
      </c>
      <c r="G57" s="8">
        <v>4</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105" t="s">
        <v>64</v>
      </c>
      <c r="C58" s="1" t="s">
        <v>27</v>
      </c>
      <c r="D58" s="5"/>
      <c r="E58" s="6">
        <f>F56+1</f>
        <v>46113</v>
      </c>
      <c r="F58" s="7">
        <f t="shared" si="33"/>
        <v>46114</v>
      </c>
      <c r="G58" s="8">
        <v>2</v>
      </c>
      <c r="H58" s="9">
        <v>0</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105" t="s">
        <v>51</v>
      </c>
      <c r="C59" s="106" t="s">
        <v>19</v>
      </c>
      <c r="D59" s="5"/>
      <c r="E59" s="6">
        <f>F57+1</f>
        <v>46113</v>
      </c>
      <c r="F59" s="7">
        <f>IF(ISBLANK(E59)," - ",IF(G59=0,E59,E59+G59-1))</f>
        <v>46114</v>
      </c>
      <c r="G59" s="8">
        <v>2</v>
      </c>
      <c r="H59" s="9">
        <v>0</v>
      </c>
      <c r="I59" s="10">
        <f>IF(OR(F59=0,E59=0)," - ",NETWORKDAYS(E59,F59))</f>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3" t="s">
        <v>66</v>
      </c>
      <c r="C60" s="1" t="s">
        <v>27</v>
      </c>
      <c r="D60" s="5"/>
      <c r="E60" s="6">
        <f>F58+1</f>
        <v>46115</v>
      </c>
      <c r="F60" s="7">
        <f t="shared" si="33"/>
        <v>46118</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pans="1:66" s="1" customFormat="1" ht="18">
      <c r="A62" s="4"/>
      <c r="B62" s="93"/>
      <c r="D62" s="5"/>
      <c r="E62" s="6"/>
      <c r="F62" s="7"/>
      <c r="G62" s="8"/>
      <c r="H62" s="9"/>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3"/>
      <c r="D63" s="5"/>
      <c r="E63" s="6"/>
      <c r="F63" s="7"/>
      <c r="G63" s="8"/>
      <c r="H63" s="9"/>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3"/>
      <c r="D64" s="5"/>
      <c r="E64" s="6"/>
      <c r="F64" s="7"/>
      <c r="G64" s="8"/>
      <c r="H64" s="9"/>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3"/>
      <c r="D65" s="5"/>
      <c r="E65" s="6"/>
      <c r="F65" s="7"/>
      <c r="G65" s="8"/>
      <c r="H65" s="9"/>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3"/>
      <c r="D66" s="5"/>
      <c r="E66" s="6"/>
      <c r="F66" s="7"/>
      <c r="G66" s="8"/>
      <c r="H66" s="9"/>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3"/>
      <c r="D67" s="5"/>
      <c r="E67" s="6"/>
      <c r="F67" s="7"/>
      <c r="G67" s="8"/>
      <c r="H67" s="9"/>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3"/>
      <c r="D68" s="5"/>
      <c r="E68" s="6"/>
      <c r="F68" s="7"/>
      <c r="G68" s="8"/>
      <c r="H68" s="9"/>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3"/>
      <c r="D69" s="5"/>
      <c r="E69" s="6"/>
      <c r="F69" s="7"/>
      <c r="G69" s="8"/>
      <c r="H69" s="9"/>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3"/>
      <c r="D70" s="5"/>
      <c r="E70" s="6"/>
      <c r="F70" s="7"/>
      <c r="G70" s="8"/>
      <c r="H70" s="9"/>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3"/>
      <c r="D71" s="5"/>
      <c r="E71" s="6"/>
      <c r="F71" s="7"/>
      <c r="G71" s="8"/>
      <c r="H71" s="9"/>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3"/>
      <c r="D72" s="5"/>
      <c r="E72" s="6"/>
      <c r="F72" s="7"/>
      <c r="G72" s="8"/>
      <c r="H72" s="9"/>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3"/>
      <c r="D73" s="5"/>
      <c r="E73" s="6"/>
      <c r="F73" s="7"/>
      <c r="G73" s="8"/>
      <c r="H73" s="9"/>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3"/>
      <c r="D74" s="5"/>
      <c r="E74" s="6"/>
      <c r="F74" s="7"/>
      <c r="G74" s="8"/>
      <c r="H74" s="9"/>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3"/>
      <c r="D75" s="5"/>
      <c r="E75" s="6"/>
      <c r="F75" s="7"/>
      <c r="G75" s="8"/>
      <c r="H75" s="9"/>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94" t="str">
        <f>IF(ISERROR(VALUE(SUBSTITUTE(prevWBS,".",""))),"1",IF(ISERROR(FIND("`",SUBSTITUTE(prevWBS,".","`",1))),TEXT(VALUE(prevWBS)+1,"#"),TEXT(VALUE(LEFT(prevWBS,FIND("`",SUBSTITUTE(prevWBS,".","`",1))-1))+1,"#")))</f>
        <v>1</v>
      </c>
      <c r="B76" s="95" t="s">
        <v>67</v>
      </c>
      <c r="D76" s="96"/>
      <c r="E76" s="97"/>
      <c r="F76" s="97" t="str">
        <f t="shared" ref="F76:F81" si="38">IF(ISBLANK(E76)," - ",IF(G76=0,E76,E76+G76-1))</f>
        <v xml:space="preserve"> - </v>
      </c>
      <c r="G76" s="98"/>
      <c r="H76" s="99"/>
      <c r="I76" s="100" t="str">
        <f t="shared" ref="I76:I81" si="39">IF(OR(F76=0,E76=0)," - ",NETWORKDAYS(E76,F76))</f>
        <v xml:space="preserve"> - </v>
      </c>
      <c r="J76" s="101"/>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row>
    <row r="77" spans="1:66" s="1" customFormat="1" ht="18" hidden="1">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3" t="s">
        <v>68</v>
      </c>
      <c r="C77" s="1" t="s">
        <v>69</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0"/>
        <v>1.2</v>
      </c>
      <c r="B78" s="93" t="s">
        <v>70</v>
      </c>
      <c r="C78" s="1" t="s">
        <v>19</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0"/>
        <v>1.3</v>
      </c>
      <c r="B79" s="93" t="s">
        <v>71</v>
      </c>
      <c r="C79" s="1" t="s">
        <v>27</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0"/>
        <v>1.4</v>
      </c>
      <c r="B80" s="93" t="s">
        <v>72</v>
      </c>
      <c r="C80" s="1" t="s">
        <v>19</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0"/>
        <v>1.5</v>
      </c>
      <c r="B81" s="93" t="s">
        <v>73</v>
      </c>
      <c r="C81" s="1" t="s">
        <v>27</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0"/>
        <v>1.6</v>
      </c>
      <c r="B82" s="93" t="s">
        <v>74</v>
      </c>
      <c r="C82" s="1" t="s">
        <v>19</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0"/>
        <v>1.7</v>
      </c>
      <c r="B83" s="93" t="s">
        <v>75</v>
      </c>
      <c r="C83" s="1" t="s">
        <v>27</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0"/>
        <v>1.8</v>
      </c>
      <c r="B84" s="93" t="s">
        <v>76</v>
      </c>
      <c r="C84" s="1" t="s">
        <v>77</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0"/>
        <v>1.9</v>
      </c>
      <c r="B85" s="93" t="s">
        <v>78</v>
      </c>
      <c r="C85" s="1" t="s">
        <v>19</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0"/>
        <v>1.10</v>
      </c>
      <c r="B86" s="93" t="s">
        <v>79</v>
      </c>
      <c r="C86" s="1" t="s">
        <v>27</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0"/>
        <v>1.11</v>
      </c>
      <c r="B87" s="93" t="s">
        <v>80</v>
      </c>
      <c r="C87" s="1" t="s">
        <v>27</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0"/>
        <v>1.12</v>
      </c>
      <c r="B88" s="93" t="s">
        <v>81</v>
      </c>
      <c r="C88" s="1" t="s">
        <v>19</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0"/>
        <v>1.13</v>
      </c>
      <c r="B89" s="93" t="s">
        <v>82</v>
      </c>
      <c r="C89" s="1" t="s">
        <v>27</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0"/>
        <v>1.14</v>
      </c>
      <c r="B90" s="93" t="s">
        <v>83</v>
      </c>
      <c r="C90" s="1" t="s">
        <v>27</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0"/>
        <v>1.15</v>
      </c>
      <c r="B91" s="93" t="s">
        <v>84</v>
      </c>
      <c r="C91" s="1" t="s">
        <v>27</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0"/>
        <v>1.16</v>
      </c>
      <c r="B92" s="93" t="s">
        <v>85</v>
      </c>
      <c r="C92" s="1" t="s">
        <v>27</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0"/>
        <v>1.17</v>
      </c>
      <c r="B93" s="93" t="s">
        <v>86</v>
      </c>
      <c r="C93" s="1" t="s">
        <v>19</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0"/>
        <v>1.18</v>
      </c>
      <c r="B94" s="93" t="s">
        <v>87</v>
      </c>
      <c r="C94" s="1" t="s">
        <v>27</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0"/>
        <v>1.19</v>
      </c>
      <c r="B95" s="93" t="s">
        <v>88</v>
      </c>
      <c r="C95" s="1" t="s">
        <v>19</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0"/>
        <v>1.20</v>
      </c>
      <c r="B96" s="93" t="s">
        <v>89</v>
      </c>
      <c r="C96" s="1" t="s">
        <v>27</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0"/>
        <v>1.21</v>
      </c>
      <c r="B97" s="93" t="s">
        <v>90</v>
      </c>
      <c r="C97" s="1" t="s">
        <v>19</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0"/>
        <v>1.22</v>
      </c>
      <c r="B98" s="93" t="s">
        <v>91</v>
      </c>
      <c r="C98" s="1" t="s">
        <v>27</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0"/>
        <v>1.23</v>
      </c>
      <c r="B99" s="93" t="s">
        <v>92</v>
      </c>
      <c r="C99" s="1" t="s">
        <v>19</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0"/>
        <v>1.24</v>
      </c>
      <c r="B100" s="93" t="s">
        <v>93</v>
      </c>
      <c r="C100" s="1" t="s">
        <v>27</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0"/>
        <v>1.25</v>
      </c>
      <c r="B101" s="93" t="s">
        <v>94</v>
      </c>
      <c r="C101" s="1" t="s">
        <v>27</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0"/>
        <v>1.26</v>
      </c>
      <c r="B102" s="93" t="s">
        <v>95</v>
      </c>
      <c r="C102" s="1" t="s">
        <v>27</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0"/>
        <v>1.27</v>
      </c>
      <c r="B103" s="93" t="s">
        <v>96</v>
      </c>
      <c r="C103" s="1" t="s">
        <v>27</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94" t="str">
        <f>IF(ISERROR(VALUE(SUBSTITUTE(prevWBS,".",""))),"1",IF(ISERROR(FIND("`",SUBSTITUTE(prevWBS,".","`",1))),TEXT(VALUE(prevWBS)+1,"#"),TEXT(VALUE(LEFT(prevWBS,FIND("`",SUBSTITUTE(prevWBS,".","`",1))-1))+1,"#")))</f>
        <v>2</v>
      </c>
      <c r="B104" s="95" t="s">
        <v>97</v>
      </c>
      <c r="D104" s="96"/>
      <c r="E104" s="97"/>
      <c r="F104" s="97" t="str">
        <f t="shared" si="47"/>
        <v xml:space="preserve"> - </v>
      </c>
      <c r="G104" s="98"/>
      <c r="H104" s="99"/>
      <c r="I104" s="100" t="str">
        <f t="shared" si="48"/>
        <v xml:space="preserve"> - </v>
      </c>
      <c r="J104" s="101"/>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row>
    <row r="105" spans="1:66" s="1" customFormat="1" ht="18" hidden="1">
      <c r="A105" s="4" t="str">
        <f t="shared" si="40"/>
        <v>2.1</v>
      </c>
      <c r="B105" s="3" t="s">
        <v>98</v>
      </c>
      <c r="C105" s="1" t="s">
        <v>77</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0"/>
        <v>2.2</v>
      </c>
      <c r="B106" s="3" t="s">
        <v>99</v>
      </c>
      <c r="C106" s="1" t="s">
        <v>100</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0"/>
        <v>2.3</v>
      </c>
      <c r="B107" s="3" t="s">
        <v>101</v>
      </c>
      <c r="C107" s="1" t="s">
        <v>69</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94" t="str">
        <f>IF(ISERROR(VALUE(SUBSTITUTE(prevWBS,".",""))),"1",IF(ISERROR(FIND("`",SUBSTITUTE(prevWBS,".","`",1))),TEXT(VALUE(prevWBS)+1,"#"),TEXT(VALUE(LEFT(prevWBS,FIND("`",SUBSTITUTE(prevWBS,".","`",1))-1))+1,"#")))</f>
        <v>3</v>
      </c>
      <c r="B108" s="95" t="s">
        <v>102</v>
      </c>
      <c r="D108" s="96"/>
      <c r="E108" s="97"/>
      <c r="F108" s="97" t="str">
        <f t="shared" ref="F108:F113" si="53">IF(ISBLANK(E108)," - ",IF(G108=0,E108,E108+G108-1))</f>
        <v xml:space="preserve"> - </v>
      </c>
      <c r="G108" s="98"/>
      <c r="H108" s="99"/>
      <c r="I108" s="100" t="str">
        <f t="shared" ref="I108" si="54">IF(OR(F108=0,E108=0)," - ",NETWORKDAYS(E108,F108))</f>
        <v xml:space="preserve"> - </v>
      </c>
      <c r="J108" s="101"/>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row>
    <row r="109" spans="1:66" s="1" customFormat="1" ht="18" hidden="1">
      <c r="A109" s="4" t="str">
        <f t="shared" si="40"/>
        <v>3.1</v>
      </c>
      <c r="B109" s="3" t="s">
        <v>103</v>
      </c>
      <c r="C109" s="1" t="s">
        <v>77</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0"/>
        <v>3.2</v>
      </c>
      <c r="B110" s="3" t="s">
        <v>104</v>
      </c>
      <c r="C110" s="1" t="s">
        <v>69</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0"/>
        <v>3.3</v>
      </c>
      <c r="B111" s="3" t="s">
        <v>105</v>
      </c>
      <c r="C111" s="1" t="s">
        <v>19</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0"/>
        <v>3.4</v>
      </c>
      <c r="B112" s="3" t="s">
        <v>106</v>
      </c>
      <c r="C112" s="1" t="s">
        <v>19</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0"/>
        <v>3.5</v>
      </c>
      <c r="B113" s="3" t="s">
        <v>107</v>
      </c>
      <c r="C113" s="1" t="s">
        <v>27</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94" t="str">
        <f>IF(ISERROR(VALUE(SUBSTITUTE(prevWBS,".",""))),"1",IF(ISERROR(FIND("`",SUBSTITUTE(prevWBS,".","`",1))),TEXT(VALUE(prevWBS)+1,"#"),TEXT(VALUE(LEFT(prevWBS,FIND("`",SUBSTITUTE(prevWBS,".","`",1))-1))+1,"#")))</f>
        <v>4</v>
      </c>
      <c r="B114" s="95" t="s">
        <v>108</v>
      </c>
      <c r="D114" s="96"/>
      <c r="E114" s="97"/>
      <c r="F114" s="97" t="str">
        <f t="shared" ref="F114:F115" si="55">IF(ISBLANK(E114)," - ",IF(G114=0,E114,E114+G114-1))</f>
        <v xml:space="preserve"> - </v>
      </c>
      <c r="G114" s="98"/>
      <c r="H114" s="99"/>
      <c r="I114" s="100" t="str">
        <f t="shared" ref="I114" si="56">IF(OR(F114=0,E114=0)," - ",NETWORKDAYS(E114,F114))</f>
        <v xml:space="preserve"> - </v>
      </c>
      <c r="J114" s="101"/>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row>
    <row r="115" spans="1:66" s="1" customFormat="1" ht="18" hidden="1">
      <c r="A115" s="4" t="str">
        <f t="shared" si="40"/>
        <v>4.1</v>
      </c>
      <c r="B115" s="3" t="s">
        <v>109</v>
      </c>
      <c r="C115" s="1" t="s">
        <v>77</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mergeCells count="19">
    <mergeCell ref="AM5:AS5"/>
    <mergeCell ref="AT5:AZ5"/>
    <mergeCell ref="BA5:BG5"/>
    <mergeCell ref="BH5:BN5"/>
    <mergeCell ref="C5:E5"/>
    <mergeCell ref="K5:Q5"/>
    <mergeCell ref="R5:X5"/>
    <mergeCell ref="Y5:AE5"/>
    <mergeCell ref="AF5:AL5"/>
    <mergeCell ref="AF4:AL4"/>
    <mergeCell ref="AM4:AS4"/>
    <mergeCell ref="AT4:AZ4"/>
    <mergeCell ref="BA4:BG4"/>
    <mergeCell ref="BH4:BN4"/>
    <mergeCell ref="K1:AE1"/>
    <mergeCell ref="C4:E4"/>
    <mergeCell ref="K4:Q4"/>
    <mergeCell ref="R4:X4"/>
    <mergeCell ref="Y4:AE4"/>
  </mergeCells>
  <conditionalFormatting sqref="H8:H10 H76:H81 H20:H31">
    <cfRule type="dataBar" priority="270">
      <dataBar>
        <cfvo type="num" val="0"/>
        <cfvo type="num" val="1"/>
        <color theme="0" tint="-0.34998626667073579"/>
      </dataBar>
      <extLst>
        <ext xmlns:x14="http://schemas.microsoft.com/office/spreadsheetml/2009/9/main" uri="{B025F937-C7B1-47D3-B67F-A62EFF666E3E}">
          <x14:id>{4383952B-9B0C-48C1-BFD1-691E8C27411D}</x14:id>
        </ext>
      </extLst>
    </cfRule>
  </conditionalFormatting>
  <conditionalFormatting sqref="H11">
    <cfRule type="dataBar" priority="157">
      <dataBar>
        <cfvo type="num" val="0"/>
        <cfvo type="num" val="1"/>
        <color theme="0" tint="-0.34998626667073579"/>
      </dataBar>
      <extLst>
        <ext xmlns:x14="http://schemas.microsoft.com/office/spreadsheetml/2009/9/main" uri="{B025F937-C7B1-47D3-B67F-A62EFF666E3E}">
          <x14:id>{7D2FC776-74D9-4476-9780-84A43220E42F}</x14:id>
        </ext>
      </extLst>
    </cfRule>
  </conditionalFormatting>
  <conditionalFormatting sqref="H12:H15">
    <cfRule type="dataBar" priority="153">
      <dataBar>
        <cfvo type="num" val="0"/>
        <cfvo type="num" val="1"/>
        <color theme="0" tint="-0.34998626667073579"/>
      </dataBar>
      <extLst>
        <ext xmlns:x14="http://schemas.microsoft.com/office/spreadsheetml/2009/9/main" uri="{B025F937-C7B1-47D3-B67F-A62EFF666E3E}">
          <x14:id>{BA172D67-6DFF-4677-A3D1-40A2430A387F}</x14:id>
        </ext>
      </extLst>
    </cfRule>
  </conditionalFormatting>
  <conditionalFormatting sqref="H16:H17">
    <cfRule type="dataBar" priority="149">
      <dataBar>
        <cfvo type="num" val="0"/>
        <cfvo type="num" val="1"/>
        <color theme="0" tint="-0.34998626667073579"/>
      </dataBar>
      <extLst>
        <ext xmlns:x14="http://schemas.microsoft.com/office/spreadsheetml/2009/9/main" uri="{B025F937-C7B1-47D3-B67F-A62EFF666E3E}">
          <x14:id>{7E3CD89A-2114-411B-8C8E-0AA4BF13E2A4}</x14:id>
        </ext>
      </extLst>
    </cfRule>
  </conditionalFormatting>
  <conditionalFormatting sqref="H18">
    <cfRule type="dataBar" priority="101">
      <dataBar>
        <cfvo type="num" val="0"/>
        <cfvo type="num" val="1"/>
        <color theme="0" tint="-0.34998626667073579"/>
      </dataBar>
      <extLst>
        <ext xmlns:x14="http://schemas.microsoft.com/office/spreadsheetml/2009/9/main" uri="{B025F937-C7B1-47D3-B67F-A62EFF666E3E}">
          <x14:id>{36078F53-EBDE-4057-850E-7A4D60ACB1D6}</x14:id>
        </ext>
      </extLst>
    </cfRule>
  </conditionalFormatting>
  <conditionalFormatting sqref="H19">
    <cfRule type="dataBar" priority="97">
      <dataBar>
        <cfvo type="num" val="0"/>
        <cfvo type="num" val="1"/>
        <color theme="0" tint="-0.34998626667073579"/>
      </dataBar>
      <extLst>
        <ext xmlns:x14="http://schemas.microsoft.com/office/spreadsheetml/2009/9/main" uri="{B025F937-C7B1-47D3-B67F-A62EFF666E3E}">
          <x14:id>{E1263A7A-36C1-43AA-9B99-9E3CA4833112}</x14:id>
        </ext>
      </extLst>
    </cfRule>
  </conditionalFormatting>
  <conditionalFormatting sqref="H32">
    <cfRule type="dataBar" priority="92">
      <dataBar>
        <cfvo type="num" val="0"/>
        <cfvo type="num" val="1"/>
        <color theme="0" tint="-0.34998626667073579"/>
      </dataBar>
      <extLst>
        <ext xmlns:x14="http://schemas.microsoft.com/office/spreadsheetml/2009/9/main" uri="{B025F937-C7B1-47D3-B67F-A62EFF666E3E}">
          <x14:id>{E8E036B3-6C34-4EB2-BB35-6528FB68960C}</x14:id>
        </ext>
      </extLst>
    </cfRule>
  </conditionalFormatting>
  <conditionalFormatting sqref="H33">
    <cfRule type="dataBar" priority="137">
      <dataBar>
        <cfvo type="num" val="0"/>
        <cfvo type="num" val="1"/>
        <color theme="0" tint="-0.34998626667073579"/>
      </dataBar>
      <extLst>
        <ext xmlns:x14="http://schemas.microsoft.com/office/spreadsheetml/2009/9/main" uri="{B025F937-C7B1-47D3-B67F-A62EFF666E3E}">
          <x14:id>{520363D3-0D56-4B9A-8359-C2748175D428}</x14:id>
        </ext>
      </extLst>
    </cfRule>
  </conditionalFormatting>
  <conditionalFormatting sqref="H34">
    <cfRule type="dataBar" priority="133">
      <dataBar>
        <cfvo type="num" val="0"/>
        <cfvo type="num" val="1"/>
        <color theme="0" tint="-0.34998626667073579"/>
      </dataBar>
      <extLst>
        <ext xmlns:x14="http://schemas.microsoft.com/office/spreadsheetml/2009/9/main" uri="{B025F937-C7B1-47D3-B67F-A62EFF666E3E}">
          <x14:id>{3DC39EB5-0FE9-4152-AD7C-C5462EB83545}</x14:id>
        </ext>
      </extLst>
    </cfRule>
  </conditionalFormatting>
  <conditionalFormatting sqref="H35">
    <cfRule type="dataBar" priority="129">
      <dataBar>
        <cfvo type="num" val="0"/>
        <cfvo type="num" val="1"/>
        <color theme="0" tint="-0.34998626667073579"/>
      </dataBar>
      <extLst>
        <ext xmlns:x14="http://schemas.microsoft.com/office/spreadsheetml/2009/9/main" uri="{B025F937-C7B1-47D3-B67F-A62EFF666E3E}">
          <x14:id>{035B067B-F147-496D-AFDF-02D831206D4C}</x14:id>
        </ext>
      </extLst>
    </cfRule>
  </conditionalFormatting>
  <conditionalFormatting sqref="H36">
    <cfRule type="dataBar" priority="125">
      <dataBar>
        <cfvo type="num" val="0"/>
        <cfvo type="num" val="1"/>
        <color theme="0" tint="-0.34998626667073579"/>
      </dataBar>
      <extLst>
        <ext xmlns:x14="http://schemas.microsoft.com/office/spreadsheetml/2009/9/main" uri="{B025F937-C7B1-47D3-B67F-A62EFF666E3E}">
          <x14:id>{A19C4530-FF9E-47A1-AE65-0A5BF7BDC7BC}</x14:id>
        </ext>
      </extLst>
    </cfRule>
  </conditionalFormatting>
  <conditionalFormatting sqref="H37">
    <cfRule type="dataBar" priority="121">
      <dataBar>
        <cfvo type="num" val="0"/>
        <cfvo type="num" val="1"/>
        <color theme="0" tint="-0.34998626667073579"/>
      </dataBar>
      <extLst>
        <ext xmlns:x14="http://schemas.microsoft.com/office/spreadsheetml/2009/9/main" uri="{B025F937-C7B1-47D3-B67F-A62EFF666E3E}">
          <x14:id>{5930C639-15C1-4DE9-97EC-1C3BB16DF75E}</x14:id>
        </ext>
      </extLst>
    </cfRule>
  </conditionalFormatting>
  <conditionalFormatting sqref="H38">
    <cfRule type="dataBar" priority="113">
      <dataBar>
        <cfvo type="num" val="0"/>
        <cfvo type="num" val="1"/>
        <color theme="0" tint="-0.34998626667073579"/>
      </dataBar>
      <extLst>
        <ext xmlns:x14="http://schemas.microsoft.com/office/spreadsheetml/2009/9/main" uri="{B025F937-C7B1-47D3-B67F-A62EFF666E3E}">
          <x14:id>{64AD2A66-F71A-4788-87AE-C9CB80E06B25}</x14:id>
        </ext>
      </extLst>
    </cfRule>
  </conditionalFormatting>
  <conditionalFormatting sqref="H39">
    <cfRule type="dataBar" priority="109">
      <dataBar>
        <cfvo type="num" val="0"/>
        <cfvo type="num" val="1"/>
        <color theme="0" tint="-0.34998626667073579"/>
      </dataBar>
      <extLst>
        <ext xmlns:x14="http://schemas.microsoft.com/office/spreadsheetml/2009/9/main" uri="{B025F937-C7B1-47D3-B67F-A62EFF666E3E}">
          <x14:id>{45FDE77E-8AB5-4130-9472-1FC251382A59}</x14:id>
        </ext>
      </extLst>
    </cfRule>
  </conditionalFormatting>
  <conditionalFormatting sqref="H62:H75 H40:H44 H46:H60">
    <cfRule type="dataBar" priority="105">
      <dataBar>
        <cfvo type="num" val="0"/>
        <cfvo type="num" val="1"/>
        <color theme="0" tint="-0.34998626667073579"/>
      </dataBar>
      <extLst>
        <ext xmlns:x14="http://schemas.microsoft.com/office/spreadsheetml/2009/9/main" uri="{B025F937-C7B1-47D3-B67F-A62EFF666E3E}">
          <x14:id>{CD16F3CA-7AF6-4A7D-B0D9-4C64148A3A33}</x14:id>
        </ext>
      </extLst>
    </cfRule>
  </conditionalFormatting>
  <conditionalFormatting sqref="H82:H86">
    <cfRule type="dataBar" priority="257">
      <dataBar>
        <cfvo type="num" val="0"/>
        <cfvo type="num" val="1"/>
        <color theme="0" tint="-0.34998626667073579"/>
      </dataBar>
      <extLst>
        <ext xmlns:x14="http://schemas.microsoft.com/office/spreadsheetml/2009/9/main" uri="{B025F937-C7B1-47D3-B67F-A62EFF666E3E}">
          <x14:id>{42371291-0D80-4E1E-9284-6142435A513E}</x14:id>
        </ext>
      </extLst>
    </cfRule>
  </conditionalFormatting>
  <conditionalFormatting sqref="H87:H89">
    <cfRule type="dataBar" priority="253">
      <dataBar>
        <cfvo type="num" val="0"/>
        <cfvo type="num" val="1"/>
        <color theme="0" tint="-0.34998626667073579"/>
      </dataBar>
      <extLst>
        <ext xmlns:x14="http://schemas.microsoft.com/office/spreadsheetml/2009/9/main" uri="{B025F937-C7B1-47D3-B67F-A62EFF666E3E}">
          <x14:id>{7E1F46DF-94D3-493F-8F62-1BBC80142C82}</x14:id>
        </ext>
      </extLst>
    </cfRule>
  </conditionalFormatting>
  <conditionalFormatting sqref="H90">
    <cfRule type="dataBar" priority="197">
      <dataBar>
        <cfvo type="num" val="0"/>
        <cfvo type="num" val="1"/>
        <color theme="0" tint="-0.34998626667073579"/>
      </dataBar>
      <extLst>
        <ext xmlns:x14="http://schemas.microsoft.com/office/spreadsheetml/2009/9/main" uri="{B025F937-C7B1-47D3-B67F-A62EFF666E3E}">
          <x14:id>{777DE504-C53C-40AD-B156-FC11B711CC19}</x14:id>
        </ext>
      </extLst>
    </cfRule>
  </conditionalFormatting>
  <conditionalFormatting sqref="H91">
    <cfRule type="dataBar" priority="193">
      <dataBar>
        <cfvo type="num" val="0"/>
        <cfvo type="num" val="1"/>
        <color theme="0" tint="-0.34998626667073579"/>
      </dataBar>
      <extLst>
        <ext xmlns:x14="http://schemas.microsoft.com/office/spreadsheetml/2009/9/main" uri="{B025F937-C7B1-47D3-B67F-A62EFF666E3E}">
          <x14:id>{8854B788-5316-4981-9484-0CC42B534E1C}</x14:id>
        </ext>
      </extLst>
    </cfRule>
  </conditionalFormatting>
  <conditionalFormatting sqref="H92:H96">
    <cfRule type="dataBar" priority="249">
      <dataBar>
        <cfvo type="num" val="0"/>
        <cfvo type="num" val="1"/>
        <color theme="0" tint="-0.34998626667073579"/>
      </dataBar>
      <extLst>
        <ext xmlns:x14="http://schemas.microsoft.com/office/spreadsheetml/2009/9/main" uri="{B025F937-C7B1-47D3-B67F-A62EFF666E3E}">
          <x14:id>{5FEB3D9F-6CC4-4AAB-BF86-C0BABBC52D23}</x14:id>
        </ext>
      </extLst>
    </cfRule>
  </conditionalFormatting>
  <conditionalFormatting sqref="H97:H98">
    <cfRule type="dataBar" priority="245">
      <dataBar>
        <cfvo type="num" val="0"/>
        <cfvo type="num" val="1"/>
        <color theme="0" tint="-0.34998626667073579"/>
      </dataBar>
      <extLst>
        <ext xmlns:x14="http://schemas.microsoft.com/office/spreadsheetml/2009/9/main" uri="{B025F937-C7B1-47D3-B67F-A62EFF666E3E}">
          <x14:id>{9707A22E-3CF9-4056-A7F5-2ACE12DF7B60}</x14:id>
        </ext>
      </extLst>
    </cfRule>
  </conditionalFormatting>
  <conditionalFormatting sqref="H99">
    <cfRule type="dataBar" priority="189">
      <dataBar>
        <cfvo type="num" val="0"/>
        <cfvo type="num" val="1"/>
        <color theme="0" tint="-0.34998626667073579"/>
      </dataBar>
      <extLst>
        <ext xmlns:x14="http://schemas.microsoft.com/office/spreadsheetml/2009/9/main" uri="{B025F937-C7B1-47D3-B67F-A62EFF666E3E}">
          <x14:id>{BFF2043D-3049-4183-818C-8274C086AD0A}</x14:id>
        </ext>
      </extLst>
    </cfRule>
  </conditionalFormatting>
  <conditionalFormatting sqref="H100">
    <cfRule type="dataBar" priority="181">
      <dataBar>
        <cfvo type="num" val="0"/>
        <cfvo type="num" val="1"/>
        <color theme="0" tint="-0.34998626667073579"/>
      </dataBar>
      <extLst>
        <ext xmlns:x14="http://schemas.microsoft.com/office/spreadsheetml/2009/9/main" uri="{B025F937-C7B1-47D3-B67F-A62EFF666E3E}">
          <x14:id>{91CCD22A-5C58-4215-A973-F4B3F7C835FA}</x14:id>
        </ext>
      </extLst>
    </cfRule>
  </conditionalFormatting>
  <conditionalFormatting sqref="H101">
    <cfRule type="dataBar" priority="177">
      <dataBar>
        <cfvo type="num" val="0"/>
        <cfvo type="num" val="1"/>
        <color theme="0" tint="-0.34998626667073579"/>
      </dataBar>
      <extLst>
        <ext xmlns:x14="http://schemas.microsoft.com/office/spreadsheetml/2009/9/main" uri="{B025F937-C7B1-47D3-B67F-A62EFF666E3E}">
          <x14:id>{418697C2-E203-4579-B7B5-F2871E4F6A79}</x14:id>
        </ext>
      </extLst>
    </cfRule>
  </conditionalFormatting>
  <conditionalFormatting sqref="H102">
    <cfRule type="dataBar" priority="169">
      <dataBar>
        <cfvo type="num" val="0"/>
        <cfvo type="num" val="1"/>
        <color theme="0" tint="-0.34998626667073579"/>
      </dataBar>
      <extLst>
        <ext xmlns:x14="http://schemas.microsoft.com/office/spreadsheetml/2009/9/main" uri="{B025F937-C7B1-47D3-B67F-A62EFF666E3E}">
          <x14:id>{6521E0B8-B658-4C8C-865E-50CD31104E82}</x14:id>
        </ext>
      </extLst>
    </cfRule>
  </conditionalFormatting>
  <conditionalFormatting sqref="H103">
    <cfRule type="dataBar" priority="165">
      <dataBar>
        <cfvo type="num" val="0"/>
        <cfvo type="num" val="1"/>
        <color theme="0" tint="-0.34998626667073579"/>
      </dataBar>
      <extLst>
        <ext xmlns:x14="http://schemas.microsoft.com/office/spreadsheetml/2009/9/main" uri="{B025F937-C7B1-47D3-B67F-A62EFF666E3E}">
          <x14:id>{555D1C5D-931E-4A6E-AB33-FD88BB128578}</x14:id>
        </ext>
      </extLst>
    </cfRule>
  </conditionalFormatting>
  <conditionalFormatting sqref="H104">
    <cfRule type="dataBar" priority="237">
      <dataBar>
        <cfvo type="num" val="0"/>
        <cfvo type="num" val="1"/>
        <color theme="0" tint="-0.34998626667073579"/>
      </dataBar>
      <extLst>
        <ext xmlns:x14="http://schemas.microsoft.com/office/spreadsheetml/2009/9/main" uri="{B025F937-C7B1-47D3-B67F-A62EFF666E3E}">
          <x14:id>{00C1BFB6-CDC4-4B2E-A26A-8F79EFBFF917}</x14:id>
        </ext>
      </extLst>
    </cfRule>
  </conditionalFormatting>
  <conditionalFormatting sqref="H105:H107">
    <cfRule type="dataBar" priority="233">
      <dataBar>
        <cfvo type="num" val="0"/>
        <cfvo type="num" val="1"/>
        <color theme="0" tint="-0.34998626667073579"/>
      </dataBar>
      <extLst>
        <ext xmlns:x14="http://schemas.microsoft.com/office/spreadsheetml/2009/9/main" uri="{B025F937-C7B1-47D3-B67F-A62EFF666E3E}">
          <x14:id>{3E5FA6A5-B6BA-4F76-B2BD-822452AB785A}</x14:id>
        </ext>
      </extLst>
    </cfRule>
  </conditionalFormatting>
  <conditionalFormatting sqref="H108">
    <cfRule type="dataBar" priority="225">
      <dataBar>
        <cfvo type="num" val="0"/>
        <cfvo type="num" val="1"/>
        <color theme="0" tint="-0.34998626667073579"/>
      </dataBar>
      <extLst>
        <ext xmlns:x14="http://schemas.microsoft.com/office/spreadsheetml/2009/9/main" uri="{B025F937-C7B1-47D3-B67F-A62EFF666E3E}">
          <x14:id>{EDD923D3-8F13-49A6-A23E-B3CD0D8158C9}</x14:id>
        </ext>
      </extLst>
    </cfRule>
  </conditionalFormatting>
  <conditionalFormatting sqref="H109:H113">
    <cfRule type="dataBar" priority="217">
      <dataBar>
        <cfvo type="num" val="0"/>
        <cfvo type="num" val="1"/>
        <color theme="0" tint="-0.34998626667073579"/>
      </dataBar>
      <extLst>
        <ext xmlns:x14="http://schemas.microsoft.com/office/spreadsheetml/2009/9/main" uri="{B025F937-C7B1-47D3-B67F-A62EFF666E3E}">
          <x14:id>{9090F994-BE31-4869-9350-CC9DEA17195F}</x14:id>
        </ext>
      </extLst>
    </cfRule>
  </conditionalFormatting>
  <conditionalFormatting sqref="H114">
    <cfRule type="dataBar" priority="205">
      <dataBar>
        <cfvo type="num" val="0"/>
        <cfvo type="num" val="1"/>
        <color theme="0" tint="-0.34998626667073579"/>
      </dataBar>
      <extLst>
        <ext xmlns:x14="http://schemas.microsoft.com/office/spreadsheetml/2009/9/main" uri="{B025F937-C7B1-47D3-B67F-A62EFF666E3E}">
          <x14:id>{A5B265BB-F427-401C-8347-B9525CF52D17}</x14:id>
        </ext>
      </extLst>
    </cfRule>
  </conditionalFormatting>
  <conditionalFormatting sqref="H115">
    <cfRule type="dataBar" priority="201">
      <dataBar>
        <cfvo type="num" val="0"/>
        <cfvo type="num" val="1"/>
        <color theme="0" tint="-0.34998626667073579"/>
      </dataBar>
      <extLst>
        <ext xmlns:x14="http://schemas.microsoft.com/office/spreadsheetml/2009/9/main" uri="{B025F937-C7B1-47D3-B67F-A62EFF666E3E}">
          <x14:id>{58E687B7-55DC-490E-A8CB-7F5BA5CDB16F}</x14:id>
        </ext>
      </extLst>
    </cfRule>
  </conditionalFormatting>
  <conditionalFormatting sqref="K6:BN7">
    <cfRule type="expression" dxfId="10" priority="313">
      <formula>K$6=TODAY()</formula>
    </cfRule>
  </conditionalFormatting>
  <conditionalFormatting sqref="K6:BN44 K46:BN60">
    <cfRule type="expression" dxfId="9" priority="5">
      <formula>K$6=TODAY()</formula>
    </cfRule>
  </conditionalFormatting>
  <conditionalFormatting sqref="K8:BN60">
    <cfRule type="expression" dxfId="8" priority="6">
      <formula>AND($E8&lt;=K$6,ROUNDDOWN(($F8-$E8+1)*$H8,0)+$E8-1&gt;=K$6)</formula>
    </cfRule>
    <cfRule type="expression" dxfId="7" priority="7">
      <formula>AND(NOT(ISBLANK($E8)),$E8&lt;=K$6,$F8&gt;=K$6)</formula>
    </cfRule>
  </conditionalFormatting>
  <conditionalFormatting sqref="K62:BN115">
    <cfRule type="expression" dxfId="6" priority="98">
      <formula>K$6=TODAY()</formula>
    </cfRule>
    <cfRule type="expression" dxfId="5" priority="99">
      <formula>AND($E62&lt;=K$6,ROUNDDOWN(($F62-$E62+1)*$H62,0)+$E62-1&gt;=K$6)</formula>
    </cfRule>
    <cfRule type="expression" dxfId="4" priority="100">
      <formula>AND(NOT(ISBLANK($E62)),$E62&lt;=K$6,$F62&gt;=K$6)</formula>
    </cfRule>
  </conditionalFormatting>
  <conditionalFormatting sqref="K45:BN45">
    <cfRule type="expression" dxfId="3" priority="1">
      <formula>K$6=TODAY()</formula>
    </cfRule>
  </conditionalFormatting>
  <conditionalFormatting sqref="H45">
    <cfRule type="dataBar" priority="4">
      <dataBar>
        <cfvo type="num" val="0"/>
        <cfvo type="num" val="1"/>
        <color theme="0" tint="-0.34998626667073579"/>
      </dataBar>
      <extLst>
        <ext xmlns:x14="http://schemas.microsoft.com/office/spreadsheetml/2009/9/main" uri="{B025F937-C7B1-47D3-B67F-A62EFF666E3E}">
          <x14:id>{10FFD160-01F1-4462-B21C-F2F42D564CF6}</x14:id>
        </ext>
      </extLst>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ignoredErrors>
    <ignoredError sqref="A76" formula="1"/>
    <ignoredError sqref="E76 G76:H76 H78:H80"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4383952B-9B0C-48C1-BFD1-691E8C27411D}">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7D2FC776-74D9-4476-9780-84A43220E42F}">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BA172D67-6DFF-4677-A3D1-40A2430A387F}">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7E3CD89A-2114-411B-8C8E-0AA4BF13E2A4}">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36078F53-EBDE-4057-850E-7A4D60ACB1D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E1263A7A-36C1-43AA-9B99-9E3CA4833112}">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E8E036B3-6C34-4EB2-BB35-6528FB68960C}">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520363D3-0D56-4B9A-8359-C2748175D428}">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DC39EB5-0FE9-4152-AD7C-C5462EB83545}">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035B067B-F147-496D-AFDF-02D831206D4C}">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A19C4530-FF9E-47A1-AE65-0A5BF7BDC7BC}">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5930C639-15C1-4DE9-97EC-1C3BB16DF75E}">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64AD2A66-F71A-4788-87AE-C9CB80E06B25}">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5FDE77E-8AB5-4130-9472-1FC251382A59}">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CD16F3CA-7AF6-4A7D-B0D9-4C64148A3A33}">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42371291-0D80-4E1E-9284-6142435A513E}">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7E1F46DF-94D3-493F-8F62-1BBC80142C82}">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777DE504-C53C-40AD-B156-FC11B711CC19}">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8854B788-5316-4981-9484-0CC42B534E1C}">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5FEB3D9F-6CC4-4AAB-BF86-C0BABBC52D2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9707A22E-3CF9-4056-A7F5-2ACE12DF7B60}">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BFF2043D-3049-4183-818C-8274C086AD0A}">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1CCD22A-5C58-4215-A973-F4B3F7C835FA}">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418697C2-E203-4579-B7B5-F2871E4F6A79}">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6521E0B8-B658-4C8C-865E-50CD31104E82}">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555D1C5D-931E-4A6E-AB33-FD88BB128578}">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00C1BFB6-CDC4-4B2E-A26A-8F79EFBFF917}">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3E5FA6A5-B6BA-4F76-B2BD-822452AB785A}">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EDD923D3-8F13-49A6-A23E-B3CD0D8158C9}">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9090F994-BE31-4869-9350-CC9DEA17195F}">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A5B265BB-F427-401C-8347-B9525CF52D17}">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58E687B7-55DC-490E-A8CB-7F5BA5CDB16F}">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10FFD160-01F1-4462-B21C-F2F42D564CF6}">
            <x14:dataBar minLength="0" maxLength="100" gradient="0">
              <x14:cfvo type="num">
                <xm:f>0</xm:f>
              </x14:cfvo>
              <x14:cfvo type="num">
                <xm:f>1</xm:f>
              </x14:cfvo>
              <x14:negativeFillColor rgb="FFFF0000"/>
              <x14:axisColor rgb="FF000000"/>
            </x14:dataBar>
          </x14:cfRule>
          <xm:sqref>H45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110</v>
      </c>
    </row>
    <row r="4" spans="1:3">
      <c r="C4" s="36" t="s">
        <v>111</v>
      </c>
    </row>
    <row r="5" spans="1:3">
      <c r="C5" t="s">
        <v>112</v>
      </c>
    </row>
    <row r="7" spans="1:3" ht="18">
      <c r="C7" s="52" t="s">
        <v>113</v>
      </c>
    </row>
    <row r="8" spans="1:3">
      <c r="C8" s="53" t="s">
        <v>114</v>
      </c>
    </row>
    <row r="10" spans="1:3">
      <c r="C10" t="s">
        <v>115</v>
      </c>
    </row>
    <row r="11" spans="1:3">
      <c r="C11" t="s">
        <v>116</v>
      </c>
    </row>
    <row r="13" spans="1:3" ht="18">
      <c r="C13" s="52" t="s">
        <v>117</v>
      </c>
    </row>
    <row r="16" spans="1:3" ht="15.75">
      <c r="A16" s="27" t="s">
        <v>118</v>
      </c>
    </row>
    <row r="18" spans="2:2" ht="15">
      <c r="B18" s="54" t="s">
        <v>119</v>
      </c>
    </row>
    <row r="19" spans="2:2">
      <c r="B19" t="s">
        <v>120</v>
      </c>
    </row>
    <row r="20" spans="2:2">
      <c r="B20" t="s">
        <v>121</v>
      </c>
    </row>
    <row r="22" spans="2:2" ht="15">
      <c r="B22" s="54" t="s">
        <v>122</v>
      </c>
    </row>
    <row r="23" spans="2:2">
      <c r="B23" t="s">
        <v>123</v>
      </c>
    </row>
    <row r="24" spans="2:2">
      <c r="B24" t="s">
        <v>124</v>
      </c>
    </row>
    <row r="26" spans="2:2" ht="15">
      <c r="B26" s="54" t="s">
        <v>125</v>
      </c>
    </row>
    <row r="27" spans="2:2">
      <c r="B27" t="s">
        <v>126</v>
      </c>
    </row>
    <row r="28" spans="2:2">
      <c r="B28" t="s">
        <v>127</v>
      </c>
    </row>
    <row r="29" spans="2:2">
      <c r="B29" t="s">
        <v>128</v>
      </c>
    </row>
    <row r="30" spans="2:2">
      <c r="B30" t="s">
        <v>129</v>
      </c>
    </row>
    <row r="31" spans="2:2">
      <c r="B31" t="s">
        <v>130</v>
      </c>
    </row>
    <row r="32" spans="2:2">
      <c r="B32" t="s">
        <v>131</v>
      </c>
    </row>
    <row r="34" spans="2:2" ht="15">
      <c r="B34" s="54" t="s">
        <v>132</v>
      </c>
    </row>
    <row r="35" spans="2:2">
      <c r="B35" t="s">
        <v>133</v>
      </c>
    </row>
    <row r="36" spans="2:2">
      <c r="B36" t="s">
        <v>134</v>
      </c>
    </row>
    <row r="37" spans="2:2">
      <c r="B37" t="s">
        <v>135</v>
      </c>
    </row>
    <row r="39" spans="2:2" ht="15">
      <c r="B39" s="54" t="s">
        <v>136</v>
      </c>
    </row>
    <row r="40" spans="2:2">
      <c r="B40" t="s">
        <v>137</v>
      </c>
    </row>
    <row r="42" spans="2:2" ht="15">
      <c r="B42" s="54" t="s">
        <v>138</v>
      </c>
    </row>
    <row r="43" spans="2:2">
      <c r="B43" t="s">
        <v>139</v>
      </c>
    </row>
    <row r="44" spans="2:2">
      <c r="B44" t="s">
        <v>140</v>
      </c>
    </row>
    <row r="46" spans="2:2" ht="18">
      <c r="B46" s="52" t="s">
        <v>141</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142</v>
      </c>
      <c r="B1" s="23"/>
    </row>
    <row r="2" spans="1:3" ht="14.25">
      <c r="A2" s="24" t="s">
        <v>114</v>
      </c>
      <c r="B2" s="25"/>
    </row>
    <row r="3" spans="1:3">
      <c r="B3" s="25"/>
    </row>
    <row r="4" spans="1:3" ht="18">
      <c r="A4" s="26" t="s">
        <v>143</v>
      </c>
      <c r="B4" s="27"/>
    </row>
    <row r="5" spans="1:3" ht="57">
      <c r="B5" s="28" t="s">
        <v>144</v>
      </c>
    </row>
    <row r="7" spans="1:3" ht="28.5">
      <c r="B7" s="28" t="s">
        <v>145</v>
      </c>
    </row>
    <row r="9" spans="1:3" ht="14.25">
      <c r="B9" s="24" t="s">
        <v>146</v>
      </c>
    </row>
    <row r="11" spans="1:3" ht="28.5">
      <c r="B11" s="29" t="s">
        <v>147</v>
      </c>
    </row>
    <row r="13" spans="1:3" ht="18">
      <c r="A13" s="117" t="s">
        <v>148</v>
      </c>
      <c r="B13" s="117"/>
    </row>
    <row r="15" spans="1:3" s="22" customFormat="1" ht="18">
      <c r="A15" s="30"/>
      <c r="B15" s="31" t="s">
        <v>149</v>
      </c>
    </row>
    <row r="16" spans="1:3" s="22" customFormat="1" ht="18">
      <c r="A16" s="30"/>
      <c r="B16" s="31" t="s">
        <v>150</v>
      </c>
      <c r="C16" s="32" t="s">
        <v>151</v>
      </c>
    </row>
    <row r="17" spans="1:3" ht="18">
      <c r="A17" s="33"/>
      <c r="B17" s="31" t="s">
        <v>152</v>
      </c>
    </row>
    <row r="18" spans="1:3" ht="18">
      <c r="A18" s="33"/>
      <c r="B18" s="31" t="s">
        <v>153</v>
      </c>
    </row>
    <row r="19" spans="1:3" ht="18">
      <c r="A19" s="33"/>
      <c r="B19" s="31" t="s">
        <v>154</v>
      </c>
    </row>
    <row r="20" spans="1:3" s="22" customFormat="1" ht="18">
      <c r="A20" s="30"/>
      <c r="B20" s="31" t="s">
        <v>155</v>
      </c>
      <c r="C20" s="34" t="s">
        <v>156</v>
      </c>
    </row>
    <row r="21" spans="1:3" ht="18">
      <c r="A21" s="33"/>
      <c r="B21" s="31" t="s">
        <v>157</v>
      </c>
    </row>
    <row r="22" spans="1:3" ht="18">
      <c r="A22" s="33"/>
      <c r="B22" s="35" t="s">
        <v>158</v>
      </c>
    </row>
    <row r="23" spans="1:3" ht="18">
      <c r="A23" s="33"/>
      <c r="B23" s="36"/>
    </row>
    <row r="24" spans="1:3" ht="18">
      <c r="A24" s="117" t="s">
        <v>159</v>
      </c>
      <c r="B24" s="117"/>
    </row>
    <row r="25" spans="1:3" ht="43.5">
      <c r="A25" s="33"/>
      <c r="B25" s="31" t="s">
        <v>160</v>
      </c>
    </row>
    <row r="26" spans="1:3" ht="18">
      <c r="A26" s="33"/>
      <c r="B26" s="31"/>
    </row>
    <row r="27" spans="1:3" ht="18">
      <c r="A27" s="33"/>
      <c r="B27" s="37" t="s">
        <v>161</v>
      </c>
    </row>
    <row r="28" spans="1:3" ht="18">
      <c r="A28" s="33"/>
      <c r="B28" s="31" t="s">
        <v>162</v>
      </c>
    </row>
    <row r="29" spans="1:3" ht="28.5">
      <c r="A29" s="33"/>
      <c r="B29" s="31" t="s">
        <v>163</v>
      </c>
    </row>
    <row r="30" spans="1:3" ht="18">
      <c r="A30" s="33"/>
      <c r="B30" s="31"/>
    </row>
    <row r="31" spans="1:3" ht="18">
      <c r="A31" s="33"/>
      <c r="B31" s="37" t="s">
        <v>164</v>
      </c>
    </row>
    <row r="32" spans="1:3" ht="18">
      <c r="A32" s="33"/>
      <c r="B32" s="31" t="s">
        <v>165</v>
      </c>
    </row>
    <row r="33" spans="1:2" ht="18">
      <c r="A33" s="33"/>
      <c r="B33" s="31" t="s">
        <v>166</v>
      </c>
    </row>
    <row r="34" spans="1:2" ht="18">
      <c r="A34" s="33"/>
      <c r="B34" s="36"/>
    </row>
    <row r="35" spans="1:2" ht="28.5">
      <c r="A35" s="33"/>
      <c r="B35" s="31" t="s">
        <v>167</v>
      </c>
    </row>
    <row r="36" spans="1:2" ht="18">
      <c r="A36" s="33"/>
      <c r="B36" s="38" t="s">
        <v>168</v>
      </c>
    </row>
    <row r="37" spans="1:2" ht="18">
      <c r="A37" s="33"/>
      <c r="B37" s="36"/>
    </row>
    <row r="38" spans="1:2" ht="18">
      <c r="A38" s="117" t="s">
        <v>169</v>
      </c>
      <c r="B38" s="117"/>
    </row>
    <row r="39" spans="1:2" ht="28.5">
      <c r="B39" s="31" t="s">
        <v>170</v>
      </c>
    </row>
    <row r="41" spans="1:2" ht="14.25">
      <c r="B41" s="31" t="s">
        <v>171</v>
      </c>
    </row>
    <row r="43" spans="1:2" ht="28.5">
      <c r="B43" s="31" t="s">
        <v>172</v>
      </c>
    </row>
    <row r="45" spans="1:2" ht="28.5">
      <c r="B45" s="31" t="s">
        <v>173</v>
      </c>
    </row>
    <row r="46" spans="1:2">
      <c r="B46" s="39"/>
    </row>
    <row r="47" spans="1:2" ht="28.5">
      <c r="B47" s="31" t="s">
        <v>174</v>
      </c>
    </row>
    <row r="49" spans="1:2" ht="18">
      <c r="A49" s="117" t="s">
        <v>175</v>
      </c>
      <c r="B49" s="117"/>
    </row>
    <row r="50" spans="1:2" ht="28.5">
      <c r="B50" s="31" t="s">
        <v>176</v>
      </c>
    </row>
    <row r="52" spans="1:2" ht="14.25">
      <c r="A52" s="40" t="s">
        <v>177</v>
      </c>
      <c r="B52" s="31" t="s">
        <v>178</v>
      </c>
    </row>
    <row r="53" spans="1:2" ht="14.25">
      <c r="A53" s="40" t="s">
        <v>179</v>
      </c>
      <c r="B53" s="31" t="s">
        <v>180</v>
      </c>
    </row>
    <row r="54" spans="1:2" ht="14.25">
      <c r="A54" s="40" t="s">
        <v>181</v>
      </c>
      <c r="B54" s="31" t="s">
        <v>182</v>
      </c>
    </row>
    <row r="55" spans="1:2" ht="28.5">
      <c r="A55" s="29"/>
      <c r="B55" s="31" t="s">
        <v>183</v>
      </c>
    </row>
    <row r="56" spans="1:2" ht="28.5">
      <c r="A56" s="29"/>
      <c r="B56" s="31" t="s">
        <v>184</v>
      </c>
    </row>
    <row r="57" spans="1:2" ht="14.25">
      <c r="A57" s="40" t="s">
        <v>185</v>
      </c>
      <c r="B57" s="31" t="s">
        <v>186</v>
      </c>
    </row>
    <row r="58" spans="1:2" ht="14.25">
      <c r="A58" s="29"/>
      <c r="B58" s="31" t="s">
        <v>187</v>
      </c>
    </row>
    <row r="59" spans="1:2" ht="14.25">
      <c r="A59" s="29"/>
      <c r="B59" s="31" t="s">
        <v>188</v>
      </c>
    </row>
    <row r="60" spans="1:2" ht="14.25">
      <c r="A60" s="40" t="s">
        <v>189</v>
      </c>
      <c r="B60" s="31" t="s">
        <v>190</v>
      </c>
    </row>
    <row r="61" spans="1:2" ht="28.5">
      <c r="A61" s="29"/>
      <c r="B61" s="31" t="s">
        <v>191</v>
      </c>
    </row>
    <row r="62" spans="1:2" ht="14.25">
      <c r="A62" s="40" t="s">
        <v>192</v>
      </c>
      <c r="B62" s="31" t="s">
        <v>193</v>
      </c>
    </row>
    <row r="63" spans="1:2" ht="14.25">
      <c r="A63" s="41"/>
      <c r="B63" s="31" t="s">
        <v>194</v>
      </c>
    </row>
    <row r="64" spans="1:2">
      <c r="B64" s="42"/>
    </row>
    <row r="65" spans="1:2" ht="18">
      <c r="A65" s="117" t="s">
        <v>195</v>
      </c>
      <c r="B65" s="117"/>
    </row>
    <row r="66" spans="1:2" ht="42.75">
      <c r="B66" s="31" t="s">
        <v>196</v>
      </c>
    </row>
    <row r="68" spans="1:2" ht="18">
      <c r="A68" s="117" t="s">
        <v>197</v>
      </c>
      <c r="B68" s="117"/>
    </row>
    <row r="69" spans="1:2" ht="15">
      <c r="A69" s="43" t="s">
        <v>198</v>
      </c>
      <c r="B69" s="44" t="s">
        <v>199</v>
      </c>
    </row>
    <row r="70" spans="1:2" ht="28.5">
      <c r="A70" s="41"/>
      <c r="B70" s="45" t="s">
        <v>200</v>
      </c>
    </row>
    <row r="71" spans="1:2" ht="14.25">
      <c r="A71" s="41"/>
      <c r="B71" s="46"/>
    </row>
    <row r="72" spans="1:2" ht="15">
      <c r="A72" s="43" t="s">
        <v>198</v>
      </c>
      <c r="B72" s="44" t="s">
        <v>201</v>
      </c>
    </row>
    <row r="73" spans="1:2" ht="28.5">
      <c r="A73" s="41"/>
      <c r="B73" s="45" t="s">
        <v>202</v>
      </c>
    </row>
    <row r="74" spans="1:2" ht="14.25">
      <c r="A74" s="41"/>
      <c r="B74" s="46"/>
    </row>
    <row r="75" spans="1:2" ht="15">
      <c r="A75" s="43" t="s">
        <v>198</v>
      </c>
      <c r="B75" s="47" t="s">
        <v>203</v>
      </c>
    </row>
    <row r="76" spans="1:2" ht="42.75">
      <c r="A76" s="41"/>
      <c r="B76" s="28" t="s">
        <v>204</v>
      </c>
    </row>
    <row r="77" spans="1:2" ht="14.25">
      <c r="A77" s="41"/>
      <c r="B77" s="41"/>
    </row>
    <row r="78" spans="1:2" ht="15">
      <c r="A78" s="43" t="s">
        <v>198</v>
      </c>
      <c r="B78" s="47" t="s">
        <v>205</v>
      </c>
    </row>
    <row r="79" spans="1:2" ht="28.5">
      <c r="A79" s="41"/>
      <c r="B79" s="28" t="s">
        <v>206</v>
      </c>
    </row>
    <row r="80" spans="1:2" ht="14.25">
      <c r="A80" s="41"/>
      <c r="B80" s="41"/>
    </row>
    <row r="81" spans="1:2" ht="15">
      <c r="A81" s="43" t="s">
        <v>198</v>
      </c>
      <c r="B81" s="47" t="s">
        <v>207</v>
      </c>
    </row>
    <row r="82" spans="1:2" ht="14.25">
      <c r="A82" s="41"/>
      <c r="B82" s="48" t="s">
        <v>208</v>
      </c>
    </row>
    <row r="83" spans="1:2" ht="14.25">
      <c r="A83" s="41"/>
      <c r="B83" s="48" t="s">
        <v>209</v>
      </c>
    </row>
    <row r="84" spans="1:2" ht="14.25">
      <c r="A84" s="41"/>
      <c r="B84" s="48" t="s">
        <v>210</v>
      </c>
    </row>
    <row r="85" spans="1:2" ht="15">
      <c r="A85" s="41"/>
      <c r="B85" s="49"/>
    </row>
    <row r="86" spans="1:2" ht="15">
      <c r="A86" s="43" t="s">
        <v>198</v>
      </c>
      <c r="B86" s="47" t="s">
        <v>211</v>
      </c>
    </row>
    <row r="87" spans="1:2" ht="42.75">
      <c r="A87" s="41"/>
      <c r="B87" s="28" t="s">
        <v>212</v>
      </c>
    </row>
    <row r="88" spans="1:2" ht="14.25">
      <c r="A88" s="41"/>
      <c r="B88" s="103" t="s">
        <v>213</v>
      </c>
    </row>
    <row r="89" spans="1:2" ht="57">
      <c r="A89" s="41"/>
      <c r="B89" s="104" t="s">
        <v>214</v>
      </c>
    </row>
    <row r="90" spans="1:2" ht="14.25">
      <c r="A90" s="41"/>
      <c r="B90" s="41"/>
    </row>
    <row r="91" spans="1:2" ht="15">
      <c r="A91" s="43" t="s">
        <v>198</v>
      </c>
      <c r="B91" s="47" t="s">
        <v>215</v>
      </c>
    </row>
    <row r="92" spans="1:2" ht="28.5">
      <c r="A92" s="29"/>
      <c r="B92" s="48" t="s">
        <v>216</v>
      </c>
    </row>
    <row r="94" spans="1:2">
      <c r="A94" s="50" t="s">
        <v>217</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218</v>
      </c>
      <c r="B1" s="12"/>
    </row>
    <row r="2" spans="1:3" ht="15">
      <c r="B2" s="13"/>
    </row>
    <row r="3" spans="1:3" ht="15">
      <c r="A3" s="14"/>
      <c r="B3" s="15" t="s">
        <v>219</v>
      </c>
      <c r="C3" s="14"/>
    </row>
    <row r="4" spans="1:3" ht="14.25">
      <c r="A4" s="16"/>
      <c r="B4" s="17" t="s">
        <v>114</v>
      </c>
      <c r="C4" s="16"/>
    </row>
    <row r="5" spans="1:3" ht="15">
      <c r="A5" s="16"/>
      <c r="B5" s="18"/>
      <c r="C5" s="16"/>
    </row>
    <row r="6" spans="1:3" ht="15.75">
      <c r="A6" s="16"/>
      <c r="B6" s="19" t="s">
        <v>217</v>
      </c>
      <c r="C6" s="16"/>
    </row>
    <row r="7" spans="1:3" ht="15">
      <c r="A7" s="16"/>
      <c r="B7" s="18"/>
      <c r="C7" s="16"/>
    </row>
    <row r="8" spans="1:3" ht="30">
      <c r="A8" s="16"/>
      <c r="B8" s="18" t="s">
        <v>220</v>
      </c>
      <c r="C8" s="16"/>
    </row>
    <row r="9" spans="1:3" ht="15">
      <c r="A9" s="16"/>
      <c r="B9" s="18"/>
      <c r="C9" s="16"/>
    </row>
    <row r="10" spans="1:3" ht="46.5">
      <c r="A10" s="16"/>
      <c r="B10" s="18" t="s">
        <v>221</v>
      </c>
      <c r="C10" s="16"/>
    </row>
    <row r="11" spans="1:3" ht="15">
      <c r="A11" s="16"/>
      <c r="B11" s="18"/>
      <c r="C11" s="16"/>
    </row>
    <row r="12" spans="1:3" ht="45">
      <c r="A12" s="16"/>
      <c r="B12" s="18" t="s">
        <v>222</v>
      </c>
      <c r="C12" s="16"/>
    </row>
    <row r="13" spans="1:3" ht="15">
      <c r="A13" s="16"/>
      <c r="B13" s="18"/>
      <c r="C13" s="16"/>
    </row>
    <row r="14" spans="1:3" ht="60">
      <c r="A14" s="16"/>
      <c r="B14" s="18" t="s">
        <v>223</v>
      </c>
      <c r="C14" s="16"/>
    </row>
    <row r="15" spans="1:3" ht="15">
      <c r="A15" s="16"/>
      <c r="B15" s="18"/>
      <c r="C15" s="16"/>
    </row>
    <row r="16" spans="1:3" ht="30.75">
      <c r="A16" s="16"/>
      <c r="B16" s="18" t="s">
        <v>224</v>
      </c>
      <c r="C16" s="16"/>
    </row>
    <row r="17" spans="1:3" ht="15">
      <c r="A17" s="16"/>
      <c r="B17" s="18"/>
      <c r="C17" s="16"/>
    </row>
    <row r="18" spans="1:3" ht="15.75">
      <c r="A18" s="16"/>
      <c r="B18" s="19" t="s">
        <v>225</v>
      </c>
      <c r="C18" s="16"/>
    </row>
    <row r="19" spans="1:3" ht="15">
      <c r="A19" s="16"/>
      <c r="B19" s="20" t="s">
        <v>226</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election sqref="A1:M1"/>
    </sheetView>
  </sheetViews>
  <sheetFormatPr defaultColWidth="9" defaultRowHeight="12.75"/>
  <cols>
    <col min="1" max="1" width="49.7109375" customWidth="1"/>
  </cols>
  <sheetData>
    <row r="1" spans="1:13" ht="37.5" customHeight="1">
      <c r="A1" s="118" t="s">
        <v>238</v>
      </c>
      <c r="B1" s="118"/>
      <c r="C1" s="118"/>
      <c r="D1" s="118"/>
      <c r="E1" s="118"/>
      <c r="F1" s="118"/>
      <c r="G1" s="118"/>
      <c r="H1" s="118"/>
      <c r="I1" s="118"/>
      <c r="J1" s="118"/>
      <c r="K1" s="118"/>
      <c r="L1" s="118"/>
      <c r="M1" s="118"/>
    </row>
    <row r="4" spans="1:13">
      <c r="A4" t="s">
        <v>234</v>
      </c>
    </row>
    <row r="5" spans="1:13">
      <c r="A5" t="s">
        <v>235</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227</v>
      </c>
      <c r="B3" s="3"/>
    </row>
    <row r="4" spans="1:66" ht="15">
      <c r="A4" s="2" t="s">
        <v>228</v>
      </c>
      <c r="B4" s="3"/>
    </row>
    <row r="5" spans="1:66" ht="15">
      <c r="A5" s="2" t="s">
        <v>229</v>
      </c>
      <c r="B5" s="3"/>
    </row>
    <row r="6" spans="1:66">
      <c r="A6" s="2" t="s">
        <v>230</v>
      </c>
    </row>
    <row r="7" spans="1:66">
      <c r="A7" s="2" t="s">
        <v>231</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227</v>
      </c>
      <c r="C13" s="1" t="s">
        <v>27</v>
      </c>
      <c r="D13" s="5"/>
      <c r="E13" s="6">
        <f>GanttChart!F59+1</f>
        <v>46115</v>
      </c>
      <c r="F13" s="7">
        <f t="shared" ref="F13:F17" si="0">IF(ISBLANK(E13)," - ",IF(G13=0,E13,E13+G13-1))</f>
        <v>46116</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228</v>
      </c>
      <c r="C14" s="1" t="s">
        <v>19</v>
      </c>
      <c r="D14" s="5"/>
      <c r="E14" s="6">
        <f>GanttChart!F60+1</f>
        <v>46119</v>
      </c>
      <c r="F14" s="7">
        <f t="shared" si="0"/>
        <v>46122</v>
      </c>
      <c r="G14" s="8">
        <v>4</v>
      </c>
      <c r="H14" s="9">
        <v>0</v>
      </c>
      <c r="I14" s="10">
        <f t="shared" si="1"/>
        <v>4</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229</v>
      </c>
      <c r="C15" s="1" t="s">
        <v>27</v>
      </c>
      <c r="D15" s="5"/>
      <c r="E15" s="6">
        <f t="shared" ref="E15:E17" si="2">F13+1</f>
        <v>46117</v>
      </c>
      <c r="F15" s="7">
        <f t="shared" si="0"/>
        <v>46120</v>
      </c>
      <c r="G15" s="8">
        <v>4</v>
      </c>
      <c r="H15" s="9">
        <v>0</v>
      </c>
      <c r="I15" s="10">
        <f t="shared" si="1"/>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230</v>
      </c>
      <c r="C16" s="1" t="s">
        <v>19</v>
      </c>
      <c r="D16" s="5"/>
      <c r="E16" s="6">
        <f t="shared" si="2"/>
        <v>46123</v>
      </c>
      <c r="F16" s="7">
        <f t="shared" si="0"/>
        <v>46124</v>
      </c>
      <c r="G16" s="8">
        <v>2</v>
      </c>
      <c r="H16" s="9">
        <v>0</v>
      </c>
      <c r="I16" s="10">
        <f t="shared" si="1"/>
        <v>0</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231</v>
      </c>
      <c r="C17" s="1" t="s">
        <v>27</v>
      </c>
      <c r="D17" s="5"/>
      <c r="E17" s="6">
        <f t="shared" si="2"/>
        <v>46121</v>
      </c>
      <c r="F17" s="7">
        <f t="shared" si="0"/>
        <v>46122</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232</v>
      </c>
    </row>
  </sheetData>
  <conditionalFormatting sqref="H13">
    <cfRule type="dataBar" priority="20">
      <dataBar>
        <cfvo type="num" val="0"/>
        <cfvo type="num" val="1"/>
        <color theme="0" tint="-0.34998626667073579"/>
      </dataBar>
      <extLst>
        <ext xmlns:x14="http://schemas.microsoft.com/office/spreadsheetml/2009/9/main" uri="{B025F937-C7B1-47D3-B67F-A62EFF666E3E}">
          <x14:id>{C4989F41-A0ED-4A12-A2E8-92A060C88598}</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{2389161A-9AA1-46DF-BB6A-42E690BDEC00}</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{C69893B1-B370-4B84-A428-C65249C6BFD4}</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{A3D3A7FD-C072-4D9C-BF9D-EE9EF1A1E036}</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{70878BF5-14D0-452A-A84D-F078893FEA0C}</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4989F41-A0ED-4A12-A2E8-92A060C88598}">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389161A-9AA1-46DF-BB6A-42E690BDEC00}">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C69893B1-B370-4B84-A428-C65249C6BFD4}">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A3D3A7FD-C072-4D9C-BF9D-EE9EF1A1E036}">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70878BF5-14D0-452A-A84D-F078893FEA0C}">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2025-11-24T02:54:00Z</cp:lastPrinted>
  <dcterms:created xsi:type="dcterms:W3CDTF">2010-06-09T16:05:00Z</dcterms:created>
  <dcterms:modified xsi:type="dcterms:W3CDTF">2026-03-02T06:29:21Z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
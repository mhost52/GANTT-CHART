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s>
  <definedNames>
    <definedName name="prevWBS" localSheetId="0">GanttChart!$A1048576</definedName>
    <definedName name="_xlnm.Print_Area" localSheetId="0">GanttChart!$A$1:$BN$75</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Vertex42</author>
    <author>Vertex42.com Templates</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<sst xmlns="http://schemas.openxmlformats.org/spreadsheetml/2006/main" count="299" uniqueCount="220">
  <si>
    <t>RICEF BY LEUWITEX ( update 24 January 2026 )</t>
  </si>
  <si>
    <t xml:space="preserve">Project Start Date </t>
  </si>
  <si>
    <t xml:space="preserve">Display Week </t>
  </si>
  <si>
    <t xml:space="preserve">Project Lead </t>
  </si>
  <si>
    <t>Billy</t>
  </si>
  <si>
    <t>WBS</t>
  </si>
  <si>
    <t>TASK</t>
  </si>
  <si>
    <t>PIC</t>
  </si>
  <si>
    <t>PREDECESSOR</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</si>
  <si>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</si>
  <si>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</si>
  <si>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</si>
  <si>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</si>
  <si>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</si>
  <si>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</si>
  <si>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</si>
  <si>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</si>
  <si>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</si>
  <si>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</si>
  <si>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</si>
  <si>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</si>
  <si>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</si>
  <si>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</si>
  <si>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</si>
  <si>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</si>
  <si>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</si>
  <si>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</si>
  <si>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</si>
  <si>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</si>
  <si>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</si>
  <si>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</si>
  <si>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BBK INTERN</t>
  </si>
  <si>
    <t>DASHBOARD LAYOUT PER BIN</t>
  </si>
  <si>
    <t>DETAIL LIST KARTON PER RAK</t>
  </si>
  <si>
    <t>LAPORAN GUDANG PACKING LEAD TIME</t>
  </si>
  <si>
    <t>LAPORAN PERSEDIAAN GUDANG PACKING</t>
  </si>
  <si>
    <t>LAPORAN SURAT JALAN (P)</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</si>
  <si>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</si>
  <si>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</si>
  <si>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</si>
  <si>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</si>
  <si>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</si>
  <si>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</si>
  <si>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</si>
  <si>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</si>
  <si>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</si>
  <si>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</si>
  <si>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</si>
  <si>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</si>
  <si>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</si>
  <si>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</si>
  <si>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</si>
  <si>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</si>
  <si>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</si>
  <si>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</si>
  <si>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</si>
  <si>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</si>
  <si>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</si>
  <si>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</si>
  <si>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</si>
  <si>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</si>
  <si>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</si>
  <si>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</si>
  <si>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</si>
  <si>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</si>
  <si>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</si>
  <si>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</si>
  <si>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</si>
  <si>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</si>
  <si>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</si>
  <si>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</si>
  <si>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</si>
  <si>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</si>
  <si>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</si>
  <si>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</si>
  <si>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</si>
  <si>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</si>
  <si>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</si>
  <si>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</si>
  <si>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</si>
  <si>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</si>
  <si>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</si>
  <si>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</si>
  <si>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</si>
  <si>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</si>
  <si>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</si>
  <si>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</si>
  <si>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</si>
  <si>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</si>
  <si>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</si>
  <si>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</si>
  <si>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</si>
  <si>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</si>
  <si>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</si>
  <si>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</si>
  <si>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</si>
  <si>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</si>
  <si>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</si>
  <si>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</si>
  <si>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</si>
  <si>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</si>
  <si>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</si>
  <si>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</si>
  <si>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</si>
  <si>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</si>
  <si>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</si>
  <si>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</si>
  <si>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</si>
  <si>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</si>
  <si>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</si>
  <si>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</si>
  <si>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</si>
  <si>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</si>
  <si>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</si>
  <si>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</si>
  <si>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</si>
  <si>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</si>
  <si>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</si>
  <si>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</si>
  <si>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</si>
  <si>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</si>
  <si>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</si>
  <si>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</si>
  <si>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</si>
  <si>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</si>
  <si>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</si>
  <si>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</si>
  <si>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</si>
  <si>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</si>
  <si>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</si>
  <si>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</si>
  <si>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</si>
  <si>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</si>
  <si>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</si>
  <si>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</si>
  <si>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</si>
  <si>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</si>
  <si>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</si>
  <si>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</si>
  <si>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</si>
  <si>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</si>
  <si>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</si>
  <si>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</si>
  <si>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</si>
  <si>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</si>
  <si>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</si>
  <si>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</si>
  <si>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</si>
  <si>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</si>
  <si>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</si>
  <si>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</si>
  <si>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</si>
  <si>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</si>
  <si>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</si>
  <si>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</si>
  <si>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</si>
  <si>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</si>
  <si>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</si>
  <si>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</si>
  <si>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</si>
  <si>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</si>
  <si>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</si>
  <si>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</si>
  <si>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</si>
  <si>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</si>
  <si>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</si>
  <si>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</si>
  <si>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</si>
  <si>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</si>
  <si>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</si>
  <si>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</si>
  <si>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</si>
  <si>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</si>
  <si>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</si>
  <si>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</si>
  <si>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</si>
  <si>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</si>
  <si>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</si>
  <si>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</si>
  <si>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</si>
  <si>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</si>
  <si>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</si>
  <si>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</si>
  <si>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</si>
  <si>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</si>
  <si>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</si>
  <si>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</si>
  <si>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</si>
  <si>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</si>
  <si>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</si>
  <si>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</si>
  <si>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</si>
  <si>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</si>
  <si>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</si>
  <si>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</si>
  <si>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</si>
  <si>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</si>
  <si>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</si>
  <si>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</si>
  <si>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</si>
  <si>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</si>
  <si>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</si>
  <si>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</si>
  <si>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</si>
  <si>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</si>
  <si>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</si>
  <si>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</si>
  <si>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</si>
  <si>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</si>
  <si>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</si>
  <si>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</si>
  <si>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</si>
  <si>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</si>
  <si>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</si>
  <si>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</si>
  <si>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</si>
  <si>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</si>
  <si>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</si>
  <si>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Update per 24 January 2026</t>
  </si>
  <si>
    <t>1. Ada tambahan kegiatan KUT SAP BAGIAN MASTER DATA MM &amp; KUT SAP BAGIAN MASTER DATA SD dan FICO</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</si>
</sst>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dddd\)"/>
    <numFmt numFmtId="179" formatCode="ddd\ dd/m/yy"/>
    <numFmt numFmtId="180" formatCode="ddd\ m/dd/yy"/>
    <numFmt numFmtId="181" formatCode="d\ mmm\ yyyy"/>
    <numFmt numFmtId="182" formatCode="d"/>
  </numFmts>
  <fonts count="67">
    <font>
      <sz val="10"/>
      <name val="Arial"/>
      <charset val="134"/>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Arial"/>
      <charset val="134"/>
      <scheme val="minor"/>
    </font>
    <font>
      <sz val="16"/>
      <color theme="4" tint="-0.249977111117893"/>
      <name val="Arial"/>
      <charset val="134"/>
      <scheme val="major"/>
    </font>
    <font>
      <sz val="14"/>
      <color indexed="5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sz val="10"/>
      <name val="Arial"/>
      <charset val="134"/>
      <scheme val="major"/>
    </font>
    <font>
      <sz val="10"/>
      <name val="Arial"/>
      <charset val="134"/>
      <scheme val="minor"/>
    </font>
    <font>
      <b/>
      <sz val="9"/>
      <name val="Arial"/>
      <charset val="134"/>
      <scheme val="major"/>
    </font>
    <font>
      <b/>
      <sz val="8"/>
      <name val="Arial"/>
      <charset val="134"/>
      <scheme val="major"/>
    </font>
    <font>
      <b/>
      <sz val="11"/>
      <name val="Arial"/>
      <charset val="134"/>
      <scheme val="minor"/>
    </font>
    <font>
      <sz val="9"/>
      <color rgb="FF000000"/>
      <name val="Arial"/>
      <charset val="134"/>
      <scheme val="minor"/>
    </font>
    <font>
      <i/>
      <sz val="8"/>
      <color theme="0" tint="-0.349986266670736"/>
      <name val="Arial"/>
      <charset val="134"/>
    </font>
    <font>
      <u/>
      <sz val="10"/>
      <color indexed="12"/>
      <name val="Arial"/>
      <charset val="134"/>
    </font>
    <font>
      <sz val="11"/>
      <name val="Arial"/>
      <charset val="134"/>
      <scheme val="minor"/>
    </font>
    <font>
      <sz val="14"/>
      <name val="Arial"/>
      <charset val="134"/>
      <scheme val="minor"/>
    </font>
    <font>
      <sz val="14"/>
      <color rgb="FF000000"/>
      <name val="Arial"/>
      <charset val="134"/>
      <scheme val="minor"/>
    </font>
    <font>
      <sz val="11"/>
      <color indexed="8"/>
      <name val="Calibri"/>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i/>
      <sz val="11"/>
      <name val="Arial"/>
      <charset val="134"/>
    </font>
    <font>
      <i/>
      <sz val="11"/>
      <color rgb="FF000000"/>
      <name val="Arial"/>
      <charset val="134"/>
    </font>
    <font>
      <b/>
      <sz val="11"/>
      <color rgb="FFFF0000"/>
      <name val="Arial"/>
      <charset val="134"/>
    </font>
    <font>
      <b/>
      <sz val="9"/>
      <name val="Tahoma"/>
      <charset val="134"/>
    </font>
    <font>
      <sz val="8"/>
      <name val="Tahoma"/>
      <charset val="134"/>
    </font>
    <font>
      <sz val="9"/>
      <name val="Tahoma"/>
      <charset val="134"/>
    </font>
    <font>
      <i/>
      <sz val="9"/>
      <name val="Tahoma"/>
      <charset val="134"/>
    </font>
    <font>
      <b/>
      <i/>
      <sz val="9"/>
      <name val="Tahoma"/>
      <charset val="134"/>
    </font>
  </fonts>
  <fills count="39">
    <fill>
      <patternFill patternType="none"/>
    </fill>
    <fill>
      <patternFill patternType="gray125"/>
    </fill>
    <fill>
      <patternFill patternType="solid">
        <fgColor indexed="22"/>
        <bgColor indexed="64"/>
      </patternFill>
    </fill>
    <fill>
      <patternFill patternType="solid">
        <fgColor theme="3" tint="0.799920651875362"/>
        <bgColor indexed="64"/>
      </patternFill>
    </fill>
    <fill>
      <patternFill patternType="solid">
        <fgColor theme="0" tint="-0.149937437055574"/>
        <bgColor indexed="64"/>
      </patternFill>
    </fill>
    <fill>
      <patternFill patternType="solid">
        <fgColor indexed="9"/>
        <bgColor indexed="64"/>
      </patternFill>
    </fill>
    <fill>
      <patternFill patternType="solid">
        <fgColor theme="3" tint="0.799920651875362"/>
        <bgColor rgb="FFD6F4D9"/>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bottom style="medium">
        <color theme="0" tint="-0.349986266670736"/>
      </bottom>
      <diagonal/>
    </border>
    <border>
      <left/>
      <right/>
      <top/>
      <bottom style="thin">
        <color indexed="22"/>
      </bottom>
      <diagonal/>
    </border>
    <border>
      <left/>
      <right/>
      <top style="thin">
        <color rgb="FFEFEFEF"/>
      </top>
      <bottom style="thin">
        <color rgb="FFEFEFEF"/>
      </bottom>
      <diagonal/>
    </border>
    <border>
      <left style="medium">
        <color theme="0" tint="-0.249946592608417"/>
      </left>
      <right style="thin">
        <color theme="0" tint="-0.249946592608417"/>
      </right>
      <top/>
      <bottom/>
      <diagonal/>
    </border>
    <border>
      <left style="thin">
        <color theme="0" tint="-0.249946592608417"/>
      </left>
      <right style="thin">
        <color theme="0" tint="-0.249946592608417"/>
      </right>
      <top/>
      <bottom/>
      <diagonal/>
    </border>
    <border>
      <left style="medium">
        <color theme="0" tint="-0.249946592608417"/>
      </left>
      <right style="thin">
        <color theme="0" tint="-0.249946592608417"/>
      </right>
      <top/>
      <bottom style="medium">
        <color theme="0" tint="-0.349986266670736"/>
      </bottom>
      <diagonal/>
    </border>
    <border>
      <left style="thin">
        <color theme="0" tint="-0.249946592608417"/>
      </left>
      <right style="thin">
        <color theme="0" tint="-0.249946592608417"/>
      </right>
      <top/>
      <bottom style="medium">
        <color theme="0" tint="-0.349986266670736"/>
      </bottom>
      <diagonal/>
    </border>
    <border>
      <left style="thin">
        <color theme="0" tint="-0.249946592608417"/>
      </left>
      <right style="medium">
        <color theme="0" tint="-0.249946592608417"/>
      </right>
      <top/>
      <bottom/>
      <diagonal/>
    </border>
    <border>
      <left style="thin">
        <color theme="0" tint="-0.249946592608417"/>
      </left>
      <right style="medium">
        <color theme="0" tint="-0.249946592608417"/>
      </right>
      <top/>
      <bottom style="medium">
        <color theme="0" tint="-0.34998626667073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0" fillId="0" borderId="0" applyFont="0" applyFill="0" applyBorder="0" applyAlignment="0" applyProtection="0"/>
    <xf numFmtId="177"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35" fillId="0" borderId="0" applyNumberFormat="0" applyFill="0" applyBorder="0" applyAlignment="0" applyProtection="0">
      <alignment vertical="top"/>
      <protection locked="0"/>
    </xf>
    <xf numFmtId="0" fontId="41" fillId="0" borderId="0" applyNumberFormat="0" applyFill="0" applyBorder="0" applyAlignment="0" applyProtection="0">
      <alignment vertical="center"/>
    </xf>
    <xf numFmtId="0" fontId="40" fillId="8" borderId="15"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16" applyNumberFormat="0" applyFill="0" applyAlignment="0" applyProtection="0">
      <alignment vertical="center"/>
    </xf>
    <xf numFmtId="0" fontId="46" fillId="0" borderId="16" applyNumberFormat="0" applyFill="0" applyAlignment="0" applyProtection="0">
      <alignment vertical="center"/>
    </xf>
    <xf numFmtId="0" fontId="47" fillId="0" borderId="17" applyNumberFormat="0" applyFill="0" applyAlignment="0" applyProtection="0">
      <alignment vertical="center"/>
    </xf>
    <xf numFmtId="0" fontId="47" fillId="0" borderId="0" applyNumberFormat="0" applyFill="0" applyBorder="0" applyAlignment="0" applyProtection="0">
      <alignment vertical="center"/>
    </xf>
    <xf numFmtId="0" fontId="48" fillId="9" borderId="18" applyNumberFormat="0" applyAlignment="0" applyProtection="0">
      <alignment vertical="center"/>
    </xf>
    <xf numFmtId="0" fontId="49" fillId="10" borderId="19" applyNumberFormat="0" applyAlignment="0" applyProtection="0">
      <alignment vertical="center"/>
    </xf>
    <xf numFmtId="0" fontId="50" fillId="10" borderId="18" applyNumberFormat="0" applyAlignment="0" applyProtection="0">
      <alignment vertical="center"/>
    </xf>
    <xf numFmtId="0" fontId="51" fillId="11" borderId="20" applyNumberFormat="0" applyAlignment="0" applyProtection="0">
      <alignment vertical="center"/>
    </xf>
    <xf numFmtId="0" fontId="52" fillId="0" borderId="21" applyNumberFormat="0" applyFill="0" applyAlignment="0" applyProtection="0">
      <alignment vertical="center"/>
    </xf>
    <xf numFmtId="0" fontId="53" fillId="0" borderId="22" applyNumberFormat="0" applyFill="0" applyAlignment="0" applyProtection="0">
      <alignment vertical="center"/>
    </xf>
    <xf numFmtId="0" fontId="54" fillId="12" borderId="0" applyNumberFormat="0" applyBorder="0" applyAlignment="0" applyProtection="0">
      <alignment vertical="center"/>
    </xf>
    <xf numFmtId="0" fontId="55" fillId="13" borderId="0" applyNumberFormat="0" applyBorder="0" applyAlignment="0" applyProtection="0">
      <alignment vertical="center"/>
    </xf>
    <xf numFmtId="0" fontId="56" fillId="14" borderId="0" applyNumberFormat="0" applyBorder="0" applyAlignment="0" applyProtection="0">
      <alignment vertical="center"/>
    </xf>
    <xf numFmtId="0" fontId="57" fillId="15" borderId="0" applyNumberFormat="0" applyBorder="0" applyAlignment="0" applyProtection="0">
      <alignment vertical="center"/>
    </xf>
    <xf numFmtId="0" fontId="58" fillId="16" borderId="0" applyNumberFormat="0" applyBorder="0" applyAlignment="0" applyProtection="0">
      <alignment vertical="center"/>
    </xf>
    <xf numFmtId="0" fontId="58" fillId="17" borderId="0" applyNumberFormat="0" applyBorder="0" applyAlignment="0" applyProtection="0">
      <alignment vertical="center"/>
    </xf>
    <xf numFmtId="0" fontId="57" fillId="18" borderId="0" applyNumberFormat="0" applyBorder="0" applyAlignment="0" applyProtection="0">
      <alignment vertical="center"/>
    </xf>
    <xf numFmtId="0" fontId="57" fillId="19" borderId="0" applyNumberFormat="0" applyBorder="0" applyAlignment="0" applyProtection="0">
      <alignment vertical="center"/>
    </xf>
    <xf numFmtId="0" fontId="58" fillId="20" borderId="0" applyNumberFormat="0" applyBorder="0" applyAlignment="0" applyProtection="0">
      <alignment vertical="center"/>
    </xf>
    <xf numFmtId="0" fontId="58" fillId="21" borderId="0" applyNumberFormat="0" applyBorder="0" applyAlignment="0" applyProtection="0">
      <alignment vertical="center"/>
    </xf>
    <xf numFmtId="0" fontId="57" fillId="22" borderId="0" applyNumberFormat="0" applyBorder="0" applyAlignment="0" applyProtection="0">
      <alignment vertical="center"/>
    </xf>
    <xf numFmtId="0" fontId="57" fillId="23" borderId="0" applyNumberFormat="0" applyBorder="0" applyAlignment="0" applyProtection="0">
      <alignment vertical="center"/>
    </xf>
    <xf numFmtId="0" fontId="58" fillId="24" borderId="0" applyNumberFormat="0" applyBorder="0" applyAlignment="0" applyProtection="0">
      <alignment vertical="center"/>
    </xf>
    <xf numFmtId="0" fontId="58" fillId="25" borderId="0" applyNumberFormat="0" applyBorder="0" applyAlignment="0" applyProtection="0">
      <alignment vertical="center"/>
    </xf>
    <xf numFmtId="0" fontId="57" fillId="26" borderId="0" applyNumberFormat="0" applyBorder="0" applyAlignment="0" applyProtection="0">
      <alignment vertical="center"/>
    </xf>
    <xf numFmtId="0" fontId="57" fillId="27" borderId="0" applyNumberFormat="0" applyBorder="0" applyAlignment="0" applyProtection="0">
      <alignment vertical="center"/>
    </xf>
    <xf numFmtId="0" fontId="58" fillId="28" borderId="0" applyNumberFormat="0" applyBorder="0" applyAlignment="0" applyProtection="0">
      <alignment vertical="center"/>
    </xf>
    <xf numFmtId="0" fontId="58" fillId="29" borderId="0" applyNumberFormat="0" applyBorder="0" applyAlignment="0" applyProtection="0">
      <alignment vertical="center"/>
    </xf>
    <xf numFmtId="0" fontId="57" fillId="30" borderId="0" applyNumberFormat="0" applyBorder="0" applyAlignment="0" applyProtection="0">
      <alignment vertical="center"/>
    </xf>
    <xf numFmtId="0" fontId="57"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7" fillId="34" borderId="0" applyNumberFormat="0" applyBorder="0" applyAlignment="0" applyProtection="0">
      <alignment vertical="center"/>
    </xf>
    <xf numFmtId="0" fontId="57"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7" fillId="38" borderId="0" applyNumberFormat="0" applyBorder="0" applyAlignment="0" applyProtection="0">
      <alignment vertical="center"/>
    </xf>
  </cellStyleXfs>
  <cellXfs count="114">
    <xf numFmtId="0" fontId="0" fillId="0" borderId="0" xfId="0"/>
    <xf numFmtId="0" fontId="1" fillId="0" borderId="0" xfId="0" applyFont="1" applyAlignment="1">
      <alignment horizontal="center"/>
    </xf>
    <xf numFmtId="0" fontId="0" fillId="0" borderId="0" xfId="0" applyAlignment="1">
      <alignment horizontal="left"/>
    </xf>
    <xf numFmtId="0" fontId="2" fillId="0" borderId="0" xfId="0" applyFont="1" applyAlignment="1">
      <alignment horizontal="left" vertical="center"/>
    </xf>
    <xf numFmtId="0" fontId="3" fillId="0" borderId="0" xfId="0" applyFont="1" applyAlignment="1">
      <alignment horizontal="left" wrapText="1"/>
    </xf>
    <xf numFmtId="0" fontId="0" fillId="0" borderId="1" xfId="0" applyBorder="1"/>
    <xf numFmtId="0" fontId="3" fillId="0" borderId="1" xfId="0" applyFont="1" applyBorder="1" applyAlignment="1">
      <alignment horizontal="left" wrapText="1"/>
    </xf>
    <xf numFmtId="0" fontId="0" fillId="0" borderId="2" xfId="0" applyBorder="1"/>
    <xf numFmtId="0" fontId="4" fillId="0" borderId="1" xfId="6" applyFont="1" applyBorder="1" applyAlignment="1" applyProtection="1">
      <alignment wrapText="1"/>
    </xf>
    <xf numFmtId="0" fontId="3" fillId="0" borderId="2" xfId="0" applyFont="1" applyBorder="1" applyAlignment="1">
      <alignment horizontal="left" wrapText="1"/>
    </xf>
    <xf numFmtId="0" fontId="5" fillId="0" borderId="2" xfId="0" applyFont="1" applyBorder="1" applyAlignment="1">
      <alignment horizontal="left" wrapText="1"/>
    </xf>
    <xf numFmtId="0" fontId="6" fillId="0" borderId="2" xfId="6" applyFont="1" applyBorder="1" applyAlignment="1" applyProtection="1">
      <alignment horizontal="left" wrapText="1"/>
    </xf>
    <xf numFmtId="0" fontId="3" fillId="0" borderId="2" xfId="0" applyFont="1" applyBorder="1" applyAlignment="1">
      <alignment horizontal="left"/>
    </xf>
    <xf numFmtId="0" fontId="0" fillId="0" borderId="0" xfId="0" applyAlignment="1">
      <alignment vertical="center"/>
    </xf>
    <xf numFmtId="0" fontId="7" fillId="0" borderId="0" xfId="0" applyFont="1" applyAlignment="1">
      <alignment horizontal="left" vertical="center"/>
    </xf>
    <xf numFmtId="0" fontId="4" fillId="0" borderId="0" xfId="6" applyFont="1" applyAlignment="1" applyProtection="1"/>
    <xf numFmtId="0" fontId="8" fillId="0" borderId="0" xfId="0" applyFont="1" applyAlignment="1">
      <alignment horizontal="right"/>
    </xf>
    <xf numFmtId="0" fontId="9" fillId="0" borderId="0" xfId="0" applyFont="1"/>
    <xf numFmtId="0" fontId="10" fillId="0" borderId="0" xfId="0" applyFont="1"/>
    <xf numFmtId="0" fontId="11" fillId="0" borderId="0" xfId="0" applyFont="1" applyAlignment="1">
      <alignment horizontal="left" wrapText="1"/>
    </xf>
    <xf numFmtId="0" fontId="11" fillId="0" borderId="0" xfId="0" applyFont="1" applyAlignment="1">
      <alignment wrapText="1"/>
    </xf>
    <xf numFmtId="0" fontId="9" fillId="0" borderId="0" xfId="0" applyFont="1" applyAlignment="1">
      <alignment horizontal="left"/>
    </xf>
    <xf numFmtId="0" fontId="12" fillId="0" borderId="0" xfId="0" applyFont="1" applyAlignment="1">
      <alignment vertical="center"/>
    </xf>
    <xf numFmtId="0" fontId="11" fillId="0" borderId="0" xfId="0" applyFont="1" applyAlignment="1">
      <alignment vertical="center" wrapText="1"/>
    </xf>
    <xf numFmtId="0" fontId="0" fillId="2" borderId="0" xfId="0" applyFill="1" applyAlignment="1">
      <alignment horizontal="center" vertical="center"/>
    </xf>
    <xf numFmtId="0" fontId="12" fillId="0" borderId="0" xfId="0" applyFont="1"/>
    <xf numFmtId="0" fontId="0" fillId="3" borderId="0" xfId="0" applyFill="1" applyAlignment="1">
      <alignment horizontal="center" vertical="center"/>
    </xf>
    <xf numFmtId="0" fontId="13" fillId="0" borderId="0" xfId="0" applyFont="1" applyAlignment="1">
      <alignment vertical="center" wrapText="1"/>
    </xf>
    <xf numFmtId="0" fontId="14" fillId="0" borderId="0" xfId="0" applyFont="1"/>
    <xf numFmtId="0" fontId="15" fillId="0" borderId="0" xfId="0" applyFont="1"/>
    <xf numFmtId="0" fontId="4" fillId="0" borderId="0" xfId="6" applyFont="1" applyFill="1" applyBorder="1" applyAlignment="1" applyProtection="1">
      <alignment vertical="center"/>
    </xf>
    <xf numFmtId="0" fontId="8" fillId="0" borderId="0" xfId="0" applyFont="1" applyAlignment="1">
      <alignment wrapText="1"/>
    </xf>
    <xf numFmtId="0" fontId="16" fillId="0" borderId="0" xfId="0" applyFont="1" applyAlignment="1">
      <alignment horizontal="right"/>
    </xf>
    <xf numFmtId="0" fontId="11" fillId="0" borderId="0" xfId="0" applyFont="1"/>
    <xf numFmtId="0" fontId="0" fillId="0" borderId="0" xfId="0" applyAlignment="1">
      <alignment horizontal="left" wrapText="1" indent="1"/>
    </xf>
    <xf numFmtId="0" fontId="15" fillId="0" borderId="0" xfId="0" applyFont="1" applyAlignment="1">
      <alignment horizontal="right"/>
    </xf>
    <xf numFmtId="0" fontId="17"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left" indent="1"/>
    </xf>
    <xf numFmtId="0" fontId="17" fillId="0" borderId="0" xfId="0" applyFont="1"/>
    <xf numFmtId="0" fontId="16" fillId="0" borderId="0" xfId="0" applyFont="1" applyAlignment="1">
      <alignment horizontal="left" wrapText="1"/>
    </xf>
    <xf numFmtId="0" fontId="18" fillId="0" borderId="0" xfId="0" applyFont="1" applyAlignment="1">
      <alignment horizontal="left" indent="1"/>
    </xf>
    <xf numFmtId="0" fontId="11" fillId="0" borderId="0" xfId="0" applyFont="1" applyAlignment="1">
      <alignment horizontal="left" wrapText="1" indent="1"/>
    </xf>
    <xf numFmtId="0" fontId="8" fillId="0" borderId="0" xfId="0" applyFont="1" applyAlignment="1">
      <alignment horizontal="left" vertical="center"/>
    </xf>
    <xf numFmtId="0" fontId="2" fillId="0" borderId="0" xfId="0" applyFont="1" applyAlignment="1">
      <alignment vertical="center"/>
    </xf>
    <xf numFmtId="0" fontId="19" fillId="0" borderId="0" xfId="6" applyFont="1" applyAlignment="1" applyProtection="1"/>
    <xf numFmtId="0" fontId="20" fillId="0" borderId="0" xfId="0" applyFont="1"/>
    <xf numFmtId="0" fontId="18" fillId="0" borderId="0" xfId="0" applyFont="1"/>
    <xf numFmtId="0" fontId="21" fillId="4" borderId="3" xfId="0" applyFont="1" applyFill="1" applyBorder="1" applyAlignment="1">
      <alignment vertical="center"/>
    </xf>
    <xf numFmtId="0" fontId="21" fillId="0" borderId="3" xfId="0" applyFont="1" applyBorder="1" applyAlignment="1">
      <alignment vertical="center"/>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Alignment="1" applyProtection="1">
      <alignment vertical="center"/>
      <protection locked="0"/>
    </xf>
    <xf numFmtId="0" fontId="25" fillId="0" borderId="0" xfId="0" applyFont="1" applyProtection="1">
      <protection locked="0"/>
    </xf>
    <xf numFmtId="0" fontId="26" fillId="5" borderId="0" xfId="6" applyNumberFormat="1" applyFont="1" applyFill="1" applyAlignment="1" applyProtection="1">
      <alignment horizontal="right"/>
      <protection locked="0"/>
    </xf>
    <xf numFmtId="0" fontId="27" fillId="0" borderId="0" xfId="0" applyFont="1" applyProtection="1">
      <protection locked="0"/>
    </xf>
    <xf numFmtId="0" fontId="0" fillId="5" borderId="0" xfId="0" applyFill="1"/>
    <xf numFmtId="0" fontId="28" fillId="0" borderId="0" xfId="0" applyFont="1"/>
    <xf numFmtId="0" fontId="28" fillId="0" borderId="0" xfId="0" applyFont="1" applyAlignment="1">
      <alignment horizontal="right" vertical="center"/>
    </xf>
    <xf numFmtId="178" fontId="29" fillId="0" borderId="4" xfId="0" applyNumberFormat="1" applyFont="1" applyBorder="1" applyAlignment="1" applyProtection="1">
      <alignment horizontal="center" vertical="center" shrinkToFit="1"/>
      <protection locked="0"/>
    </xf>
    <xf numFmtId="0" fontId="29" fillId="0" borderId="4" xfId="0" applyFont="1" applyBorder="1" applyAlignment="1" applyProtection="1">
      <alignment horizontal="center" vertical="center"/>
      <protection locked="0"/>
    </xf>
    <xf numFmtId="178" fontId="29" fillId="0" borderId="5" xfId="0" applyNumberFormat="1" applyFont="1" applyBorder="1" applyAlignment="1" applyProtection="1">
      <alignment horizontal="center" vertical="center" shrinkToFit="1"/>
      <protection locked="0"/>
    </xf>
    <xf numFmtId="0" fontId="30" fillId="0" borderId="6" xfId="0" applyFont="1" applyBorder="1" applyAlignment="1">
      <alignment horizontal="left" vertical="center"/>
    </xf>
    <xf numFmtId="0" fontId="30" fillId="0" borderId="6" xfId="0" applyFont="1" applyBorder="1" applyAlignment="1">
      <alignment horizontal="center" vertical="center" wrapText="1"/>
    </xf>
    <xf numFmtId="0" fontId="31" fillId="0" borderId="6" xfId="0" applyFont="1" applyBorder="1" applyAlignment="1">
      <alignment horizontal="center" vertical="center" wrapText="1"/>
    </xf>
    <xf numFmtId="0" fontId="30" fillId="0" borderId="6" xfId="0" applyFont="1" applyBorder="1" applyAlignment="1">
      <alignment horizontal="center" vertical="center"/>
    </xf>
    <xf numFmtId="0" fontId="32" fillId="4" borderId="7" xfId="0" applyFont="1" applyFill="1" applyBorder="1" applyAlignment="1">
      <alignment horizontal="left" vertical="center"/>
    </xf>
    <xf numFmtId="0" fontId="32" fillId="4" borderId="7" xfId="0" applyFont="1" applyFill="1" applyBorder="1" applyAlignment="1">
      <alignment vertical="center"/>
    </xf>
    <xf numFmtId="0" fontId="21" fillId="4" borderId="7" xfId="0" applyFont="1" applyFill="1" applyBorder="1" applyAlignment="1">
      <alignment vertical="center"/>
    </xf>
    <xf numFmtId="0" fontId="21" fillId="4" borderId="7" xfId="0" applyFont="1" applyFill="1" applyBorder="1" applyAlignment="1">
      <alignment horizontal="center" vertical="center"/>
    </xf>
    <xf numFmtId="179" fontId="21" fillId="4" borderId="7" xfId="0" applyNumberFormat="1" applyFont="1" applyFill="1" applyBorder="1" applyAlignment="1">
      <alignment horizontal="right" vertical="center"/>
    </xf>
    <xf numFmtId="179" fontId="21" fillId="4" borderId="7" xfId="0" applyNumberFormat="1" applyFont="1" applyFill="1" applyBorder="1" applyAlignment="1">
      <alignment horizontal="center" vertical="center"/>
    </xf>
    <xf numFmtId="1" fontId="21" fillId="4" borderId="7" xfId="3" applyNumberFormat="1" applyFont="1" applyFill="1" applyBorder="1" applyAlignment="1" applyProtection="1">
      <alignment horizontal="center" vertical="center"/>
    </xf>
    <xf numFmtId="9" fontId="21" fillId="4" borderId="7" xfId="3" applyFont="1" applyFill="1" applyBorder="1" applyAlignment="1" applyProtection="1">
      <alignment horizontal="center" vertical="center"/>
    </xf>
    <xf numFmtId="0" fontId="21" fillId="0" borderId="3" xfId="0" applyFont="1" applyBorder="1" applyAlignment="1">
      <alignment horizontal="left" vertical="center"/>
    </xf>
    <xf numFmtId="0" fontId="21" fillId="0" borderId="3" xfId="0" applyFont="1" applyBorder="1" applyAlignment="1">
      <alignment vertical="center" wrapText="1"/>
    </xf>
    <xf numFmtId="0" fontId="33" fillId="0" borderId="8" xfId="0" applyFont="1" applyBorder="1" applyAlignment="1">
      <alignment horizontal="center" vertical="center"/>
    </xf>
    <xf numFmtId="180" fontId="33" fillId="6" borderId="8" xfId="0" applyNumberFormat="1" applyFont="1" applyFill="1" applyBorder="1" applyAlignment="1">
      <alignment horizontal="center" vertical="center"/>
    </xf>
    <xf numFmtId="180" fontId="33" fillId="0" borderId="8" xfId="0" applyNumberFormat="1" applyFont="1" applyBorder="1" applyAlignment="1">
      <alignment horizontal="center" vertical="center"/>
    </xf>
    <xf numFmtId="1" fontId="33" fillId="3" borderId="8" xfId="0" applyNumberFormat="1" applyFont="1" applyFill="1" applyBorder="1" applyAlignment="1">
      <alignment horizontal="center" vertical="center"/>
    </xf>
    <xf numFmtId="9" fontId="33" fillId="3" borderId="8" xfId="3" applyFont="1" applyFill="1" applyBorder="1" applyAlignment="1" applyProtection="1">
      <alignment horizontal="center" vertical="center"/>
    </xf>
    <xf numFmtId="9" fontId="33" fillId="3" borderId="8" xfId="3" applyNumberFormat="1" applyFont="1" applyFill="1" applyBorder="1" applyAlignment="1" applyProtection="1">
      <alignment horizontal="center" vertical="center"/>
    </xf>
    <xf numFmtId="49" fontId="28" fillId="7" borderId="0" xfId="0" applyNumberFormat="1" applyFont="1" applyFill="1" applyAlignment="1">
      <alignment horizontal="left" vertical="center" wrapText="1"/>
    </xf>
    <xf numFmtId="0" fontId="21" fillId="0" borderId="7" xfId="0" applyFont="1" applyBorder="1" applyAlignment="1">
      <alignment vertical="center" wrapText="1"/>
    </xf>
    <xf numFmtId="0" fontId="0" fillId="0" borderId="0" xfId="0" applyAlignment="1">
      <alignment horizontal="right" vertical="center"/>
    </xf>
    <xf numFmtId="0" fontId="34" fillId="0" borderId="0" xfId="6" applyFont="1" applyBorder="1" applyAlignment="1" applyProtection="1">
      <alignment horizontal="left" vertical="center"/>
    </xf>
    <xf numFmtId="0" fontId="35" fillId="0" borderId="0" xfId="6" applyAlignment="1" applyProtection="1">
      <alignment horizontal="left"/>
    </xf>
    <xf numFmtId="0" fontId="36" fillId="0" borderId="9" xfId="0" applyFont="1" applyBorder="1" applyAlignment="1">
      <alignment horizontal="center" vertical="center"/>
    </xf>
    <xf numFmtId="0" fontId="36" fillId="0" borderId="10" xfId="0" applyFont="1" applyBorder="1" applyAlignment="1">
      <alignment horizontal="center" vertical="center"/>
    </xf>
    <xf numFmtId="181" fontId="29" fillId="0" borderId="9" xfId="0" applyNumberFormat="1" applyFont="1" applyBorder="1" applyAlignment="1">
      <alignment horizontal="center" vertical="center"/>
    </xf>
    <xf numFmtId="181" fontId="29" fillId="0" borderId="10" xfId="0" applyNumberFormat="1" applyFont="1" applyBorder="1" applyAlignment="1">
      <alignment horizontal="center" vertical="center"/>
    </xf>
    <xf numFmtId="182" fontId="8" fillId="0" borderId="9" xfId="0" applyNumberFormat="1" applyFont="1" applyBorder="1" applyAlignment="1">
      <alignment horizontal="center" vertical="center" shrinkToFit="1"/>
    </xf>
    <xf numFmtId="182" fontId="8" fillId="0" borderId="10" xfId="0" applyNumberFormat="1"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1" fontId="21" fillId="4" borderId="7" xfId="0" applyNumberFormat="1" applyFont="1" applyFill="1" applyBorder="1" applyAlignment="1">
      <alignment horizontal="center" vertical="center"/>
    </xf>
    <xf numFmtId="1" fontId="37" fillId="4" borderId="7" xfId="0" applyNumberFormat="1" applyFont="1" applyFill="1" applyBorder="1" applyAlignment="1">
      <alignment horizontal="center" vertical="center"/>
    </xf>
    <xf numFmtId="0" fontId="21" fillId="4" borderId="7" xfId="0" applyFont="1" applyFill="1" applyBorder="1" applyAlignment="1">
      <alignment horizontal="left" vertical="center"/>
    </xf>
    <xf numFmtId="1" fontId="33" fillId="0" borderId="8" xfId="0" applyNumberFormat="1" applyFont="1" applyBorder="1" applyAlignment="1">
      <alignment horizontal="center" vertical="center"/>
    </xf>
    <xf numFmtId="1" fontId="38" fillId="0" borderId="8" xfId="0" applyNumberFormat="1" applyFont="1" applyBorder="1" applyAlignment="1">
      <alignment horizontal="center" vertical="center"/>
    </xf>
    <xf numFmtId="0" fontId="36" fillId="0" borderId="13" xfId="0" applyFont="1" applyBorder="1" applyAlignment="1">
      <alignment horizontal="center" vertical="center"/>
    </xf>
    <xf numFmtId="181" fontId="29" fillId="0" borderId="13" xfId="0" applyNumberFormat="1" applyFont="1" applyBorder="1" applyAlignment="1">
      <alignment horizontal="center" vertical="center"/>
    </xf>
    <xf numFmtId="182" fontId="8" fillId="0" borderId="13" xfId="0" applyNumberFormat="1" applyFont="1" applyBorder="1" applyAlignment="1">
      <alignment horizontal="center" vertical="center" shrinkToFit="1"/>
    </xf>
    <xf numFmtId="0" fontId="21" fillId="0" borderId="14" xfId="0" applyFont="1" applyBorder="1" applyAlignment="1">
      <alignment horizontal="center" vertical="center" shrinkToFit="1"/>
    </xf>
    <xf numFmtId="0" fontId="32" fillId="4" borderId="3" xfId="0" applyFont="1" applyFill="1" applyBorder="1" applyAlignment="1">
      <alignment horizontal="left" vertical="center"/>
    </xf>
    <xf numFmtId="0" fontId="32" fillId="4" borderId="3" xfId="0" applyFont="1" applyFill="1" applyBorder="1" applyAlignment="1">
      <alignment vertical="center"/>
    </xf>
    <xf numFmtId="0" fontId="21" fillId="4" borderId="3" xfId="0" applyFont="1" applyFill="1" applyBorder="1" applyAlignment="1">
      <alignment horizontal="center" vertical="center"/>
    </xf>
    <xf numFmtId="180" fontId="21" fillId="4" borderId="3" xfId="0" applyNumberFormat="1" applyFont="1" applyFill="1" applyBorder="1" applyAlignment="1">
      <alignment horizontal="center" vertical="center"/>
    </xf>
    <xf numFmtId="1" fontId="21" fillId="4" borderId="3" xfId="3" applyNumberFormat="1" applyFont="1" applyFill="1" applyBorder="1" applyAlignment="1" applyProtection="1">
      <alignment horizontal="center" vertical="center"/>
    </xf>
    <xf numFmtId="9" fontId="21" fillId="4" borderId="3" xfId="3" applyFont="1" applyFill="1" applyBorder="1" applyAlignment="1" applyProtection="1">
      <alignment horizontal="center" vertical="center"/>
    </xf>
    <xf numFmtId="0" fontId="39" fillId="0" borderId="0" xfId="0" applyFont="1" applyAlignment="1">
      <alignment vertical="center" wrapText="1"/>
    </xf>
    <xf numFmtId="1" fontId="21" fillId="4" borderId="3" xfId="0" applyNumberFormat="1" applyFont="1" applyFill="1" applyBorder="1" applyAlignment="1">
      <alignment horizontal="center" vertical="center"/>
    </xf>
    <xf numFmtId="1" fontId="37" fillId="4" borderId="3" xfId="0" applyNumberFormat="1" applyFont="1" applyFill="1" applyBorder="1" applyAlignment="1">
      <alignment horizontal="center" vertical="center"/>
    </xf>
    <xf numFmtId="0" fontId="21" fillId="4" borderId="3" xfId="0" applyFont="1" applyFill="1" applyBorder="1" applyAlignment="1">
      <alignment horizontal="left" vertical="center"/>
    </xf>
    <xf numFmtId="0" fontId="11" fillId="0" borderId="0" xfId="0" applyFont="1" applyAlignment="1" quotePrefix="1">
      <alignment horizontal="left" wrapText="1" indent="1"/>
    </xf>
    <xf numFmtId="0" fontId="11" fillId="0" borderId="0" xfId="0" applyFont="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border>
        <left style="thin">
          <color rgb="FFC00000"/>
        </left>
        <right style="thin">
          <color rgb="FFC00000"/>
        </right>
      </border>
    </dxf>
    <dxf>
      <fill>
        <patternFill patternType="solid">
          <bgColor theme="0" tint="-0.499984740745262"/>
        </patternFill>
      </fill>
    </dxf>
    <dxf>
      <fill>
        <patternFill patternType="solid">
          <bgColor rgb="FF0070C0"/>
        </patternFill>
      </fill>
    </dxf>
    <dxf>
      <font>
        <color theme="0"/>
      </font>
      <fill>
        <patternFill patternType="solid">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FFCCCC"/>
      <color rgb="00FF9900"/>
      <color rgb="0091D0FF"/>
      <color rgb="00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croll" dx="22" fmlaLink="$H$4" horiz="1" max="100" min="1" val="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2</xdr:col>
      <xdr:colOff>809625</xdr:colOff>
      <xdr:row>5</xdr:row>
      <xdr:rowOff>142875</xdr:rowOff>
    </xdr:from>
    <xdr:to>
      <xdr:col>7</xdr:col>
      <xdr:colOff>400050</xdr:colOff>
      <xdr:row>10</xdr:row>
      <xdr:rowOff>80433</xdr:rowOff>
    </xdr:to>
    <xdr:sp>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xdr:nvSpPr>
            <xdr:cNvPr id="8238" name="Scroll Bar 46" hidden="1">
              <a:extLst>
                <a:ext uri="{63B3BB69-23CF-44E3-9099-C40C66FF867C}">
                  <a14:compatExt spid="_x0000_s8238"/>
                </a:ext>
              </a:extLst>
            </xdr:cNvPr>
            <xdr:cNvSpPr/>
          </xdr:nvSpPr>
          <xdr:spPr>
            <a:xfrm>
              <a:off x="8943975" y="504825"/>
              <a:ext cx="2886075" cy="219075"/>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Links/go.php?urlid=GanttChartPro"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ExcelTemplates/excel-gantt-chart.html"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107"/>
  <sheetViews>
    <sheetView showGridLines="0" tabSelected="1" workbookViewId="0">
      <pane ySplit="7" topLeftCell="A8" activePane="bottomLeft" state="frozen"/>
      <selection/>
      <selection pane="bottomLeft" activeCell="H11" sqref="H11"/>
    </sheetView>
  </sheetViews>
  <sheetFormatPr defaultColWidth="9.14285714285714" defaultRowHeight="12.75"/>
  <cols>
    <col min="1" max="1" width="6.85714285714286" customWidth="1"/>
    <col min="2" max="2" width="55.2857142857143" customWidth="1"/>
    <col min="3" max="3" width="13.4285714285714" customWidth="1"/>
    <col min="4" max="4" width="14" customWidth="1"/>
    <col min="5" max="6" width="12" customWidth="1"/>
    <col min="7" max="7" width="6" customWidth="1"/>
    <col min="8" max="8" width="6.71428571428571" customWidth="1"/>
    <col min="9" max="9" width="6.42857142857143" customWidth="1"/>
    <col min="10" max="10" width="1.85714285714286" customWidth="1"/>
    <col min="11" max="66" width="2.42857142857143" customWidth="1"/>
  </cols>
  <sheetData>
    <row r="1" ht="30" customHeight="1" spans="1:31">
      <c r="A1" s="50" t="s">
        <v>0</v>
      </c>
      <c r="B1" s="51"/>
      <c r="C1" s="51"/>
      <c r="D1" s="51"/>
      <c r="E1" s="51"/>
      <c r="F1" s="51"/>
      <c r="I1" s="84"/>
      <c r="K1" s="85"/>
      <c r="L1" s="85"/>
      <c r="M1" s="85"/>
      <c r="N1" s="85"/>
      <c r="O1" s="85"/>
      <c r="P1" s="85"/>
      <c r="Q1" s="85"/>
      <c r="R1" s="85"/>
      <c r="S1" s="85"/>
      <c r="T1" s="85"/>
      <c r="U1" s="85"/>
      <c r="V1" s="85"/>
      <c r="W1" s="85"/>
      <c r="X1" s="85"/>
      <c r="Y1" s="85"/>
      <c r="Z1" s="85"/>
      <c r="AA1" s="85"/>
      <c r="AB1" s="85"/>
      <c r="AC1" s="85"/>
      <c r="AD1" s="85"/>
      <c r="AE1" s="85"/>
    </row>
    <row r="2" ht="18" customHeight="1" spans="1:8">
      <c r="A2" s="52"/>
      <c r="B2" s="53"/>
      <c r="C2" s="53"/>
      <c r="D2" s="54"/>
      <c r="E2" s="55"/>
      <c r="F2" s="55"/>
      <c r="H2" s="56"/>
    </row>
    <row r="3" ht="14.25" spans="1:27">
      <c r="A3" s="52"/>
      <c r="H3" s="56"/>
      <c r="K3" s="86"/>
      <c r="L3" s="86"/>
      <c r="M3" s="86"/>
      <c r="N3" s="86"/>
      <c r="O3" s="86"/>
      <c r="P3" s="86"/>
      <c r="Q3" s="86"/>
      <c r="R3" s="86"/>
      <c r="S3" s="86"/>
      <c r="T3" s="86"/>
      <c r="U3" s="86"/>
      <c r="V3" s="86"/>
      <c r="W3" s="86"/>
      <c r="X3" s="86"/>
      <c r="Y3" s="86"/>
      <c r="Z3" s="86"/>
      <c r="AA3" s="86"/>
    </row>
    <row r="4" ht="17.25" customHeight="1" spans="1:66">
      <c r="A4" s="57"/>
      <c r="B4" s="58" t="s">
        <v>1</v>
      </c>
      <c r="C4" s="59">
        <v>45986</v>
      </c>
      <c r="D4" s="59"/>
      <c r="E4" s="59"/>
      <c r="F4" s="57"/>
      <c r="G4" s="58" t="s">
        <v>2</v>
      </c>
      <c r="H4" s="60">
        <v>1</v>
      </c>
      <c r="J4" s="57"/>
      <c r="K4" s="87" t="str">
        <f>"Week "&amp;(K6-($C$4-WEEKDAY($C$4,1)+2))/7+1</f>
        <v>Week 1</v>
      </c>
      <c r="L4" s="88"/>
      <c r="M4" s="88"/>
      <c r="N4" s="88"/>
      <c r="O4" s="88"/>
      <c r="P4" s="88"/>
      <c r="Q4" s="100"/>
      <c r="R4" s="87" t="str">
        <f>"Week "&amp;(R6-($C$4-WEEKDAY($C$4,1)+2))/7+1</f>
        <v>Week 2</v>
      </c>
      <c r="S4" s="88"/>
      <c r="T4" s="88"/>
      <c r="U4" s="88"/>
      <c r="V4" s="88"/>
      <c r="W4" s="88"/>
      <c r="X4" s="100"/>
      <c r="Y4" s="87" t="str">
        <f>"Week "&amp;(Y6-($C$4-WEEKDAY($C$4,1)+2))/7+1</f>
        <v>Week 3</v>
      </c>
      <c r="Z4" s="88"/>
      <c r="AA4" s="88"/>
      <c r="AB4" s="88"/>
      <c r="AC4" s="88"/>
      <c r="AD4" s="88"/>
      <c r="AE4" s="100"/>
      <c r="AF4" s="87" t="str">
        <f>"Week "&amp;(AF6-($C$4-WEEKDAY($C$4,1)+2))/7+1</f>
        <v>Week 4</v>
      </c>
      <c r="AG4" s="88"/>
      <c r="AH4" s="88"/>
      <c r="AI4" s="88"/>
      <c r="AJ4" s="88"/>
      <c r="AK4" s="88"/>
      <c r="AL4" s="100"/>
      <c r="AM4" s="87" t="str">
        <f>"Week "&amp;(AM6-($C$4-WEEKDAY($C$4,1)+2))/7+1</f>
        <v>Week 5</v>
      </c>
      <c r="AN4" s="88"/>
      <c r="AO4" s="88"/>
      <c r="AP4" s="88"/>
      <c r="AQ4" s="88"/>
      <c r="AR4" s="88"/>
      <c r="AS4" s="100"/>
      <c r="AT4" s="87" t="str">
        <f>"Week "&amp;(AT6-($C$4-WEEKDAY($C$4,1)+2))/7+1</f>
        <v>Week 6</v>
      </c>
      <c r="AU4" s="88"/>
      <c r="AV4" s="88"/>
      <c r="AW4" s="88"/>
      <c r="AX4" s="88"/>
      <c r="AY4" s="88"/>
      <c r="AZ4" s="100"/>
      <c r="BA4" s="87" t="str">
        <f>"Week "&amp;(BA6-($C$4-WEEKDAY($C$4,1)+2))/7+1</f>
        <v>Week 7</v>
      </c>
      <c r="BB4" s="88"/>
      <c r="BC4" s="88"/>
      <c r="BD4" s="88"/>
      <c r="BE4" s="88"/>
      <c r="BF4" s="88"/>
      <c r="BG4" s="100"/>
      <c r="BH4" s="87" t="str">
        <f>"Week "&amp;(BH6-($C$4-WEEKDAY($C$4,1)+2))/7+1</f>
        <v>Week 8</v>
      </c>
      <c r="BI4" s="88"/>
      <c r="BJ4" s="88"/>
      <c r="BK4" s="88"/>
      <c r="BL4" s="88"/>
      <c r="BM4" s="88"/>
      <c r="BN4" s="100"/>
    </row>
    <row r="5" ht="17.25" customHeight="1" spans="1:66">
      <c r="A5" s="57"/>
      <c r="B5" s="58" t="s">
        <v>3</v>
      </c>
      <c r="C5" s="61" t="s">
        <v>4</v>
      </c>
      <c r="D5" s="61"/>
      <c r="E5" s="61"/>
      <c r="F5" s="57"/>
      <c r="G5" s="57"/>
      <c r="H5" s="57"/>
      <c r="I5" s="57"/>
      <c r="J5" s="57"/>
      <c r="K5" s="89">
        <f>K6</f>
        <v>45985</v>
      </c>
      <c r="L5" s="90"/>
      <c r="M5" s="90"/>
      <c r="N5" s="90"/>
      <c r="O5" s="90"/>
      <c r="P5" s="90"/>
      <c r="Q5" s="101"/>
      <c r="R5" s="89">
        <f>R6</f>
        <v>45992</v>
      </c>
      <c r="S5" s="90"/>
      <c r="T5" s="90"/>
      <c r="U5" s="90"/>
      <c r="V5" s="90"/>
      <c r="W5" s="90"/>
      <c r="X5" s="101"/>
      <c r="Y5" s="89">
        <f>Y6</f>
        <v>45999</v>
      </c>
      <c r="Z5" s="90"/>
      <c r="AA5" s="90"/>
      <c r="AB5" s="90"/>
      <c r="AC5" s="90"/>
      <c r="AD5" s="90"/>
      <c r="AE5" s="101"/>
      <c r="AF5" s="89">
        <f>AF6</f>
        <v>46006</v>
      </c>
      <c r="AG5" s="90"/>
      <c r="AH5" s="90"/>
      <c r="AI5" s="90"/>
      <c r="AJ5" s="90"/>
      <c r="AK5" s="90"/>
      <c r="AL5" s="101"/>
      <c r="AM5" s="89">
        <f>AM6</f>
        <v>46013</v>
      </c>
      <c r="AN5" s="90"/>
      <c r="AO5" s="90"/>
      <c r="AP5" s="90"/>
      <c r="AQ5" s="90"/>
      <c r="AR5" s="90"/>
      <c r="AS5" s="101"/>
      <c r="AT5" s="89">
        <f>AT6</f>
        <v>46020</v>
      </c>
      <c r="AU5" s="90"/>
      <c r="AV5" s="90"/>
      <c r="AW5" s="90"/>
      <c r="AX5" s="90"/>
      <c r="AY5" s="90"/>
      <c r="AZ5" s="101"/>
      <c r="BA5" s="89">
        <f>BA6</f>
        <v>46027</v>
      </c>
      <c r="BB5" s="90"/>
      <c r="BC5" s="90"/>
      <c r="BD5" s="90"/>
      <c r="BE5" s="90"/>
      <c r="BF5" s="90"/>
      <c r="BG5" s="101"/>
      <c r="BH5" s="89">
        <f>BH6</f>
        <v>46034</v>
      </c>
      <c r="BI5" s="90"/>
      <c r="BJ5" s="90"/>
      <c r="BK5" s="90"/>
      <c r="BL5" s="90"/>
      <c r="BM5" s="90"/>
      <c r="BN5" s="101"/>
    </row>
    <row r="6" spans="1:66">
      <c r="A6" s="57"/>
      <c r="B6" s="57"/>
      <c r="C6" s="57"/>
      <c r="D6" s="57"/>
      <c r="E6" s="57"/>
      <c r="F6" s="57"/>
      <c r="G6" s="57"/>
      <c r="H6" s="57"/>
      <c r="I6" s="57"/>
      <c r="J6" s="57"/>
      <c r="K6" s="91">
        <f>C4-WEEKDAY(C4,1)+2+7*(H4-1)</f>
        <v>45985</v>
      </c>
      <c r="L6" s="92">
        <f t="shared" ref="L6:AQ6" si="0">K6+1</f>
        <v>45986</v>
      </c>
      <c r="M6" s="92">
        <f t="shared" si="0"/>
        <v>45987</v>
      </c>
      <c r="N6" s="92">
        <f t="shared" si="0"/>
        <v>45988</v>
      </c>
      <c r="O6" s="92">
        <f t="shared" si="0"/>
        <v>45989</v>
      </c>
      <c r="P6" s="92">
        <f t="shared" si="0"/>
        <v>45990</v>
      </c>
      <c r="Q6" s="102">
        <f t="shared" si="0"/>
        <v>45991</v>
      </c>
      <c r="R6" s="91">
        <f t="shared" si="0"/>
        <v>45992</v>
      </c>
      <c r="S6" s="92">
        <f t="shared" si="0"/>
        <v>45993</v>
      </c>
      <c r="T6" s="92">
        <f t="shared" si="0"/>
        <v>45994</v>
      </c>
      <c r="U6" s="92">
        <f t="shared" si="0"/>
        <v>45995</v>
      </c>
      <c r="V6" s="92">
        <f t="shared" si="0"/>
        <v>45996</v>
      </c>
      <c r="W6" s="92">
        <f t="shared" si="0"/>
        <v>45997</v>
      </c>
      <c r="X6" s="102">
        <f t="shared" si="0"/>
        <v>45998</v>
      </c>
      <c r="Y6" s="91">
        <f t="shared" si="0"/>
        <v>45999</v>
      </c>
      <c r="Z6" s="92">
        <f t="shared" si="0"/>
        <v>46000</v>
      </c>
      <c r="AA6" s="92">
        <f t="shared" si="0"/>
        <v>46001</v>
      </c>
      <c r="AB6" s="92">
        <f t="shared" si="0"/>
        <v>46002</v>
      </c>
      <c r="AC6" s="92">
        <f t="shared" si="0"/>
        <v>46003</v>
      </c>
      <c r="AD6" s="92">
        <f t="shared" si="0"/>
        <v>46004</v>
      </c>
      <c r="AE6" s="102">
        <f t="shared" si="0"/>
        <v>46005</v>
      </c>
      <c r="AF6" s="91">
        <f t="shared" si="0"/>
        <v>46006</v>
      </c>
      <c r="AG6" s="92">
        <f t="shared" si="0"/>
        <v>46007</v>
      </c>
      <c r="AH6" s="92">
        <f t="shared" si="0"/>
        <v>46008</v>
      </c>
      <c r="AI6" s="92">
        <f t="shared" si="0"/>
        <v>46009</v>
      </c>
      <c r="AJ6" s="92">
        <f t="shared" si="0"/>
        <v>46010</v>
      </c>
      <c r="AK6" s="92">
        <f t="shared" si="0"/>
        <v>46011</v>
      </c>
      <c r="AL6" s="102">
        <f t="shared" si="0"/>
        <v>46012</v>
      </c>
      <c r="AM6" s="91">
        <f t="shared" si="0"/>
        <v>46013</v>
      </c>
      <c r="AN6" s="92">
        <f t="shared" si="0"/>
        <v>46014</v>
      </c>
      <c r="AO6" s="92">
        <f t="shared" si="0"/>
        <v>46015</v>
      </c>
      <c r="AP6" s="92">
        <f t="shared" si="0"/>
        <v>46016</v>
      </c>
      <c r="AQ6" s="92">
        <f t="shared" si="0"/>
        <v>46017</v>
      </c>
      <c r="AR6" s="92">
        <f t="shared" ref="AR6:BN6" si="1">AQ6+1</f>
        <v>46018</v>
      </c>
      <c r="AS6" s="102">
        <f t="shared" si="1"/>
        <v>46019</v>
      </c>
      <c r="AT6" s="91">
        <f t="shared" si="1"/>
        <v>46020</v>
      </c>
      <c r="AU6" s="92">
        <f t="shared" si="1"/>
        <v>46021</v>
      </c>
      <c r="AV6" s="92">
        <f t="shared" si="1"/>
        <v>46022</v>
      </c>
      <c r="AW6" s="92">
        <f t="shared" si="1"/>
        <v>46023</v>
      </c>
      <c r="AX6" s="92">
        <f t="shared" si="1"/>
        <v>46024</v>
      </c>
      <c r="AY6" s="92">
        <f t="shared" si="1"/>
        <v>46025</v>
      </c>
      <c r="AZ6" s="102">
        <f t="shared" si="1"/>
        <v>46026</v>
      </c>
      <c r="BA6" s="91">
        <f t="shared" si="1"/>
        <v>46027</v>
      </c>
      <c r="BB6" s="92">
        <f t="shared" si="1"/>
        <v>46028</v>
      </c>
      <c r="BC6" s="92">
        <f t="shared" si="1"/>
        <v>46029</v>
      </c>
      <c r="BD6" s="92">
        <f t="shared" si="1"/>
        <v>46030</v>
      </c>
      <c r="BE6" s="92">
        <f t="shared" si="1"/>
        <v>46031</v>
      </c>
      <c r="BF6" s="92">
        <f t="shared" si="1"/>
        <v>46032</v>
      </c>
      <c r="BG6" s="102">
        <f t="shared" si="1"/>
        <v>46033</v>
      </c>
      <c r="BH6" s="91">
        <f t="shared" si="1"/>
        <v>46034</v>
      </c>
      <c r="BI6" s="92">
        <f t="shared" si="1"/>
        <v>46035</v>
      </c>
      <c r="BJ6" s="92">
        <f t="shared" si="1"/>
        <v>46036</v>
      </c>
      <c r="BK6" s="92">
        <f t="shared" si="1"/>
        <v>46037</v>
      </c>
      <c r="BL6" s="92">
        <f t="shared" si="1"/>
        <v>46038</v>
      </c>
      <c r="BM6" s="92">
        <f t="shared" si="1"/>
        <v>46039</v>
      </c>
      <c r="BN6" s="102">
        <f t="shared" si="1"/>
        <v>46040</v>
      </c>
    </row>
    <row r="7" ht="24.75" spans="1:66">
      <c r="A7" s="62" t="s">
        <v>5</v>
      </c>
      <c r="B7" s="62" t="s">
        <v>6</v>
      </c>
      <c r="C7" s="63" t="s">
        <v>7</v>
      </c>
      <c r="D7" s="64" t="s">
        <v>8</v>
      </c>
      <c r="E7" s="65" t="s">
        <v>9</v>
      </c>
      <c r="F7" s="65" t="s">
        <v>10</v>
      </c>
      <c r="G7" s="63" t="s">
        <v>11</v>
      </c>
      <c r="H7" s="63" t="s">
        <v>12</v>
      </c>
      <c r="I7" s="63" t="s">
        <v>13</v>
      </c>
      <c r="J7" s="63"/>
      <c r="K7" s="93" t="str">
        <f t="shared" ref="K7:AP7" si="2">CHOOSE(WEEKDAY(K6,1),"S","M","T","W","T","F","S")</f>
        <v>M</v>
      </c>
      <c r="L7" s="94" t="str">
        <f t="shared" si="2"/>
        <v>T</v>
      </c>
      <c r="M7" s="94" t="str">
        <f t="shared" si="2"/>
        <v>W</v>
      </c>
      <c r="N7" s="94" t="str">
        <f t="shared" si="2"/>
        <v>T</v>
      </c>
      <c r="O7" s="94" t="str">
        <f t="shared" si="2"/>
        <v>F</v>
      </c>
      <c r="P7" s="94" t="str">
        <f t="shared" si="2"/>
        <v>S</v>
      </c>
      <c r="Q7" s="103" t="str">
        <f t="shared" si="2"/>
        <v>S</v>
      </c>
      <c r="R7" s="93" t="str">
        <f t="shared" si="2"/>
        <v>M</v>
      </c>
      <c r="S7" s="94" t="str">
        <f t="shared" si="2"/>
        <v>T</v>
      </c>
      <c r="T7" s="94" t="str">
        <f t="shared" si="2"/>
        <v>W</v>
      </c>
      <c r="U7" s="94" t="str">
        <f t="shared" si="2"/>
        <v>T</v>
      </c>
      <c r="V7" s="94" t="str">
        <f t="shared" si="2"/>
        <v>F</v>
      </c>
      <c r="W7" s="94" t="str">
        <f t="shared" si="2"/>
        <v>S</v>
      </c>
      <c r="X7" s="103" t="str">
        <f t="shared" si="2"/>
        <v>S</v>
      </c>
      <c r="Y7" s="93" t="str">
        <f t="shared" si="2"/>
        <v>M</v>
      </c>
      <c r="Z7" s="94" t="str">
        <f t="shared" si="2"/>
        <v>T</v>
      </c>
      <c r="AA7" s="94" t="str">
        <f t="shared" si="2"/>
        <v>W</v>
      </c>
      <c r="AB7" s="94" t="str">
        <f t="shared" si="2"/>
        <v>T</v>
      </c>
      <c r="AC7" s="94" t="str">
        <f t="shared" si="2"/>
        <v>F</v>
      </c>
      <c r="AD7" s="94" t="str">
        <f t="shared" si="2"/>
        <v>S</v>
      </c>
      <c r="AE7" s="103" t="str">
        <f t="shared" si="2"/>
        <v>S</v>
      </c>
      <c r="AF7" s="93" t="str">
        <f t="shared" si="2"/>
        <v>M</v>
      </c>
      <c r="AG7" s="94" t="str">
        <f t="shared" si="2"/>
        <v>T</v>
      </c>
      <c r="AH7" s="94" t="str">
        <f t="shared" si="2"/>
        <v>W</v>
      </c>
      <c r="AI7" s="94" t="str">
        <f t="shared" si="2"/>
        <v>T</v>
      </c>
      <c r="AJ7" s="94" t="str">
        <f t="shared" si="2"/>
        <v>F</v>
      </c>
      <c r="AK7" s="94" t="str">
        <f t="shared" si="2"/>
        <v>S</v>
      </c>
      <c r="AL7" s="103" t="str">
        <f t="shared" si="2"/>
        <v>S</v>
      </c>
      <c r="AM7" s="93" t="str">
        <f t="shared" si="2"/>
        <v>M</v>
      </c>
      <c r="AN7" s="94" t="str">
        <f t="shared" si="2"/>
        <v>T</v>
      </c>
      <c r="AO7" s="94" t="str">
        <f t="shared" si="2"/>
        <v>W</v>
      </c>
      <c r="AP7" s="94" t="str">
        <f t="shared" si="2"/>
        <v>T</v>
      </c>
      <c r="AQ7" s="94" t="str">
        <f t="shared" ref="AQ7:BN7" si="3">CHOOSE(WEEKDAY(AQ6,1),"S","M","T","W","T","F","S")</f>
        <v>F</v>
      </c>
      <c r="AR7" s="94" t="str">
        <f t="shared" si="3"/>
        <v>S</v>
      </c>
      <c r="AS7" s="103" t="str">
        <f t="shared" si="3"/>
        <v>S</v>
      </c>
      <c r="AT7" s="93" t="str">
        <f t="shared" si="3"/>
        <v>M</v>
      </c>
      <c r="AU7" s="94" t="str">
        <f t="shared" si="3"/>
        <v>T</v>
      </c>
      <c r="AV7" s="94" t="str">
        <f t="shared" si="3"/>
        <v>W</v>
      </c>
      <c r="AW7" s="94" t="str">
        <f t="shared" si="3"/>
        <v>T</v>
      </c>
      <c r="AX7" s="94" t="str">
        <f t="shared" si="3"/>
        <v>F</v>
      </c>
      <c r="AY7" s="94" t="str">
        <f t="shared" si="3"/>
        <v>S</v>
      </c>
      <c r="AZ7" s="103" t="str">
        <f t="shared" si="3"/>
        <v>S</v>
      </c>
      <c r="BA7" s="93" t="str">
        <f t="shared" si="3"/>
        <v>M</v>
      </c>
      <c r="BB7" s="94" t="str">
        <f t="shared" si="3"/>
        <v>T</v>
      </c>
      <c r="BC7" s="94" t="str">
        <f t="shared" si="3"/>
        <v>W</v>
      </c>
      <c r="BD7" s="94" t="str">
        <f t="shared" si="3"/>
        <v>T</v>
      </c>
      <c r="BE7" s="94" t="str">
        <f t="shared" si="3"/>
        <v>F</v>
      </c>
      <c r="BF7" s="94" t="str">
        <f t="shared" si="3"/>
        <v>S</v>
      </c>
      <c r="BG7" s="103" t="str">
        <f t="shared" si="3"/>
        <v>S</v>
      </c>
      <c r="BH7" s="93" t="str">
        <f t="shared" si="3"/>
        <v>M</v>
      </c>
      <c r="BI7" s="94" t="str">
        <f t="shared" si="3"/>
        <v>T</v>
      </c>
      <c r="BJ7" s="94" t="str">
        <f t="shared" si="3"/>
        <v>W</v>
      </c>
      <c r="BK7" s="94" t="str">
        <f t="shared" si="3"/>
        <v>T</v>
      </c>
      <c r="BL7" s="94" t="str">
        <f t="shared" si="3"/>
        <v>F</v>
      </c>
      <c r="BM7" s="94" t="str">
        <f t="shared" si="3"/>
        <v>S</v>
      </c>
      <c r="BN7" s="103" t="str">
        <f t="shared" si="3"/>
        <v>S</v>
      </c>
    </row>
    <row r="8" s="48" customFormat="1" ht="18" spans="1:66">
      <c r="A8" s="66" t="str">
        <f>IF(ISERROR(VALUE(SUBSTITUTE(prevWBS,".",""))),"1",IF(ISERROR(FIND("`",SUBSTITUTE(prevWBS,".","`",1))),TEXT(VALUE(prevWBS)+1,"#"),TEXT(VALUE(LEFT(prevWBS,FIND("`",SUBSTITUTE(prevWBS,".","`",1))-1))+1,"#")))</f>
        <v>1</v>
      </c>
      <c r="B8" s="67" t="s">
        <v>14</v>
      </c>
      <c r="C8" s="68"/>
      <c r="D8" s="69"/>
      <c r="E8" s="70"/>
      <c r="F8" s="71" t="str">
        <f t="shared" ref="F8:F24" si="4">IF(ISBLANK(E8)," - ",IF(G8=0,E8,E8+G8-1))</f>
        <v> - </v>
      </c>
      <c r="G8" s="72"/>
      <c r="H8" s="73"/>
      <c r="I8" s="95" t="str">
        <f>IF(OR(F8=0,E8=0)," - ",NETWORKDAYS(E8,F8))</f>
        <v> - </v>
      </c>
      <c r="J8" s="96"/>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c r="BM8" s="97"/>
      <c r="BN8" s="97"/>
    </row>
    <row r="9" s="49" customFormat="1" ht="18" spans="1:66">
      <c r="A9"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75" t="s">
        <v>15</v>
      </c>
      <c r="C9" s="49" t="s">
        <v>16</v>
      </c>
      <c r="D9" s="76"/>
      <c r="E9" s="77">
        <v>45987</v>
      </c>
      <c r="F9" s="78">
        <f t="shared" si="4"/>
        <v>45987</v>
      </c>
      <c r="G9" s="79">
        <v>1</v>
      </c>
      <c r="H9" s="80">
        <v>1</v>
      </c>
      <c r="I9" s="98">
        <f>IF(OR(F9=0,E9=0)," - ",NETWORKDAYS(E9,F9))</f>
        <v>1</v>
      </c>
      <c r="J9" s="99"/>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row>
    <row r="10" s="49" customFormat="1" ht="18" spans="1:66">
      <c r="A10"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v>
      </c>
      <c r="B10" s="75" t="s">
        <v>17</v>
      </c>
      <c r="C10" s="49" t="s">
        <v>16</v>
      </c>
      <c r="D10" s="76"/>
      <c r="E10" s="77">
        <v>45988</v>
      </c>
      <c r="F10" s="78">
        <f t="shared" si="4"/>
        <v>46054</v>
      </c>
      <c r="G10" s="79">
        <v>67</v>
      </c>
      <c r="H10" s="81">
        <v>0.5</v>
      </c>
      <c r="I10" s="98">
        <f>IF(OR(F10=0,E10=0)," - ",NETWORKDAYS(E10,F10))</f>
        <v>47</v>
      </c>
      <c r="J10" s="99"/>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row>
    <row r="11" s="49" customFormat="1" ht="18" spans="1:66">
      <c r="A11"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1" s="75" t="s">
        <v>18</v>
      </c>
      <c r="C11" s="49" t="s">
        <v>16</v>
      </c>
      <c r="D11" s="76"/>
      <c r="E11" s="77">
        <v>45995</v>
      </c>
      <c r="F11" s="78">
        <f t="shared" si="4"/>
        <v>46001</v>
      </c>
      <c r="G11" s="79">
        <v>7</v>
      </c>
      <c r="H11" s="80">
        <v>1</v>
      </c>
      <c r="I11" s="98">
        <f>IF(OR(F11=0,E11=0)," - ",NETWORKDAYS(E11,F11))</f>
        <v>5</v>
      </c>
      <c r="J11" s="99"/>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row>
    <row r="12" s="49" customFormat="1" ht="18" spans="1:66">
      <c r="A12"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v>
      </c>
      <c r="B12" s="75" t="s">
        <v>19</v>
      </c>
      <c r="C12" s="49" t="s">
        <v>20</v>
      </c>
      <c r="D12" s="76"/>
      <c r="E12" s="77">
        <v>46009</v>
      </c>
      <c r="F12" s="78">
        <f t="shared" si="4"/>
        <v>46014</v>
      </c>
      <c r="G12" s="79">
        <v>6</v>
      </c>
      <c r="H12" s="80">
        <v>1</v>
      </c>
      <c r="I12" s="98">
        <f>IF(OR(F12=0,E12=0)," - ",NETWORKDAYS(E12,F12))</f>
        <v>4</v>
      </c>
      <c r="J12" s="99"/>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row>
    <row r="13" s="49" customFormat="1" ht="18" spans="1:66">
      <c r="A13"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1.5</v>
      </c>
      <c r="B13" s="75" t="s">
        <v>21</v>
      </c>
      <c r="C13" s="49" t="s">
        <v>16</v>
      </c>
      <c r="D13" s="76"/>
      <c r="E13" s="77">
        <v>46021</v>
      </c>
      <c r="F13" s="78">
        <f t="shared" ref="F13" si="5">IF(ISBLANK(E13)," - ",IF(G13=0,E13,E13+G13-1))</f>
        <v>46021</v>
      </c>
      <c r="G13" s="79">
        <v>1</v>
      </c>
      <c r="H13" s="80">
        <v>1</v>
      </c>
      <c r="I13" s="98">
        <f t="shared" ref="I13" si="6">IF(OR(F13=0,E13=0)," - ",NETWORKDAYS(E13,F13))</f>
        <v>1</v>
      </c>
      <c r="J13" s="99"/>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row>
    <row r="14" s="49" customFormat="1" ht="18" spans="1:66">
      <c r="A14"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1.6</v>
      </c>
      <c r="B14" s="75" t="s">
        <v>22</v>
      </c>
      <c r="C14" s="49" t="s">
        <v>20</v>
      </c>
      <c r="D14" s="76"/>
      <c r="E14" s="77">
        <v>46021</v>
      </c>
      <c r="F14" s="78">
        <f t="shared" ref="F14" si="7">IF(ISBLANK(E14)," - ",IF(G14=0,E14,E14+G14-1))</f>
        <v>46030</v>
      </c>
      <c r="G14" s="79">
        <v>10</v>
      </c>
      <c r="H14" s="81">
        <v>1</v>
      </c>
      <c r="I14" s="98">
        <f t="shared" ref="I14" si="8">IF(OR(F14=0,E14=0)," - ",NETWORKDAYS(E14,F14))</f>
        <v>8</v>
      </c>
      <c r="J14" s="99"/>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row>
    <row r="15" s="49" customFormat="1" ht="18" spans="1:66">
      <c r="A15"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1.7</v>
      </c>
      <c r="B15" s="75" t="s">
        <v>23</v>
      </c>
      <c r="C15" s="49" t="s">
        <v>16</v>
      </c>
      <c r="D15" s="76"/>
      <c r="E15" s="77">
        <v>46028</v>
      </c>
      <c r="F15" s="78">
        <f t="shared" ref="F15" si="9">IF(ISBLANK(E15)," - ",IF(G15=0,E15,E15+G15-1))</f>
        <v>46030</v>
      </c>
      <c r="G15" s="79">
        <v>3</v>
      </c>
      <c r="H15" s="81">
        <v>1</v>
      </c>
      <c r="I15" s="98">
        <f t="shared" ref="I15:I16" si="10">IF(OR(F15=0,E15=0)," - ",NETWORKDAYS(E15,F15))</f>
        <v>3</v>
      </c>
      <c r="J15" s="99"/>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row>
    <row r="16" s="49" customFormat="1" ht="18" spans="1:66">
      <c r="A16"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1.8</v>
      </c>
      <c r="B16" s="75" t="s">
        <v>24</v>
      </c>
      <c r="C16" s="49" t="s">
        <v>20</v>
      </c>
      <c r="D16" s="76"/>
      <c r="E16" s="77">
        <v>46031</v>
      </c>
      <c r="F16" s="78">
        <f t="shared" si="4"/>
        <v>46040</v>
      </c>
      <c r="G16" s="79">
        <v>10</v>
      </c>
      <c r="H16" s="80">
        <v>0</v>
      </c>
      <c r="I16" s="98">
        <f t="shared" si="10"/>
        <v>6</v>
      </c>
      <c r="J16" s="99"/>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row>
    <row r="17" s="49" customFormat="1" ht="18" spans="1:66">
      <c r="A17"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1.9</v>
      </c>
      <c r="B17" s="75" t="s">
        <v>25</v>
      </c>
      <c r="C17" s="49" t="s">
        <v>16</v>
      </c>
      <c r="D17" s="76"/>
      <c r="E17" s="77">
        <v>46030</v>
      </c>
      <c r="F17" s="78">
        <f t="shared" ref="F17:F19" si="11">IF(ISBLANK(E17)," - ",IF(G17=0,E17,E17+G17-1))</f>
        <v>46030</v>
      </c>
      <c r="G17" s="79">
        <v>1</v>
      </c>
      <c r="H17" s="81">
        <v>1</v>
      </c>
      <c r="I17" s="98">
        <f t="shared" ref="I17:I19" si="12">IF(OR(F17=0,E17=0)," - ",NETWORKDAYS(E17,F17))</f>
        <v>1</v>
      </c>
      <c r="J17" s="99"/>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row>
    <row r="18" s="49" customFormat="1" ht="18" spans="1:66">
      <c r="A18"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1.10</v>
      </c>
      <c r="B18" s="75" t="s">
        <v>26</v>
      </c>
      <c r="C18" s="49" t="s">
        <v>20</v>
      </c>
      <c r="D18" s="76"/>
      <c r="E18" s="77">
        <v>46037</v>
      </c>
      <c r="F18" s="78">
        <f t="shared" si="11"/>
        <v>46038</v>
      </c>
      <c r="G18" s="79">
        <v>2</v>
      </c>
      <c r="H18" s="81">
        <v>1</v>
      </c>
      <c r="I18" s="98">
        <f t="shared" si="12"/>
        <v>2</v>
      </c>
      <c r="J18" s="99"/>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row>
    <row r="19" s="49" customFormat="1" ht="18" spans="1:66">
      <c r="A19" s="7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1.11</v>
      </c>
      <c r="B19" s="75" t="s">
        <v>27</v>
      </c>
      <c r="C19" s="49" t="s">
        <v>28</v>
      </c>
      <c r="D19" s="76"/>
      <c r="E19" s="77">
        <v>46037</v>
      </c>
      <c r="F19" s="78">
        <f t="shared" si="11"/>
        <v>46038</v>
      </c>
      <c r="G19" s="79">
        <v>2</v>
      </c>
      <c r="H19" s="81">
        <v>1</v>
      </c>
      <c r="I19" s="98">
        <f t="shared" si="12"/>
        <v>2</v>
      </c>
      <c r="J19" s="99"/>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row>
    <row r="20" s="49" customFormat="1" ht="21" customHeight="1" spans="1:66">
      <c r="A20" s="74" t="str">
        <f t="shared" ref="A20:A48" si="1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75" t="s">
        <v>29</v>
      </c>
      <c r="C20" s="49" t="s">
        <v>20</v>
      </c>
      <c r="D20" s="76"/>
      <c r="E20" s="77">
        <v>46032</v>
      </c>
      <c r="F20" s="78">
        <f t="shared" ref="F20" si="14">IF(ISBLANK(E20)," - ",IF(G20=0,E20,E20+G20-1))</f>
        <v>46043</v>
      </c>
      <c r="G20" s="79">
        <v>12</v>
      </c>
      <c r="H20" s="81">
        <v>0.85</v>
      </c>
      <c r="I20" s="98">
        <f t="shared" ref="I20" si="15">IF(OR(F20=0,E20=0)," - ",NETWORKDAYS(E20,F20))</f>
        <v>8</v>
      </c>
      <c r="J20" s="99"/>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row>
    <row r="21" s="49" customFormat="1" ht="24" spans="1:66">
      <c r="A21" s="74" t="str">
        <f t="shared" si="13"/>
        <v>1.13</v>
      </c>
      <c r="B21" s="75" t="s">
        <v>30</v>
      </c>
      <c r="C21" s="49" t="s">
        <v>28</v>
      </c>
      <c r="D21" s="76"/>
      <c r="E21" s="77">
        <v>46032</v>
      </c>
      <c r="F21" s="78">
        <f t="shared" ref="F21:F26" si="16">IF(ISBLANK(E21)," - ",IF(G21=0,E21,E21+G21-1))</f>
        <v>46043</v>
      </c>
      <c r="G21" s="79">
        <v>12</v>
      </c>
      <c r="H21" s="81">
        <v>0.7</v>
      </c>
      <c r="I21" s="98">
        <f t="shared" ref="I21:I26" si="17">IF(OR(F21=0,E21=0)," - ",NETWORKDAYS(E21,F21))</f>
        <v>8</v>
      </c>
      <c r="J21" s="99"/>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row>
    <row r="22" s="49" customFormat="1" ht="18" spans="1:66">
      <c r="A22" s="74" t="str">
        <f t="shared" si="13"/>
        <v>1.14</v>
      </c>
      <c r="B22" s="82" t="s">
        <v>31</v>
      </c>
      <c r="C22" s="49" t="s">
        <v>28</v>
      </c>
      <c r="D22" s="76"/>
      <c r="E22" s="77">
        <f>F21+1</f>
        <v>46044</v>
      </c>
      <c r="F22" s="78">
        <f t="shared" si="16"/>
        <v>46051</v>
      </c>
      <c r="G22" s="79">
        <v>8</v>
      </c>
      <c r="H22" s="80">
        <v>0</v>
      </c>
      <c r="I22" s="98">
        <f t="shared" si="17"/>
        <v>6</v>
      </c>
      <c r="J22" s="99"/>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row>
    <row r="23" s="49" customFormat="1" ht="18" spans="1:66">
      <c r="A23" s="74" t="str">
        <f t="shared" si="13"/>
        <v>1.15</v>
      </c>
      <c r="B23" s="83" t="s">
        <v>32</v>
      </c>
      <c r="C23" s="49" t="s">
        <v>20</v>
      </c>
      <c r="D23" s="76"/>
      <c r="E23" s="77">
        <f>F20+1</f>
        <v>46044</v>
      </c>
      <c r="F23" s="78">
        <f t="shared" si="16"/>
        <v>46051</v>
      </c>
      <c r="G23" s="79">
        <v>8</v>
      </c>
      <c r="H23" s="80">
        <v>0</v>
      </c>
      <c r="I23" s="98">
        <f t="shared" si="17"/>
        <v>6</v>
      </c>
      <c r="J23" s="99"/>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row>
    <row r="24" s="49" customFormat="1" ht="18" spans="1:66">
      <c r="A24" s="74" t="str">
        <f t="shared" si="13"/>
        <v>1.16</v>
      </c>
      <c r="B24" s="75" t="s">
        <v>33</v>
      </c>
      <c r="C24" s="49" t="s">
        <v>28</v>
      </c>
      <c r="D24" s="76"/>
      <c r="E24" s="77">
        <f t="shared" ref="E24:E48" si="18">F22+1</f>
        <v>46052</v>
      </c>
      <c r="F24" s="78">
        <f t="shared" si="16"/>
        <v>46059</v>
      </c>
      <c r="G24" s="79">
        <v>8</v>
      </c>
      <c r="H24" s="80">
        <v>0</v>
      </c>
      <c r="I24" s="98">
        <f t="shared" si="17"/>
        <v>6</v>
      </c>
      <c r="J24" s="99"/>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row>
    <row r="25" s="49" customFormat="1" ht="18" spans="1:66">
      <c r="A25" s="74" t="str">
        <f t="shared" si="13"/>
        <v>1.17</v>
      </c>
      <c r="B25" s="75" t="s">
        <v>34</v>
      </c>
      <c r="C25" s="49" t="s">
        <v>20</v>
      </c>
      <c r="D25" s="76"/>
      <c r="E25" s="77">
        <f t="shared" si="18"/>
        <v>46052</v>
      </c>
      <c r="F25" s="78">
        <f t="shared" si="16"/>
        <v>46059</v>
      </c>
      <c r="G25" s="79">
        <v>8</v>
      </c>
      <c r="H25" s="80">
        <v>0</v>
      </c>
      <c r="I25" s="98">
        <f t="shared" si="17"/>
        <v>6</v>
      </c>
      <c r="J25" s="99"/>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row>
    <row r="26" s="49" customFormat="1" ht="18" spans="1:66">
      <c r="A26" s="74" t="str">
        <f t="shared" si="13"/>
        <v>1.18</v>
      </c>
      <c r="B26" s="75" t="s">
        <v>35</v>
      </c>
      <c r="C26" s="49" t="s">
        <v>28</v>
      </c>
      <c r="D26" s="76"/>
      <c r="E26" s="77">
        <f t="shared" si="18"/>
        <v>46060</v>
      </c>
      <c r="F26" s="78">
        <f t="shared" si="16"/>
        <v>46067</v>
      </c>
      <c r="G26" s="79">
        <v>8</v>
      </c>
      <c r="H26" s="80">
        <v>0</v>
      </c>
      <c r="I26" s="98">
        <f t="shared" si="17"/>
        <v>5</v>
      </c>
      <c r="J26" s="99"/>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row>
    <row r="27" s="49" customFormat="1" ht="18" spans="1:66">
      <c r="A27" s="74" t="str">
        <f t="shared" si="13"/>
        <v>1.19</v>
      </c>
      <c r="B27" s="75" t="s">
        <v>36</v>
      </c>
      <c r="C27" s="49" t="s">
        <v>20</v>
      </c>
      <c r="D27" s="76"/>
      <c r="E27" s="77">
        <f t="shared" si="18"/>
        <v>46060</v>
      </c>
      <c r="F27" s="78">
        <f t="shared" ref="F27" si="19">IF(ISBLANK(E27)," - ",IF(G27=0,E27,E27+G27-1))</f>
        <v>46067</v>
      </c>
      <c r="G27" s="79">
        <v>8</v>
      </c>
      <c r="H27" s="80">
        <v>0</v>
      </c>
      <c r="I27" s="98">
        <f t="shared" ref="I27" si="20">IF(OR(F27=0,E27=0)," - ",NETWORKDAYS(E27,F27))</f>
        <v>5</v>
      </c>
      <c r="J27" s="99"/>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row>
    <row r="28" s="49" customFormat="1" ht="18" spans="1:66">
      <c r="A28" s="74" t="str">
        <f t="shared" si="13"/>
        <v>1.20</v>
      </c>
      <c r="B28" s="75" t="s">
        <v>37</v>
      </c>
      <c r="C28" s="49" t="s">
        <v>28</v>
      </c>
      <c r="D28" s="76"/>
      <c r="E28" s="77">
        <f t="shared" si="18"/>
        <v>46068</v>
      </c>
      <c r="F28" s="78">
        <f t="shared" ref="F28" si="21">IF(ISBLANK(E28)," - ",IF(G28=0,E28,E28+G28-1))</f>
        <v>46075</v>
      </c>
      <c r="G28" s="79">
        <v>8</v>
      </c>
      <c r="H28" s="80">
        <v>0</v>
      </c>
      <c r="I28" s="98">
        <f t="shared" ref="I28" si="22">IF(OR(F28=0,E28=0)," - ",NETWORKDAYS(E28,F28))</f>
        <v>5</v>
      </c>
      <c r="J28" s="99"/>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row>
    <row r="29" s="49" customFormat="1" ht="18" spans="1:66">
      <c r="A29" s="74" t="str">
        <f t="shared" si="13"/>
        <v>1.21</v>
      </c>
      <c r="B29" s="75" t="s">
        <v>38</v>
      </c>
      <c r="C29" s="49" t="s">
        <v>20</v>
      </c>
      <c r="D29" s="76"/>
      <c r="E29" s="77">
        <f t="shared" si="18"/>
        <v>46068</v>
      </c>
      <c r="F29" s="78">
        <f t="shared" ref="F29:F48" si="23">IF(ISBLANK(E29)," - ",IF(G29=0,E29,E29+G29-1))</f>
        <v>46075</v>
      </c>
      <c r="G29" s="79">
        <v>8</v>
      </c>
      <c r="H29" s="80">
        <v>0</v>
      </c>
      <c r="I29" s="98">
        <f t="shared" ref="I29:I48" si="24">IF(OR(F29=0,E29=0)," - ",NETWORKDAYS(E29,F29))</f>
        <v>5</v>
      </c>
      <c r="J29" s="99"/>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row>
    <row r="30" s="49" customFormat="1" ht="18" spans="1:66">
      <c r="A30" s="74" t="str">
        <f t="shared" si="13"/>
        <v>1.22</v>
      </c>
      <c r="B30" s="75" t="s">
        <v>39</v>
      </c>
      <c r="C30" s="49" t="s">
        <v>28</v>
      </c>
      <c r="D30" s="76"/>
      <c r="E30" s="77">
        <f t="shared" si="18"/>
        <v>46076</v>
      </c>
      <c r="F30" s="78">
        <f t="shared" si="23"/>
        <v>46083</v>
      </c>
      <c r="G30" s="79">
        <v>8</v>
      </c>
      <c r="H30" s="80">
        <v>0</v>
      </c>
      <c r="I30" s="98">
        <f t="shared" si="24"/>
        <v>6</v>
      </c>
      <c r="J30" s="99"/>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row>
    <row r="31" s="49" customFormat="1" ht="18" spans="1:66">
      <c r="A31" s="74" t="str">
        <f t="shared" si="13"/>
        <v>1.23</v>
      </c>
      <c r="B31" s="75" t="s">
        <v>40</v>
      </c>
      <c r="C31" s="49" t="s">
        <v>20</v>
      </c>
      <c r="D31" s="76"/>
      <c r="E31" s="77">
        <f t="shared" si="18"/>
        <v>46076</v>
      </c>
      <c r="F31" s="78">
        <f t="shared" si="23"/>
        <v>46083</v>
      </c>
      <c r="G31" s="79">
        <v>8</v>
      </c>
      <c r="H31" s="80">
        <v>0</v>
      </c>
      <c r="I31" s="98">
        <f t="shared" si="24"/>
        <v>6</v>
      </c>
      <c r="J31" s="99"/>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row>
    <row r="32" s="49" customFormat="1" ht="18" spans="1:66">
      <c r="A32" s="74" t="str">
        <f t="shared" si="13"/>
        <v>1.24</v>
      </c>
      <c r="B32" s="75" t="s">
        <v>41</v>
      </c>
      <c r="C32" s="49" t="s">
        <v>28</v>
      </c>
      <c r="D32" s="76"/>
      <c r="E32" s="77">
        <f t="shared" si="18"/>
        <v>46084</v>
      </c>
      <c r="F32" s="78">
        <f t="shared" si="23"/>
        <v>46091</v>
      </c>
      <c r="G32" s="79">
        <v>8</v>
      </c>
      <c r="H32" s="80">
        <v>0</v>
      </c>
      <c r="I32" s="98">
        <f t="shared" si="24"/>
        <v>6</v>
      </c>
      <c r="J32" s="99"/>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row>
    <row r="33" s="49" customFormat="1" ht="18" spans="1:66">
      <c r="A33" s="74" t="str">
        <f t="shared" si="13"/>
        <v>1.25</v>
      </c>
      <c r="B33" s="75" t="s">
        <v>42</v>
      </c>
      <c r="C33" s="49" t="s">
        <v>20</v>
      </c>
      <c r="D33" s="76"/>
      <c r="E33" s="77">
        <f t="shared" si="18"/>
        <v>46084</v>
      </c>
      <c r="F33" s="78">
        <f t="shared" si="23"/>
        <v>46091</v>
      </c>
      <c r="G33" s="79">
        <v>8</v>
      </c>
      <c r="H33" s="80">
        <v>0</v>
      </c>
      <c r="I33" s="98">
        <f t="shared" si="24"/>
        <v>6</v>
      </c>
      <c r="J33" s="99"/>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row>
    <row r="34" s="49" customFormat="1" ht="18" spans="1:66">
      <c r="A34" s="74" t="str">
        <f t="shared" si="13"/>
        <v>1.26</v>
      </c>
      <c r="B34" s="75" t="s">
        <v>43</v>
      </c>
      <c r="C34" s="49" t="s">
        <v>28</v>
      </c>
      <c r="D34" s="76"/>
      <c r="E34" s="77">
        <f t="shared" si="18"/>
        <v>46092</v>
      </c>
      <c r="F34" s="78">
        <f t="shared" si="23"/>
        <v>46099</v>
      </c>
      <c r="G34" s="79">
        <v>8</v>
      </c>
      <c r="H34" s="80">
        <v>0</v>
      </c>
      <c r="I34" s="98">
        <f t="shared" si="24"/>
        <v>6</v>
      </c>
      <c r="J34" s="99"/>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row>
    <row r="35" s="49" customFormat="1" ht="18" spans="1:66">
      <c r="A35" s="74" t="str">
        <f t="shared" si="13"/>
        <v>1.27</v>
      </c>
      <c r="B35" s="75" t="s">
        <v>44</v>
      </c>
      <c r="C35" s="49" t="s">
        <v>20</v>
      </c>
      <c r="D35" s="76"/>
      <c r="E35" s="77">
        <f t="shared" si="18"/>
        <v>46092</v>
      </c>
      <c r="F35" s="78">
        <f t="shared" si="23"/>
        <v>46099</v>
      </c>
      <c r="G35" s="79">
        <v>8</v>
      </c>
      <c r="H35" s="80">
        <v>0</v>
      </c>
      <c r="I35" s="98">
        <f t="shared" si="24"/>
        <v>6</v>
      </c>
      <c r="J35" s="99"/>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row>
    <row r="36" s="49" customFormat="1" ht="18" spans="1:66">
      <c r="A36" s="74" t="str">
        <f t="shared" si="13"/>
        <v>1.28</v>
      </c>
      <c r="B36" s="75" t="s">
        <v>45</v>
      </c>
      <c r="C36" s="49" t="s">
        <v>28</v>
      </c>
      <c r="D36" s="76"/>
      <c r="E36" s="77">
        <f t="shared" si="18"/>
        <v>46100</v>
      </c>
      <c r="F36" s="78">
        <f t="shared" si="23"/>
        <v>46107</v>
      </c>
      <c r="G36" s="79">
        <v>8</v>
      </c>
      <c r="H36" s="80">
        <v>0</v>
      </c>
      <c r="I36" s="98">
        <f t="shared" si="24"/>
        <v>6</v>
      </c>
      <c r="J36" s="99"/>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row>
    <row r="37" s="49" customFormat="1" ht="18" spans="1:66">
      <c r="A37" s="74" t="str">
        <f t="shared" si="13"/>
        <v>1.29</v>
      </c>
      <c r="B37" s="75" t="s">
        <v>46</v>
      </c>
      <c r="C37" s="49" t="s">
        <v>20</v>
      </c>
      <c r="D37" s="76"/>
      <c r="E37" s="77">
        <f t="shared" si="18"/>
        <v>46100</v>
      </c>
      <c r="F37" s="78">
        <f t="shared" si="23"/>
        <v>46107</v>
      </c>
      <c r="G37" s="79">
        <v>8</v>
      </c>
      <c r="H37" s="80">
        <v>0</v>
      </c>
      <c r="I37" s="98">
        <f t="shared" si="24"/>
        <v>6</v>
      </c>
      <c r="J37" s="99"/>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row>
    <row r="38" s="49" customFormat="1" ht="18" spans="1:66">
      <c r="A38" s="74" t="str">
        <f t="shared" si="13"/>
        <v>1.30</v>
      </c>
      <c r="B38" s="75" t="s">
        <v>47</v>
      </c>
      <c r="C38" s="49" t="s">
        <v>28</v>
      </c>
      <c r="D38" s="76"/>
      <c r="E38" s="77">
        <f t="shared" si="18"/>
        <v>46108</v>
      </c>
      <c r="F38" s="78">
        <f t="shared" si="23"/>
        <v>46123</v>
      </c>
      <c r="G38" s="79">
        <v>16</v>
      </c>
      <c r="H38" s="80">
        <v>0</v>
      </c>
      <c r="I38" s="98">
        <f t="shared" si="24"/>
        <v>11</v>
      </c>
      <c r="J38" s="99"/>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row>
    <row r="39" s="49" customFormat="1" ht="18" spans="1:66">
      <c r="A39" s="74" t="str">
        <f t="shared" si="13"/>
        <v>1.31</v>
      </c>
      <c r="B39" s="75" t="s">
        <v>48</v>
      </c>
      <c r="C39" s="49" t="s">
        <v>20</v>
      </c>
      <c r="D39" s="76"/>
      <c r="E39" s="77">
        <f t="shared" si="18"/>
        <v>46108</v>
      </c>
      <c r="F39" s="78">
        <f t="shared" si="23"/>
        <v>46123</v>
      </c>
      <c r="G39" s="79">
        <v>16</v>
      </c>
      <c r="H39" s="80">
        <v>0</v>
      </c>
      <c r="I39" s="98">
        <f t="shared" si="24"/>
        <v>11</v>
      </c>
      <c r="J39" s="99"/>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row>
    <row r="40" s="49" customFormat="1" ht="18" spans="1:66">
      <c r="A40" s="74" t="str">
        <f t="shared" si="13"/>
        <v>1.32</v>
      </c>
      <c r="B40" s="75" t="s">
        <v>49</v>
      </c>
      <c r="C40" s="49" t="s">
        <v>28</v>
      </c>
      <c r="D40" s="76"/>
      <c r="E40" s="77">
        <f t="shared" si="18"/>
        <v>46124</v>
      </c>
      <c r="F40" s="78">
        <f t="shared" si="23"/>
        <v>46131</v>
      </c>
      <c r="G40" s="79">
        <v>8</v>
      </c>
      <c r="H40" s="80">
        <v>0</v>
      </c>
      <c r="I40" s="98">
        <f t="shared" si="24"/>
        <v>5</v>
      </c>
      <c r="J40" s="99"/>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row>
    <row r="41" s="49" customFormat="1" ht="18" spans="1:66">
      <c r="A41" s="74" t="str">
        <f t="shared" si="13"/>
        <v>1.33</v>
      </c>
      <c r="B41" s="75" t="s">
        <v>50</v>
      </c>
      <c r="C41" s="49" t="s">
        <v>20</v>
      </c>
      <c r="D41" s="76"/>
      <c r="E41" s="77">
        <f t="shared" si="18"/>
        <v>46124</v>
      </c>
      <c r="F41" s="78">
        <f t="shared" si="23"/>
        <v>46131</v>
      </c>
      <c r="G41" s="79">
        <v>8</v>
      </c>
      <c r="H41" s="80">
        <v>0</v>
      </c>
      <c r="I41" s="98">
        <f t="shared" si="24"/>
        <v>5</v>
      </c>
      <c r="J41" s="99"/>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row>
    <row r="42" s="49" customFormat="1" ht="18" spans="1:66">
      <c r="A42" s="74" t="str">
        <f t="shared" si="13"/>
        <v>1.34</v>
      </c>
      <c r="B42" s="75" t="s">
        <v>51</v>
      </c>
      <c r="C42" s="49" t="s">
        <v>28</v>
      </c>
      <c r="D42" s="76"/>
      <c r="E42" s="77">
        <f t="shared" si="18"/>
        <v>46132</v>
      </c>
      <c r="F42" s="78">
        <f t="shared" si="23"/>
        <v>46139</v>
      </c>
      <c r="G42" s="79">
        <v>8</v>
      </c>
      <c r="H42" s="80">
        <v>0</v>
      </c>
      <c r="I42" s="98">
        <f t="shared" si="24"/>
        <v>6</v>
      </c>
      <c r="J42" s="99"/>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row>
    <row r="43" s="49" customFormat="1" ht="18" spans="1:66">
      <c r="A43" s="74" t="str">
        <f t="shared" si="13"/>
        <v>1.35</v>
      </c>
      <c r="B43" s="75" t="s">
        <v>52</v>
      </c>
      <c r="C43" s="49" t="s">
        <v>20</v>
      </c>
      <c r="D43" s="76"/>
      <c r="E43" s="77">
        <f t="shared" si="18"/>
        <v>46132</v>
      </c>
      <c r="F43" s="78">
        <f t="shared" si="23"/>
        <v>46139</v>
      </c>
      <c r="G43" s="79">
        <v>8</v>
      </c>
      <c r="H43" s="80">
        <v>0</v>
      </c>
      <c r="I43" s="98">
        <f t="shared" si="24"/>
        <v>6</v>
      </c>
      <c r="J43" s="99"/>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row>
    <row r="44" s="49" customFormat="1" ht="18" spans="1:66">
      <c r="A44" s="74" t="str">
        <f t="shared" si="13"/>
        <v>1.36</v>
      </c>
      <c r="B44" s="75" t="s">
        <v>53</v>
      </c>
      <c r="C44" s="49" t="s">
        <v>28</v>
      </c>
      <c r="D44" s="76"/>
      <c r="E44" s="77">
        <f t="shared" si="18"/>
        <v>46140</v>
      </c>
      <c r="F44" s="78">
        <f t="shared" si="23"/>
        <v>46147</v>
      </c>
      <c r="G44" s="79">
        <v>8</v>
      </c>
      <c r="H44" s="80">
        <v>0</v>
      </c>
      <c r="I44" s="98">
        <f t="shared" si="24"/>
        <v>6</v>
      </c>
      <c r="J44" s="99"/>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row>
    <row r="45" s="49" customFormat="1" ht="18" spans="1:66">
      <c r="A45" s="74" t="str">
        <f t="shared" si="13"/>
        <v>1.37</v>
      </c>
      <c r="B45" s="75" t="s">
        <v>54</v>
      </c>
      <c r="C45" s="49" t="s">
        <v>20</v>
      </c>
      <c r="D45" s="76"/>
      <c r="E45" s="77">
        <f t="shared" si="18"/>
        <v>46140</v>
      </c>
      <c r="F45" s="78">
        <f t="shared" si="23"/>
        <v>46147</v>
      </c>
      <c r="G45" s="79">
        <v>8</v>
      </c>
      <c r="H45" s="80">
        <v>0</v>
      </c>
      <c r="I45" s="98">
        <f t="shared" si="24"/>
        <v>6</v>
      </c>
      <c r="J45" s="99"/>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row>
    <row r="46" s="49" customFormat="1" ht="18" spans="1:66">
      <c r="A46" s="74" t="str">
        <f t="shared" si="13"/>
        <v>1.38</v>
      </c>
      <c r="B46" s="75" t="s">
        <v>55</v>
      </c>
      <c r="C46" s="49" t="s">
        <v>28</v>
      </c>
      <c r="D46" s="76"/>
      <c r="E46" s="77">
        <f t="shared" si="18"/>
        <v>46148</v>
      </c>
      <c r="F46" s="78">
        <f t="shared" si="23"/>
        <v>46155</v>
      </c>
      <c r="G46" s="79">
        <v>8</v>
      </c>
      <c r="H46" s="80">
        <v>0</v>
      </c>
      <c r="I46" s="98">
        <f t="shared" si="24"/>
        <v>6</v>
      </c>
      <c r="J46" s="99"/>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row>
    <row r="47" s="49" customFormat="1" ht="18" spans="1:66">
      <c r="A47" s="74" t="str">
        <f t="shared" si="13"/>
        <v>1.39</v>
      </c>
      <c r="B47" s="75" t="s">
        <v>56</v>
      </c>
      <c r="C47" s="49" t="s">
        <v>20</v>
      </c>
      <c r="D47" s="76"/>
      <c r="E47" s="77">
        <f t="shared" si="18"/>
        <v>46148</v>
      </c>
      <c r="F47" s="78">
        <f t="shared" si="23"/>
        <v>46155</v>
      </c>
      <c r="G47" s="79">
        <v>8</v>
      </c>
      <c r="H47" s="80">
        <v>0</v>
      </c>
      <c r="I47" s="98">
        <f t="shared" si="24"/>
        <v>6</v>
      </c>
      <c r="J47" s="99"/>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row>
    <row r="48" s="49" customFormat="1" ht="18" spans="1:66">
      <c r="A48" s="74" t="str">
        <f t="shared" si="13"/>
        <v>1.40</v>
      </c>
      <c r="B48" s="75" t="s">
        <v>57</v>
      </c>
      <c r="C48" s="49" t="s">
        <v>28</v>
      </c>
      <c r="D48" s="76"/>
      <c r="E48" s="77">
        <f t="shared" si="18"/>
        <v>46156</v>
      </c>
      <c r="F48" s="78">
        <f t="shared" si="23"/>
        <v>46163</v>
      </c>
      <c r="G48" s="79">
        <v>8</v>
      </c>
      <c r="H48" s="80">
        <v>0</v>
      </c>
      <c r="I48" s="98">
        <f t="shared" si="24"/>
        <v>6</v>
      </c>
      <c r="J48" s="99"/>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row>
    <row r="49" s="49" customFormat="1" ht="18" spans="1:66">
      <c r="A49" s="74"/>
      <c r="B49" s="75"/>
      <c r="D49" s="76"/>
      <c r="E49" s="77"/>
      <c r="F49" s="78"/>
      <c r="G49" s="79"/>
      <c r="H49" s="80"/>
      <c r="I49" s="98"/>
      <c r="J49" s="99"/>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row>
    <row r="50" s="49" customFormat="1" ht="18" spans="1:66">
      <c r="A50" s="74"/>
      <c r="B50" s="75"/>
      <c r="D50" s="76"/>
      <c r="E50" s="77"/>
      <c r="F50" s="78"/>
      <c r="G50" s="79"/>
      <c r="H50" s="80"/>
      <c r="I50" s="98"/>
      <c r="J50" s="99"/>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row>
    <row r="51" s="49" customFormat="1" ht="18" spans="1:66">
      <c r="A51" s="74"/>
      <c r="B51" s="75"/>
      <c r="D51" s="76"/>
      <c r="E51" s="77"/>
      <c r="F51" s="78"/>
      <c r="G51" s="79"/>
      <c r="H51" s="80"/>
      <c r="I51" s="98"/>
      <c r="J51" s="99"/>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row>
    <row r="52" s="49" customFormat="1" ht="18" spans="1:66">
      <c r="A52" s="74"/>
      <c r="B52" s="75"/>
      <c r="D52" s="76"/>
      <c r="E52" s="77"/>
      <c r="F52" s="78"/>
      <c r="G52" s="79"/>
      <c r="H52" s="80"/>
      <c r="I52" s="98"/>
      <c r="J52" s="99"/>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row>
    <row r="53" s="49" customFormat="1" ht="18" spans="1:66">
      <c r="A53" s="74"/>
      <c r="B53" s="75"/>
      <c r="D53" s="76"/>
      <c r="E53" s="77"/>
      <c r="F53" s="78"/>
      <c r="G53" s="79"/>
      <c r="H53" s="80"/>
      <c r="I53" s="98"/>
      <c r="J53" s="99"/>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row>
    <row r="54" s="49" customFormat="1" ht="18" spans="1:66">
      <c r="A54" s="74"/>
      <c r="B54" s="75"/>
      <c r="D54" s="76"/>
      <c r="E54" s="77"/>
      <c r="F54" s="78"/>
      <c r="G54" s="79"/>
      <c r="H54" s="80"/>
      <c r="I54" s="98"/>
      <c r="J54" s="99"/>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row>
    <row r="55" s="49" customFormat="1" ht="18" spans="1:66">
      <c r="A55" s="74"/>
      <c r="B55" s="75"/>
      <c r="D55" s="76"/>
      <c r="E55" s="77"/>
      <c r="F55" s="78"/>
      <c r="G55" s="79"/>
      <c r="H55" s="80"/>
      <c r="I55" s="98"/>
      <c r="J55" s="99"/>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row>
    <row r="56" s="49" customFormat="1" ht="18" spans="1:66">
      <c r="A56" s="74"/>
      <c r="B56" s="75"/>
      <c r="D56" s="76"/>
      <c r="E56" s="77"/>
      <c r="F56" s="78"/>
      <c r="G56" s="79"/>
      <c r="H56" s="80"/>
      <c r="I56" s="98"/>
      <c r="J56" s="99"/>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row>
    <row r="57" s="49" customFormat="1" ht="18" spans="1:66">
      <c r="A57" s="74"/>
      <c r="B57" s="75"/>
      <c r="D57" s="76"/>
      <c r="E57" s="77"/>
      <c r="F57" s="78"/>
      <c r="G57" s="79"/>
      <c r="H57" s="80"/>
      <c r="I57" s="98"/>
      <c r="J57" s="99"/>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row>
    <row r="58" s="49" customFormat="1" ht="18" spans="1:66">
      <c r="A58" s="74"/>
      <c r="B58" s="75"/>
      <c r="D58" s="76"/>
      <c r="E58" s="77"/>
      <c r="F58" s="78"/>
      <c r="G58" s="79"/>
      <c r="H58" s="80"/>
      <c r="I58" s="98"/>
      <c r="J58" s="99"/>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row>
    <row r="59" s="49" customFormat="1" ht="18" spans="1:66">
      <c r="A59" s="74"/>
      <c r="B59" s="75"/>
      <c r="D59" s="76"/>
      <c r="E59" s="77"/>
      <c r="F59" s="78"/>
      <c r="G59" s="79"/>
      <c r="H59" s="80"/>
      <c r="I59" s="98"/>
      <c r="J59" s="99"/>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row>
    <row r="60" s="49" customFormat="1" ht="18" spans="1:66">
      <c r="A60" s="74"/>
      <c r="B60" s="75"/>
      <c r="D60" s="76"/>
      <c r="E60" s="77"/>
      <c r="F60" s="78"/>
      <c r="G60" s="79"/>
      <c r="H60" s="80"/>
      <c r="I60" s="98"/>
      <c r="J60" s="99"/>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row>
    <row r="61" s="49" customFormat="1" ht="18" spans="1:66">
      <c r="A61" s="74"/>
      <c r="B61" s="75"/>
      <c r="D61" s="76"/>
      <c r="E61" s="77"/>
      <c r="F61" s="78"/>
      <c r="G61" s="79"/>
      <c r="H61" s="80"/>
      <c r="I61" s="98"/>
      <c r="J61" s="99"/>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row>
    <row r="62" s="49" customFormat="1" ht="18" spans="1:66">
      <c r="A62" s="74"/>
      <c r="B62" s="75"/>
      <c r="D62" s="76"/>
      <c r="E62" s="77"/>
      <c r="F62" s="78"/>
      <c r="G62" s="79"/>
      <c r="H62" s="80"/>
      <c r="I62" s="98"/>
      <c r="J62" s="99"/>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row>
    <row r="63" s="49" customFormat="1" ht="18" spans="1:66">
      <c r="A63" s="74"/>
      <c r="B63" s="75"/>
      <c r="D63" s="76"/>
      <c r="E63" s="77"/>
      <c r="F63" s="78"/>
      <c r="G63" s="79"/>
      <c r="H63" s="80"/>
      <c r="I63" s="98"/>
      <c r="J63" s="99"/>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row>
    <row r="64" s="49" customFormat="1" ht="18" spans="1:66">
      <c r="A64" s="74"/>
      <c r="B64" s="75"/>
      <c r="D64" s="76"/>
      <c r="E64" s="77"/>
      <c r="F64" s="78"/>
      <c r="G64" s="79"/>
      <c r="H64" s="80"/>
      <c r="I64" s="98"/>
      <c r="J64" s="99"/>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row>
    <row r="65" s="49" customFormat="1" ht="18" spans="1:66">
      <c r="A65" s="74"/>
      <c r="B65" s="75"/>
      <c r="D65" s="76"/>
      <c r="E65" s="77"/>
      <c r="F65" s="78"/>
      <c r="G65" s="79"/>
      <c r="H65" s="80"/>
      <c r="I65" s="98"/>
      <c r="J65" s="99"/>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row>
    <row r="66" s="49" customFormat="1" ht="18" spans="1:66">
      <c r="A66" s="74"/>
      <c r="B66" s="75"/>
      <c r="D66" s="76"/>
      <c r="E66" s="77"/>
      <c r="F66" s="78"/>
      <c r="G66" s="79"/>
      <c r="H66" s="80"/>
      <c r="I66" s="98"/>
      <c r="J66" s="99"/>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row>
    <row r="67" s="49" customFormat="1" ht="18" spans="1:66">
      <c r="A67" s="74"/>
      <c r="B67" s="75"/>
      <c r="D67" s="76"/>
      <c r="E67" s="77"/>
      <c r="F67" s="78"/>
      <c r="G67" s="79"/>
      <c r="H67" s="80"/>
      <c r="I67" s="98"/>
      <c r="J67" s="99"/>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row>
    <row r="68" s="48" customFormat="1" ht="18" hidden="1" spans="1:66">
      <c r="A68" s="104" t="str">
        <f>IF(ISERROR(VALUE(SUBSTITUTE(prevWBS,".",""))),"1",IF(ISERROR(FIND("`",SUBSTITUTE(prevWBS,".","`",1))),TEXT(VALUE(prevWBS)+1,"#"),TEXT(VALUE(LEFT(prevWBS,FIND("`",SUBSTITUTE(prevWBS,".","`",1))-1))+1,"#")))</f>
        <v>1</v>
      </c>
      <c r="B68" s="105" t="s">
        <v>58</v>
      </c>
      <c r="D68" s="106"/>
      <c r="E68" s="107"/>
      <c r="F68" s="107" t="str">
        <f t="shared" ref="F68:F73" si="25">IF(ISBLANK(E68)," - ",IF(G68=0,E68,E68+G68-1))</f>
        <v> - </v>
      </c>
      <c r="G68" s="108"/>
      <c r="H68" s="109"/>
      <c r="I68" s="111" t="str">
        <f t="shared" ref="I20:I73" si="26">IF(OR(F68=0,E68=0)," - ",NETWORKDAYS(E68,F68))</f>
        <v> - </v>
      </c>
      <c r="J68" s="112"/>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c r="AO68" s="113"/>
      <c r="AP68" s="113"/>
      <c r="AQ68" s="113"/>
      <c r="AR68" s="113"/>
      <c r="AS68" s="113"/>
      <c r="AT68" s="113"/>
      <c r="AU68" s="113"/>
      <c r="AV68" s="113"/>
      <c r="AW68" s="113"/>
      <c r="AX68" s="113"/>
      <c r="AY68" s="113"/>
      <c r="AZ68" s="113"/>
      <c r="BA68" s="113"/>
      <c r="BB68" s="113"/>
      <c r="BC68" s="113"/>
      <c r="BD68" s="113"/>
      <c r="BE68" s="113"/>
      <c r="BF68" s="113"/>
      <c r="BG68" s="113"/>
      <c r="BH68" s="113"/>
      <c r="BI68" s="113"/>
      <c r="BJ68" s="113"/>
      <c r="BK68" s="113"/>
      <c r="BL68" s="113"/>
      <c r="BM68" s="113"/>
      <c r="BN68" s="113"/>
    </row>
    <row r="69" s="49" customFormat="1" ht="18" hidden="1" spans="1:66">
      <c r="A69" s="74" t="str">
        <f t="shared" ref="A69:A107" si="2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9" s="75" t="s">
        <v>59</v>
      </c>
      <c r="C69" s="49" t="s">
        <v>60</v>
      </c>
      <c r="D69" s="76"/>
      <c r="E69" s="77">
        <v>46057</v>
      </c>
      <c r="F69" s="78">
        <f t="shared" si="25"/>
        <v>46063</v>
      </c>
      <c r="G69" s="79">
        <v>7</v>
      </c>
      <c r="H69" s="80">
        <v>0</v>
      </c>
      <c r="I69" s="98">
        <f t="shared" si="26"/>
        <v>5</v>
      </c>
      <c r="J69" s="99"/>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row>
    <row r="70" s="49" customFormat="1" ht="18" hidden="1" spans="1:66">
      <c r="A70" s="74" t="str">
        <f t="shared" si="27"/>
        <v>1.2</v>
      </c>
      <c r="B70" s="75" t="s">
        <v>61</v>
      </c>
      <c r="C70" s="49" t="s">
        <v>20</v>
      </c>
      <c r="D70" s="76"/>
      <c r="E70" s="77">
        <v>46064</v>
      </c>
      <c r="F70" s="78">
        <f t="shared" si="25"/>
        <v>46070</v>
      </c>
      <c r="G70" s="79">
        <v>7</v>
      </c>
      <c r="H70" s="80">
        <v>0</v>
      </c>
      <c r="I70" s="98">
        <f t="shared" si="26"/>
        <v>5</v>
      </c>
      <c r="J70" s="99"/>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row>
    <row r="71" s="49" customFormat="1" ht="44.25" hidden="1" customHeight="1" spans="1:66">
      <c r="A71" s="74" t="str">
        <f t="shared" si="27"/>
        <v>1.3</v>
      </c>
      <c r="B71" s="75" t="s">
        <v>62</v>
      </c>
      <c r="C71" s="49" t="s">
        <v>28</v>
      </c>
      <c r="D71" s="76"/>
      <c r="E71" s="77">
        <v>46064</v>
      </c>
      <c r="F71" s="78">
        <f t="shared" si="25"/>
        <v>46070</v>
      </c>
      <c r="G71" s="79">
        <v>7</v>
      </c>
      <c r="H71" s="80">
        <v>0</v>
      </c>
      <c r="I71" s="98">
        <f t="shared" si="26"/>
        <v>5</v>
      </c>
      <c r="J71" s="99"/>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row>
    <row r="72" s="49" customFormat="1" ht="18" hidden="1" spans="1:66">
      <c r="A72" s="74" t="str">
        <f t="shared" si="27"/>
        <v>1.4</v>
      </c>
      <c r="B72" s="75" t="s">
        <v>63</v>
      </c>
      <c r="C72" s="49" t="s">
        <v>20</v>
      </c>
      <c r="D72" s="76"/>
      <c r="E72" s="77">
        <v>46071</v>
      </c>
      <c r="F72" s="78">
        <f t="shared" si="25"/>
        <v>46077</v>
      </c>
      <c r="G72" s="79">
        <v>7</v>
      </c>
      <c r="H72" s="80">
        <v>0</v>
      </c>
      <c r="I72" s="98">
        <f t="shared" si="26"/>
        <v>5</v>
      </c>
      <c r="J72" s="99"/>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row>
    <row r="73" s="49" customFormat="1" ht="18" hidden="1" spans="1:66">
      <c r="A73" s="74" t="str">
        <f t="shared" si="27"/>
        <v>1.5</v>
      </c>
      <c r="B73" s="75" t="s">
        <v>64</v>
      </c>
      <c r="C73" s="49" t="s">
        <v>28</v>
      </c>
      <c r="D73" s="76"/>
      <c r="E73" s="77">
        <v>46071</v>
      </c>
      <c r="F73" s="78">
        <f t="shared" si="25"/>
        <v>46077</v>
      </c>
      <c r="G73" s="79">
        <v>7</v>
      </c>
      <c r="H73" s="80">
        <v>0</v>
      </c>
      <c r="I73" s="98">
        <f t="shared" si="26"/>
        <v>5</v>
      </c>
      <c r="J73" s="99"/>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row>
    <row r="74" s="49" customFormat="1" ht="18" hidden="1" spans="1:66">
      <c r="A74" s="74" t="str">
        <f t="shared" si="27"/>
        <v>1.6</v>
      </c>
      <c r="B74" s="75" t="s">
        <v>65</v>
      </c>
      <c r="C74" s="49" t="s">
        <v>20</v>
      </c>
      <c r="D74" s="76"/>
      <c r="E74" s="77">
        <v>46078</v>
      </c>
      <c r="F74" s="78">
        <f t="shared" ref="F74:F88" si="28">IF(ISBLANK(E74)," - ",IF(G74=0,E74,E74+G74-1))</f>
        <v>46084</v>
      </c>
      <c r="G74" s="79">
        <v>7</v>
      </c>
      <c r="H74" s="80">
        <v>0</v>
      </c>
      <c r="I74" s="98">
        <f t="shared" ref="I74:I88" si="29">IF(OR(F74=0,E74=0)," - ",NETWORKDAYS(E74,F74))</f>
        <v>5</v>
      </c>
      <c r="J74" s="99"/>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row>
    <row r="75" s="49" customFormat="1" ht="18" hidden="1" spans="1:66">
      <c r="A75" s="74" t="str">
        <f t="shared" si="27"/>
        <v>1.7</v>
      </c>
      <c r="B75" s="75" t="s">
        <v>66</v>
      </c>
      <c r="C75" s="49" t="s">
        <v>28</v>
      </c>
      <c r="D75" s="76"/>
      <c r="E75" s="77">
        <v>46078</v>
      </c>
      <c r="F75" s="78">
        <f t="shared" si="28"/>
        <v>46084</v>
      </c>
      <c r="G75" s="79">
        <v>7</v>
      </c>
      <c r="H75" s="80">
        <v>0</v>
      </c>
      <c r="I75" s="98">
        <f t="shared" si="29"/>
        <v>5</v>
      </c>
      <c r="J75" s="99"/>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row>
    <row r="76" s="49" customFormat="1" ht="18" hidden="1" spans="1:66">
      <c r="A76" s="74" t="str">
        <f t="shared" si="27"/>
        <v>1.8</v>
      </c>
      <c r="B76" s="75" t="s">
        <v>67</v>
      </c>
      <c r="C76" s="49" t="s">
        <v>68</v>
      </c>
      <c r="D76" s="76"/>
      <c r="E76" s="77">
        <v>46057</v>
      </c>
      <c r="F76" s="78">
        <f t="shared" si="28"/>
        <v>46063</v>
      </c>
      <c r="G76" s="79">
        <v>7</v>
      </c>
      <c r="H76" s="80">
        <v>0</v>
      </c>
      <c r="I76" s="98">
        <f t="shared" si="29"/>
        <v>5</v>
      </c>
      <c r="J76" s="99"/>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row>
    <row r="77" s="49" customFormat="1" ht="18" hidden="1" spans="1:66">
      <c r="A77" s="74" t="str">
        <f t="shared" si="27"/>
        <v>1.9</v>
      </c>
      <c r="B77" s="75" t="s">
        <v>69</v>
      </c>
      <c r="C77" s="49" t="s">
        <v>20</v>
      </c>
      <c r="D77" s="76"/>
      <c r="E77" s="77">
        <v>46085</v>
      </c>
      <c r="F77" s="78">
        <f t="shared" si="28"/>
        <v>46091</v>
      </c>
      <c r="G77" s="79">
        <v>7</v>
      </c>
      <c r="H77" s="80">
        <v>0</v>
      </c>
      <c r="I77" s="98">
        <f t="shared" si="29"/>
        <v>5</v>
      </c>
      <c r="J77" s="99"/>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row>
    <row r="78" s="49" customFormat="1" ht="18" hidden="1" spans="1:66">
      <c r="A78" s="74" t="str">
        <f t="shared" si="27"/>
        <v>1.10</v>
      </c>
      <c r="B78" s="75" t="s">
        <v>70</v>
      </c>
      <c r="C78" s="49" t="s">
        <v>28</v>
      </c>
      <c r="D78" s="76"/>
      <c r="E78" s="77">
        <v>46085</v>
      </c>
      <c r="F78" s="78">
        <f t="shared" si="28"/>
        <v>46091</v>
      </c>
      <c r="G78" s="79">
        <v>7</v>
      </c>
      <c r="H78" s="80">
        <v>0</v>
      </c>
      <c r="I78" s="98">
        <f t="shared" si="29"/>
        <v>5</v>
      </c>
      <c r="J78" s="99"/>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row>
    <row r="79" s="49" customFormat="1" ht="18" hidden="1" spans="1:66">
      <c r="A79" s="74" t="str">
        <f t="shared" si="27"/>
        <v>1.11</v>
      </c>
      <c r="B79" s="75" t="s">
        <v>71</v>
      </c>
      <c r="C79" s="49" t="s">
        <v>28</v>
      </c>
      <c r="D79" s="76"/>
      <c r="E79" s="77">
        <v>46092</v>
      </c>
      <c r="F79" s="78">
        <f t="shared" si="28"/>
        <v>46098</v>
      </c>
      <c r="G79" s="79">
        <v>7</v>
      </c>
      <c r="H79" s="80">
        <v>0</v>
      </c>
      <c r="I79" s="98">
        <f t="shared" si="29"/>
        <v>5</v>
      </c>
      <c r="J79" s="99"/>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row>
    <row r="80" s="49" customFormat="1" ht="18" hidden="1" spans="1:66">
      <c r="A80" s="74" t="str">
        <f t="shared" si="27"/>
        <v>1.12</v>
      </c>
      <c r="B80" s="75" t="s">
        <v>72</v>
      </c>
      <c r="C80" s="49" t="s">
        <v>20</v>
      </c>
      <c r="D80" s="76"/>
      <c r="E80" s="77">
        <v>46092</v>
      </c>
      <c r="F80" s="78">
        <f t="shared" si="28"/>
        <v>46098</v>
      </c>
      <c r="G80" s="79">
        <v>7</v>
      </c>
      <c r="H80" s="80">
        <v>0</v>
      </c>
      <c r="I80" s="98">
        <f t="shared" si="29"/>
        <v>5</v>
      </c>
      <c r="J80" s="99"/>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row>
    <row r="81" s="49" customFormat="1" ht="18" hidden="1" spans="1:66">
      <c r="A81" s="74" t="str">
        <f t="shared" si="27"/>
        <v>1.13</v>
      </c>
      <c r="B81" s="75" t="s">
        <v>73</v>
      </c>
      <c r="C81" s="49" t="s">
        <v>28</v>
      </c>
      <c r="D81" s="76"/>
      <c r="E81" s="77">
        <v>46099</v>
      </c>
      <c r="F81" s="78">
        <f t="shared" si="28"/>
        <v>46105</v>
      </c>
      <c r="G81" s="79">
        <v>7</v>
      </c>
      <c r="H81" s="80">
        <v>0</v>
      </c>
      <c r="I81" s="98">
        <f t="shared" si="29"/>
        <v>5</v>
      </c>
      <c r="J81" s="99"/>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row>
    <row r="82" s="49" customFormat="1" ht="18" hidden="1" spans="1:66">
      <c r="A82" s="74" t="str">
        <f t="shared" si="27"/>
        <v>1.14</v>
      </c>
      <c r="B82" s="75" t="s">
        <v>74</v>
      </c>
      <c r="C82" s="49" t="s">
        <v>28</v>
      </c>
      <c r="D82" s="76"/>
      <c r="E82" s="77">
        <v>46106</v>
      </c>
      <c r="F82" s="78">
        <f t="shared" ref="F82" si="30">IF(ISBLANK(E82)," - ",IF(G82=0,E82,E82+G82-1))</f>
        <v>46112</v>
      </c>
      <c r="G82" s="79">
        <v>7</v>
      </c>
      <c r="H82" s="80">
        <v>0</v>
      </c>
      <c r="I82" s="98">
        <f t="shared" ref="I82" si="31">IF(OR(F82=0,E82=0)," - ",NETWORKDAYS(E82,F82))</f>
        <v>5</v>
      </c>
      <c r="J82" s="99"/>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row>
    <row r="83" s="49" customFormat="1" ht="18" hidden="1" spans="1:66">
      <c r="A83" s="74" t="str">
        <f t="shared" si="27"/>
        <v>1.15</v>
      </c>
      <c r="B83" s="75" t="s">
        <v>75</v>
      </c>
      <c r="C83" s="49" t="s">
        <v>28</v>
      </c>
      <c r="D83" s="76"/>
      <c r="E83" s="77">
        <v>46106</v>
      </c>
      <c r="F83" s="78">
        <f t="shared" ref="F83" si="32">IF(ISBLANK(E83)," - ",IF(G83=0,E83,E83+G83-1))</f>
        <v>46112</v>
      </c>
      <c r="G83" s="79">
        <v>7</v>
      </c>
      <c r="H83" s="80">
        <v>0</v>
      </c>
      <c r="I83" s="98">
        <f t="shared" ref="I83" si="33">IF(OR(F83=0,E83=0)," - ",NETWORKDAYS(E83,F83))</f>
        <v>5</v>
      </c>
      <c r="J83" s="99"/>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row>
    <row r="84" s="49" customFormat="1" ht="18" hidden="1" spans="1:66">
      <c r="A84" s="74" t="str">
        <f t="shared" si="27"/>
        <v>1.16</v>
      </c>
      <c r="B84" s="75" t="s">
        <v>76</v>
      </c>
      <c r="C84" s="49" t="s">
        <v>28</v>
      </c>
      <c r="D84" s="76"/>
      <c r="E84" s="77">
        <v>46113</v>
      </c>
      <c r="F84" s="78">
        <f t="shared" si="28"/>
        <v>46119</v>
      </c>
      <c r="G84" s="79">
        <v>7</v>
      </c>
      <c r="H84" s="80">
        <v>0</v>
      </c>
      <c r="I84" s="98">
        <f t="shared" si="29"/>
        <v>5</v>
      </c>
      <c r="J84" s="99"/>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row>
    <row r="85" s="49" customFormat="1" ht="18" hidden="1" spans="1:66">
      <c r="A85" s="74" t="str">
        <f t="shared" si="27"/>
        <v>1.17</v>
      </c>
      <c r="B85" s="75" t="s">
        <v>77</v>
      </c>
      <c r="C85" s="49" t="s">
        <v>20</v>
      </c>
      <c r="D85" s="76"/>
      <c r="E85" s="77">
        <v>46113</v>
      </c>
      <c r="F85" s="78">
        <f t="shared" si="28"/>
        <v>46119</v>
      </c>
      <c r="G85" s="79">
        <v>7</v>
      </c>
      <c r="H85" s="80">
        <v>0</v>
      </c>
      <c r="I85" s="98">
        <f t="shared" si="29"/>
        <v>5</v>
      </c>
      <c r="J85" s="99"/>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row>
    <row r="86" s="49" customFormat="1" ht="18" hidden="1" spans="1:66">
      <c r="A86" s="74" t="str">
        <f t="shared" si="27"/>
        <v>1.18</v>
      </c>
      <c r="B86" s="75" t="s">
        <v>78</v>
      </c>
      <c r="C86" s="49" t="s">
        <v>28</v>
      </c>
      <c r="D86" s="76"/>
      <c r="E86" s="77">
        <v>46120</v>
      </c>
      <c r="F86" s="78">
        <f t="shared" si="28"/>
        <v>46126</v>
      </c>
      <c r="G86" s="79">
        <v>7</v>
      </c>
      <c r="H86" s="80">
        <v>0</v>
      </c>
      <c r="I86" s="98">
        <f t="shared" si="29"/>
        <v>5</v>
      </c>
      <c r="J86" s="99"/>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row>
    <row r="87" s="49" customFormat="1" ht="18" hidden="1" spans="1:66">
      <c r="A87" s="74" t="str">
        <f t="shared" si="27"/>
        <v>1.19</v>
      </c>
      <c r="B87" s="75" t="s">
        <v>79</v>
      </c>
      <c r="C87" s="49" t="s">
        <v>20</v>
      </c>
      <c r="D87" s="76"/>
      <c r="E87" s="77">
        <v>46120</v>
      </c>
      <c r="F87" s="78">
        <f t="shared" si="28"/>
        <v>46126</v>
      </c>
      <c r="G87" s="79">
        <v>7</v>
      </c>
      <c r="H87" s="80">
        <v>0</v>
      </c>
      <c r="I87" s="98">
        <f t="shared" si="29"/>
        <v>5</v>
      </c>
      <c r="J87" s="99"/>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row>
    <row r="88" s="49" customFormat="1" ht="18" hidden="1" spans="1:66">
      <c r="A88" s="74" t="str">
        <f t="shared" si="27"/>
        <v>1.20</v>
      </c>
      <c r="B88" s="75" t="s">
        <v>80</v>
      </c>
      <c r="C88" s="49" t="s">
        <v>28</v>
      </c>
      <c r="D88" s="76"/>
      <c r="E88" s="77">
        <v>46127</v>
      </c>
      <c r="F88" s="78">
        <f t="shared" si="28"/>
        <v>46133</v>
      </c>
      <c r="G88" s="79">
        <v>7</v>
      </c>
      <c r="H88" s="80">
        <v>0</v>
      </c>
      <c r="I88" s="98">
        <f t="shared" si="29"/>
        <v>5</v>
      </c>
      <c r="J88" s="99"/>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row>
    <row r="89" s="49" customFormat="1" ht="18" hidden="1" spans="1:66">
      <c r="A89" s="74" t="str">
        <f t="shared" si="27"/>
        <v>1.21</v>
      </c>
      <c r="B89" s="75" t="s">
        <v>81</v>
      </c>
      <c r="C89" s="49" t="s">
        <v>20</v>
      </c>
      <c r="D89" s="76"/>
      <c r="E89" s="77">
        <v>46127</v>
      </c>
      <c r="F89" s="78">
        <f t="shared" ref="F89:F99" si="34">IF(ISBLANK(E89)," - ",IF(G89=0,E89,E89+G89-1))</f>
        <v>46133</v>
      </c>
      <c r="G89" s="79">
        <v>7</v>
      </c>
      <c r="H89" s="80">
        <v>0</v>
      </c>
      <c r="I89" s="98">
        <f t="shared" ref="I89:I97" si="35">IF(OR(F89=0,E89=0)," - ",NETWORKDAYS(E89,F89))</f>
        <v>5</v>
      </c>
      <c r="J89" s="99"/>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row>
    <row r="90" s="49" customFormat="1" ht="18" hidden="1" spans="1:66">
      <c r="A90" s="74" t="str">
        <f t="shared" si="27"/>
        <v>1.22</v>
      </c>
      <c r="B90" s="75" t="s">
        <v>82</v>
      </c>
      <c r="C90" s="49" t="s">
        <v>28</v>
      </c>
      <c r="D90" s="76"/>
      <c r="E90" s="77">
        <v>46134</v>
      </c>
      <c r="F90" s="78">
        <f t="shared" si="34"/>
        <v>46140</v>
      </c>
      <c r="G90" s="79">
        <v>7</v>
      </c>
      <c r="H90" s="80">
        <v>0</v>
      </c>
      <c r="I90" s="98">
        <f t="shared" si="35"/>
        <v>5</v>
      </c>
      <c r="J90" s="99"/>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row>
    <row r="91" s="49" customFormat="1" ht="18" hidden="1" spans="1:66">
      <c r="A91" s="74" t="str">
        <f t="shared" si="27"/>
        <v>1.23</v>
      </c>
      <c r="B91" s="75" t="s">
        <v>83</v>
      </c>
      <c r="C91" s="49" t="s">
        <v>20</v>
      </c>
      <c r="D91" s="76"/>
      <c r="E91" s="77">
        <v>46134</v>
      </c>
      <c r="F91" s="78">
        <f t="shared" ref="F91:F92" si="36">IF(ISBLANK(E91)," - ",IF(G91=0,E91,E91+G91-1))</f>
        <v>46140</v>
      </c>
      <c r="G91" s="79">
        <v>7</v>
      </c>
      <c r="H91" s="80">
        <v>0</v>
      </c>
      <c r="I91" s="98">
        <f t="shared" ref="I91:I92" si="37">IF(OR(F91=0,E91=0)," - ",NETWORKDAYS(E91,F91))</f>
        <v>5</v>
      </c>
      <c r="J91" s="99"/>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row>
    <row r="92" s="49" customFormat="1" ht="18" hidden="1" spans="1:66">
      <c r="A92" s="74" t="str">
        <f t="shared" si="27"/>
        <v>1.24</v>
      </c>
      <c r="B92" s="75" t="s">
        <v>84</v>
      </c>
      <c r="C92" s="49" t="s">
        <v>28</v>
      </c>
      <c r="D92" s="76"/>
      <c r="E92" s="77">
        <v>46141</v>
      </c>
      <c r="F92" s="78">
        <f t="shared" si="36"/>
        <v>46147</v>
      </c>
      <c r="G92" s="79">
        <v>7</v>
      </c>
      <c r="H92" s="80">
        <v>0</v>
      </c>
      <c r="I92" s="98">
        <f t="shared" si="37"/>
        <v>5</v>
      </c>
      <c r="J92" s="99"/>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row>
    <row r="93" s="49" customFormat="1" ht="18" hidden="1" spans="1:66">
      <c r="A93" s="74" t="str">
        <f t="shared" si="27"/>
        <v>1.25</v>
      </c>
      <c r="B93" s="75" t="s">
        <v>85</v>
      </c>
      <c r="C93" s="49" t="s">
        <v>28</v>
      </c>
      <c r="D93" s="76"/>
      <c r="E93" s="77">
        <v>46141</v>
      </c>
      <c r="F93" s="78">
        <f t="shared" ref="F93:F95" si="38">IF(ISBLANK(E93)," - ",IF(G93=0,E93,E93+G93-1))</f>
        <v>46147</v>
      </c>
      <c r="G93" s="79">
        <v>7</v>
      </c>
      <c r="H93" s="80">
        <v>0</v>
      </c>
      <c r="I93" s="98">
        <f t="shared" ref="I93:I95" si="39">IF(OR(F93=0,E93=0)," - ",NETWORKDAYS(E93,F93))</f>
        <v>5</v>
      </c>
      <c r="J93" s="99"/>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row>
    <row r="94" s="49" customFormat="1" ht="18" hidden="1" spans="1:66">
      <c r="A94" s="74" t="str">
        <f t="shared" si="27"/>
        <v>1.26</v>
      </c>
      <c r="B94" s="75" t="s">
        <v>86</v>
      </c>
      <c r="C94" s="49" t="s">
        <v>28</v>
      </c>
      <c r="D94" s="76"/>
      <c r="E94" s="77">
        <v>46148</v>
      </c>
      <c r="F94" s="78">
        <f t="shared" si="38"/>
        <v>46154</v>
      </c>
      <c r="G94" s="79">
        <v>7</v>
      </c>
      <c r="H94" s="80">
        <v>0</v>
      </c>
      <c r="I94" s="98">
        <f t="shared" si="39"/>
        <v>5</v>
      </c>
      <c r="J94" s="99"/>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row>
    <row r="95" s="49" customFormat="1" ht="18" hidden="1" spans="1:66">
      <c r="A95" s="74" t="str">
        <f t="shared" si="27"/>
        <v>1.27</v>
      </c>
      <c r="B95" s="75" t="s">
        <v>87</v>
      </c>
      <c r="C95" s="49" t="s">
        <v>28</v>
      </c>
      <c r="D95" s="76"/>
      <c r="E95" s="77">
        <v>46148</v>
      </c>
      <c r="F95" s="78">
        <f t="shared" si="38"/>
        <v>46154</v>
      </c>
      <c r="G95" s="79">
        <v>7</v>
      </c>
      <c r="H95" s="80">
        <v>0</v>
      </c>
      <c r="I95" s="98">
        <f t="shared" si="39"/>
        <v>5</v>
      </c>
      <c r="J95" s="99"/>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row>
    <row r="96" s="48" customFormat="1" ht="18" hidden="1" spans="1:66">
      <c r="A96" s="104" t="str">
        <f>IF(ISERROR(VALUE(SUBSTITUTE(prevWBS,".",""))),"1",IF(ISERROR(FIND("`",SUBSTITUTE(prevWBS,".","`",1))),TEXT(VALUE(prevWBS)+1,"#"),TEXT(VALUE(LEFT(prevWBS,FIND("`",SUBSTITUTE(prevWBS,".","`",1))-1))+1,"#")))</f>
        <v>2</v>
      </c>
      <c r="B96" s="105" t="s">
        <v>88</v>
      </c>
      <c r="D96" s="106"/>
      <c r="E96" s="107"/>
      <c r="F96" s="107" t="str">
        <f t="shared" si="34"/>
        <v> - </v>
      </c>
      <c r="G96" s="108"/>
      <c r="H96" s="109"/>
      <c r="I96" s="111" t="str">
        <f t="shared" si="35"/>
        <v> - </v>
      </c>
      <c r="J96" s="112"/>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c r="AO96" s="113"/>
      <c r="AP96" s="113"/>
      <c r="AQ96" s="113"/>
      <c r="AR96" s="113"/>
      <c r="AS96" s="113"/>
      <c r="AT96" s="113"/>
      <c r="AU96" s="113"/>
      <c r="AV96" s="113"/>
      <c r="AW96" s="113"/>
      <c r="AX96" s="113"/>
      <c r="AY96" s="113"/>
      <c r="AZ96" s="113"/>
      <c r="BA96" s="113"/>
      <c r="BB96" s="113"/>
      <c r="BC96" s="113"/>
      <c r="BD96" s="113"/>
      <c r="BE96" s="113"/>
      <c r="BF96" s="113"/>
      <c r="BG96" s="113"/>
      <c r="BH96" s="113"/>
      <c r="BI96" s="113"/>
      <c r="BJ96" s="113"/>
      <c r="BK96" s="113"/>
      <c r="BL96" s="113"/>
      <c r="BM96" s="113"/>
      <c r="BN96" s="113"/>
    </row>
    <row r="97" s="49" customFormat="1" ht="18" hidden="1" spans="1:66">
      <c r="A97" s="74" t="str">
        <f t="shared" si="27"/>
        <v>2.1</v>
      </c>
      <c r="B97" s="110" t="s">
        <v>89</v>
      </c>
      <c r="C97" s="49" t="s">
        <v>68</v>
      </c>
      <c r="D97" s="76"/>
      <c r="E97" s="77">
        <v>46034</v>
      </c>
      <c r="F97" s="78">
        <f t="shared" si="34"/>
        <v>46038</v>
      </c>
      <c r="G97" s="79">
        <v>5</v>
      </c>
      <c r="H97" s="80">
        <v>0</v>
      </c>
      <c r="I97" s="98">
        <f t="shared" si="35"/>
        <v>5</v>
      </c>
      <c r="J97" s="99"/>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row>
    <row r="98" s="49" customFormat="1" ht="18" hidden="1" spans="1:66">
      <c r="A98" s="74" t="str">
        <f t="shared" si="27"/>
        <v>2.2</v>
      </c>
      <c r="B98" s="110" t="s">
        <v>90</v>
      </c>
      <c r="C98" s="49" t="s">
        <v>91</v>
      </c>
      <c r="D98" s="76"/>
      <c r="E98" s="77">
        <v>46023</v>
      </c>
      <c r="F98" s="78">
        <f t="shared" si="34"/>
        <v>46032</v>
      </c>
      <c r="G98" s="79">
        <v>10</v>
      </c>
      <c r="H98" s="80">
        <v>0</v>
      </c>
      <c r="I98" s="98">
        <v>6</v>
      </c>
      <c r="J98" s="99"/>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row>
    <row r="99" s="49" customFormat="1" ht="45" hidden="1" customHeight="1" spans="1:66">
      <c r="A99" s="74" t="str">
        <f t="shared" si="27"/>
        <v>2.3</v>
      </c>
      <c r="B99" s="110" t="s">
        <v>92</v>
      </c>
      <c r="C99" s="49" t="s">
        <v>60</v>
      </c>
      <c r="D99" s="76"/>
      <c r="E99" s="77">
        <v>46034</v>
      </c>
      <c r="F99" s="78">
        <f t="shared" si="34"/>
        <v>46038</v>
      </c>
      <c r="G99" s="79">
        <v>5</v>
      </c>
      <c r="H99" s="80">
        <v>0</v>
      </c>
      <c r="I99" s="98">
        <v>5</v>
      </c>
      <c r="J99" s="99"/>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row>
    <row r="100" s="48" customFormat="1" ht="18" hidden="1" spans="1:66">
      <c r="A100" s="104" t="str">
        <f>IF(ISERROR(VALUE(SUBSTITUTE(prevWBS,".",""))),"1",IF(ISERROR(FIND("`",SUBSTITUTE(prevWBS,".","`",1))),TEXT(VALUE(prevWBS)+1,"#"),TEXT(VALUE(LEFT(prevWBS,FIND("`",SUBSTITUTE(prevWBS,".","`",1))-1))+1,"#")))</f>
        <v>3</v>
      </c>
      <c r="B100" s="105" t="s">
        <v>93</v>
      </c>
      <c r="D100" s="106"/>
      <c r="E100" s="107"/>
      <c r="F100" s="107" t="str">
        <f t="shared" ref="F100:F105" si="40">IF(ISBLANK(E100)," - ",IF(G100=0,E100,E100+G100-1))</f>
        <v> - </v>
      </c>
      <c r="G100" s="108"/>
      <c r="H100" s="109"/>
      <c r="I100" s="111" t="str">
        <f t="shared" ref="I100" si="41">IF(OR(F100=0,E100=0)," - ",NETWORKDAYS(E100,F100))</f>
        <v> - </v>
      </c>
      <c r="J100" s="112"/>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row>
    <row r="101" s="49" customFormat="1" ht="18" hidden="1" spans="1:66">
      <c r="A101" s="74" t="str">
        <f t="shared" si="27"/>
        <v>3.1</v>
      </c>
      <c r="B101" s="110" t="s">
        <v>94</v>
      </c>
      <c r="C101" s="49" t="s">
        <v>68</v>
      </c>
      <c r="D101" s="76"/>
      <c r="E101" s="77">
        <v>46041</v>
      </c>
      <c r="F101" s="78">
        <f t="shared" si="40"/>
        <v>46044</v>
      </c>
      <c r="G101" s="79">
        <v>4</v>
      </c>
      <c r="H101" s="80">
        <v>0</v>
      </c>
      <c r="I101" s="98">
        <v>4</v>
      </c>
      <c r="J101" s="99"/>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row>
    <row r="102" s="49" customFormat="1" ht="18" hidden="1" spans="1:66">
      <c r="A102" s="74" t="str">
        <f t="shared" si="27"/>
        <v>3.2</v>
      </c>
      <c r="B102" s="110" t="s">
        <v>95</v>
      </c>
      <c r="C102" s="49" t="s">
        <v>60</v>
      </c>
      <c r="D102" s="76"/>
      <c r="E102" s="77">
        <v>46041</v>
      </c>
      <c r="F102" s="78">
        <f t="shared" si="40"/>
        <v>46044</v>
      </c>
      <c r="G102" s="79">
        <v>4</v>
      </c>
      <c r="H102" s="80">
        <v>0</v>
      </c>
      <c r="I102" s="98">
        <v>4</v>
      </c>
      <c r="J102" s="99"/>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row>
    <row r="103" s="49" customFormat="1" ht="18" hidden="1" spans="1:66">
      <c r="A103" s="74" t="str">
        <f t="shared" si="27"/>
        <v>3.3</v>
      </c>
      <c r="B103" s="110" t="s">
        <v>96</v>
      </c>
      <c r="C103" s="49" t="s">
        <v>20</v>
      </c>
      <c r="D103" s="76"/>
      <c r="E103" s="77">
        <v>46045</v>
      </c>
      <c r="F103" s="78">
        <f t="shared" si="40"/>
        <v>46050</v>
      </c>
      <c r="G103" s="79">
        <v>6</v>
      </c>
      <c r="H103" s="80">
        <v>0</v>
      </c>
      <c r="I103" s="98">
        <v>4</v>
      </c>
      <c r="J103" s="99"/>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row>
    <row r="104" s="49" customFormat="1" ht="18" hidden="1" spans="1:66">
      <c r="A104" s="74" t="str">
        <f t="shared" si="27"/>
        <v>3.4</v>
      </c>
      <c r="B104" s="110" t="s">
        <v>97</v>
      </c>
      <c r="C104" s="49" t="s">
        <v>20</v>
      </c>
      <c r="D104" s="76"/>
      <c r="E104" s="77">
        <v>46051</v>
      </c>
      <c r="F104" s="78">
        <f t="shared" si="40"/>
        <v>46056</v>
      </c>
      <c r="G104" s="79">
        <v>6</v>
      </c>
      <c r="H104" s="80">
        <v>0</v>
      </c>
      <c r="I104" s="98">
        <v>4</v>
      </c>
      <c r="J104" s="99"/>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row>
    <row r="105" s="49" customFormat="1" ht="18" hidden="1" spans="1:66">
      <c r="A105" s="74" t="str">
        <f t="shared" si="27"/>
        <v>3.5</v>
      </c>
      <c r="B105" s="110" t="s">
        <v>98</v>
      </c>
      <c r="C105" s="49" t="s">
        <v>28</v>
      </c>
      <c r="D105" s="76"/>
      <c r="E105" s="77">
        <v>46045</v>
      </c>
      <c r="F105" s="78">
        <f t="shared" si="40"/>
        <v>46050</v>
      </c>
      <c r="G105" s="79">
        <v>6</v>
      </c>
      <c r="H105" s="80">
        <v>0</v>
      </c>
      <c r="I105" s="98">
        <v>4</v>
      </c>
      <c r="J105" s="99"/>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row>
    <row r="106" s="48" customFormat="1" ht="18" hidden="1" spans="1:66">
      <c r="A106" s="104" t="str">
        <f>IF(ISERROR(VALUE(SUBSTITUTE(prevWBS,".",""))),"1",IF(ISERROR(FIND("`",SUBSTITUTE(prevWBS,".","`",1))),TEXT(VALUE(prevWBS)+1,"#"),TEXT(VALUE(LEFT(prevWBS,FIND("`",SUBSTITUTE(prevWBS,".","`",1))-1))+1,"#")))</f>
        <v>4</v>
      </c>
      <c r="B106" s="105" t="s">
        <v>99</v>
      </c>
      <c r="D106" s="106"/>
      <c r="E106" s="107"/>
      <c r="F106" s="107" t="str">
        <f t="shared" ref="F106:F107" si="42">IF(ISBLANK(E106)," - ",IF(G106=0,E106,E106+G106-1))</f>
        <v> - </v>
      </c>
      <c r="G106" s="108"/>
      <c r="H106" s="109"/>
      <c r="I106" s="111" t="str">
        <f t="shared" ref="I106" si="43">IF(OR(F106=0,E106=0)," - ",NETWORKDAYS(E106,F106))</f>
        <v> - </v>
      </c>
      <c r="J106" s="112"/>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c r="AO106" s="113"/>
      <c r="AP106" s="113"/>
      <c r="AQ106" s="113"/>
      <c r="AR106" s="113"/>
      <c r="AS106" s="113"/>
      <c r="AT106" s="113"/>
      <c r="AU106" s="113"/>
      <c r="AV106" s="113"/>
      <c r="AW106" s="113"/>
      <c r="AX106" s="113"/>
      <c r="AY106" s="113"/>
      <c r="AZ106" s="113"/>
      <c r="BA106" s="113"/>
      <c r="BB106" s="113"/>
      <c r="BC106" s="113"/>
      <c r="BD106" s="113"/>
      <c r="BE106" s="113"/>
      <c r="BF106" s="113"/>
      <c r="BG106" s="113"/>
      <c r="BH106" s="113"/>
      <c r="BI106" s="113"/>
      <c r="BJ106" s="113"/>
      <c r="BK106" s="113"/>
      <c r="BL106" s="113"/>
      <c r="BM106" s="113"/>
      <c r="BN106" s="113"/>
    </row>
    <row r="107" s="49" customFormat="1" ht="18" hidden="1" spans="1:66">
      <c r="A107" s="74" t="str">
        <f t="shared" si="27"/>
        <v>4.1</v>
      </c>
      <c r="B107" s="110" t="s">
        <v>100</v>
      </c>
      <c r="C107" s="49" t="s">
        <v>68</v>
      </c>
      <c r="D107" s="76"/>
      <c r="E107" s="77">
        <v>46051</v>
      </c>
      <c r="F107" s="78">
        <f t="shared" si="42"/>
        <v>46056</v>
      </c>
      <c r="G107" s="79">
        <v>6</v>
      </c>
      <c r="H107" s="80">
        <v>0</v>
      </c>
      <c r="I107" s="98">
        <v>4</v>
      </c>
      <c r="J107" s="99"/>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C5:E5"/>
    <mergeCell ref="K5:Q5"/>
    <mergeCell ref="R5:X5"/>
    <mergeCell ref="Y5:AE5"/>
    <mergeCell ref="AF5:AL5"/>
    <mergeCell ref="AM5:AS5"/>
    <mergeCell ref="AT5:AZ5"/>
    <mergeCell ref="BA5:BG5"/>
    <mergeCell ref="BH5:BN5"/>
  </mergeCells>
  <conditionalFormatting sqref="H11">
    <cfRule type="dataBar" priority="61">
      <dataBar>
        <cfvo type="num" val="0"/>
        <cfvo type="num" val="1"/>
        <color theme="0" tint="-0.349986266670736"/>
      </dataBar>
      <extLst>
        <ext xmlns:x14="http://schemas.microsoft.com/office/spreadsheetml/2009/9/main" uri="{B025F937-C7B1-47D3-B67F-A62EFF666E3E}">
          <x14:id>{2e362e7f-d89f-4d04-a105-19d83441ca27}</x14:id>
        </ext>
      </extLst>
    </cfRule>
  </conditionalFormatting>
  <conditionalFormatting sqref="H18">
    <cfRule type="dataBar" priority="5">
      <dataBar>
        <cfvo type="num" val="0"/>
        <cfvo type="num" val="1"/>
        <color theme="0" tint="-0.349986266670736"/>
      </dataBar>
      <extLst>
        <ext xmlns:x14="http://schemas.microsoft.com/office/spreadsheetml/2009/9/main" uri="{B025F937-C7B1-47D3-B67F-A62EFF666E3E}">
          <x14:id>{d95d39cc-6d4f-4b09-8abb-185843b319b6}</x14:id>
        </ext>
      </extLst>
    </cfRule>
  </conditionalFormatting>
  <conditionalFormatting sqref="K18:BN18">
    <cfRule type="expression" dxfId="0" priority="6">
      <formula>K$6=TODAY()</formula>
    </cfRule>
    <cfRule type="expression" dxfId="1" priority="7">
      <formula>AND($E18&lt;=K$6,ROUNDDOWN(($F18-$E18+1)*$H18,0)+$E18-1&gt;=K$6)</formula>
    </cfRule>
    <cfRule type="expression" dxfId="2" priority="8">
      <formula>AND(NOT(ISBLANK($E18)),$E18&lt;=K$6,$F18&gt;=K$6)</formula>
    </cfRule>
  </conditionalFormatting>
  <conditionalFormatting sqref="H19">
    <cfRule type="dataBar" priority="1">
      <dataBar>
        <cfvo type="num" val="0"/>
        <cfvo type="num" val="1"/>
        <color theme="0" tint="-0.349986266670736"/>
      </dataBar>
      <extLst>
        <ext xmlns:x14="http://schemas.microsoft.com/office/spreadsheetml/2009/9/main" uri="{B025F937-C7B1-47D3-B67F-A62EFF666E3E}">
          <x14:id>{323b298c-390b-4637-9ea9-6991b46916aa}</x14:id>
        </ext>
      </extLst>
    </cfRule>
  </conditionalFormatting>
  <conditionalFormatting sqref="K19:BN19">
    <cfRule type="expression" dxfId="2" priority="4">
      <formula>AND(NOT(ISBLANK($E19)),$E19&lt;=K$6,$F19&gt;=K$6)</formula>
    </cfRule>
    <cfRule type="expression" dxfId="1" priority="3">
      <formula>AND($E19&lt;=K$6,ROUNDDOWN(($F19-$E19+1)*$H19,0)+$E19-1&gt;=K$6)</formula>
    </cfRule>
    <cfRule type="expression" dxfId="0" priority="2">
      <formula>K$6=TODAY()</formula>
    </cfRule>
  </conditionalFormatting>
  <conditionalFormatting sqref="H22">
    <cfRule type="dataBar" priority="41">
      <dataBar>
        <cfvo type="num" val="0"/>
        <cfvo type="num" val="1"/>
        <color theme="0" tint="-0.349986266670736"/>
      </dataBar>
      <extLst>
        <ext xmlns:x14="http://schemas.microsoft.com/office/spreadsheetml/2009/9/main" uri="{B025F937-C7B1-47D3-B67F-A62EFF666E3E}">
          <x14:id>{0def04a3-9a36-4a81-8656-9e4ab18d8551}</x14:id>
        </ext>
      </extLst>
    </cfRule>
  </conditionalFormatting>
  <conditionalFormatting sqref="H23">
    <cfRule type="dataBar" priority="37">
      <dataBar>
        <cfvo type="num" val="0"/>
        <cfvo type="num" val="1"/>
        <color theme="0" tint="-0.349986266670736"/>
      </dataBar>
      <extLst>
        <ext xmlns:x14="http://schemas.microsoft.com/office/spreadsheetml/2009/9/main" uri="{B025F937-C7B1-47D3-B67F-A62EFF666E3E}">
          <x14:id>{b3e2c47d-2e59-4e6f-a3b7-20fdfe7f5a3e}</x14:id>
        </ext>
      </extLst>
    </cfRule>
  </conditionalFormatting>
  <conditionalFormatting sqref="H24">
    <cfRule type="dataBar" priority="33">
      <dataBar>
        <cfvo type="num" val="0"/>
        <cfvo type="num" val="1"/>
        <color theme="0" tint="-0.349986266670736"/>
      </dataBar>
      <extLst>
        <ext xmlns:x14="http://schemas.microsoft.com/office/spreadsheetml/2009/9/main" uri="{B025F937-C7B1-47D3-B67F-A62EFF666E3E}">
          <x14:id>{b933fad9-bd16-4148-9879-1c95831884a4}</x14:id>
        </ext>
      </extLst>
    </cfRule>
  </conditionalFormatting>
  <conditionalFormatting sqref="H25">
    <cfRule type="dataBar" priority="29">
      <dataBar>
        <cfvo type="num" val="0"/>
        <cfvo type="num" val="1"/>
        <color theme="0" tint="-0.349986266670736"/>
      </dataBar>
      <extLst>
        <ext xmlns:x14="http://schemas.microsoft.com/office/spreadsheetml/2009/9/main" uri="{B025F937-C7B1-47D3-B67F-A62EFF666E3E}">
          <x14:id>{8e2790e7-c2f6-43ee-9ebe-29339438613b}</x14:id>
        </ext>
      </extLst>
    </cfRule>
  </conditionalFormatting>
  <conditionalFormatting sqref="H26">
    <cfRule type="dataBar" priority="25">
      <dataBar>
        <cfvo type="num" val="0"/>
        <cfvo type="num" val="1"/>
        <color theme="0" tint="-0.349986266670736"/>
      </dataBar>
      <extLst>
        <ext xmlns:x14="http://schemas.microsoft.com/office/spreadsheetml/2009/9/main" uri="{B025F937-C7B1-47D3-B67F-A62EFF666E3E}">
          <x14:id>{13fdbba4-17d4-4c6a-9a62-77e346fcbc5d}</x14:id>
        </ext>
      </extLst>
    </cfRule>
  </conditionalFormatting>
  <conditionalFormatting sqref="H27">
    <cfRule type="dataBar" priority="17">
      <dataBar>
        <cfvo type="num" val="0"/>
        <cfvo type="num" val="1"/>
        <color theme="0" tint="-0.349986266670736"/>
      </dataBar>
      <extLst>
        <ext xmlns:x14="http://schemas.microsoft.com/office/spreadsheetml/2009/9/main" uri="{B025F937-C7B1-47D3-B67F-A62EFF666E3E}">
          <x14:id>{4c8cf449-caaa-4bd2-9a15-37f9034cd224}</x14:id>
        </ext>
      </extLst>
    </cfRule>
  </conditionalFormatting>
  <conditionalFormatting sqref="H28">
    <cfRule type="dataBar" priority="13">
      <dataBar>
        <cfvo type="num" val="0"/>
        <cfvo type="num" val="1"/>
        <color theme="0" tint="-0.349986266670736"/>
      </dataBar>
      <extLst>
        <ext xmlns:x14="http://schemas.microsoft.com/office/spreadsheetml/2009/9/main" uri="{B025F937-C7B1-47D3-B67F-A62EFF666E3E}">
          <x14:id>{81ba1ef5-d0c6-4f8d-b184-d4fc4f07bbe9}</x14:id>
        </ext>
      </extLst>
    </cfRule>
  </conditionalFormatting>
  <conditionalFormatting sqref="H82">
    <cfRule type="dataBar" priority="101">
      <dataBar>
        <cfvo type="num" val="0"/>
        <cfvo type="num" val="1"/>
        <color theme="0" tint="-0.349986266670736"/>
      </dataBar>
      <extLst>
        <ext xmlns:x14="http://schemas.microsoft.com/office/spreadsheetml/2009/9/main" uri="{B025F937-C7B1-47D3-B67F-A62EFF666E3E}">
          <x14:id>{fed1ab22-d752-4619-8f29-fb2979e803f7}</x14:id>
        </ext>
      </extLst>
    </cfRule>
  </conditionalFormatting>
  <conditionalFormatting sqref="H83">
    <cfRule type="dataBar" priority="97">
      <dataBar>
        <cfvo type="num" val="0"/>
        <cfvo type="num" val="1"/>
        <color theme="0" tint="-0.349986266670736"/>
      </dataBar>
      <extLst>
        <ext xmlns:x14="http://schemas.microsoft.com/office/spreadsheetml/2009/9/main" uri="{B025F937-C7B1-47D3-B67F-A62EFF666E3E}">
          <x14:id>{906d7713-6354-4547-8536-94eb055e3959}</x14:id>
        </ext>
      </extLst>
    </cfRule>
  </conditionalFormatting>
  <conditionalFormatting sqref="H91">
    <cfRule type="dataBar" priority="93">
      <dataBar>
        <cfvo type="num" val="0"/>
        <cfvo type="num" val="1"/>
        <color theme="0" tint="-0.349986266670736"/>
      </dataBar>
      <extLst>
        <ext xmlns:x14="http://schemas.microsoft.com/office/spreadsheetml/2009/9/main" uri="{B025F937-C7B1-47D3-B67F-A62EFF666E3E}">
          <x14:id>{beca578f-ff19-41f3-b510-5e1236d0cd35}</x14:id>
        </ext>
      </extLst>
    </cfRule>
  </conditionalFormatting>
  <conditionalFormatting sqref="H92">
    <cfRule type="dataBar" priority="85">
      <dataBar>
        <cfvo type="num" val="0"/>
        <cfvo type="num" val="1"/>
        <color theme="0" tint="-0.349986266670736"/>
      </dataBar>
      <extLst>
        <ext xmlns:x14="http://schemas.microsoft.com/office/spreadsheetml/2009/9/main" uri="{B025F937-C7B1-47D3-B67F-A62EFF666E3E}">
          <x14:id>{9f481859-5dc6-4fa0-a570-07a1e152a5bc}</x14:id>
        </ext>
      </extLst>
    </cfRule>
  </conditionalFormatting>
  <conditionalFormatting sqref="H93">
    <cfRule type="dataBar" priority="81">
      <dataBar>
        <cfvo type="num" val="0"/>
        <cfvo type="num" val="1"/>
        <color theme="0" tint="-0.349986266670736"/>
      </dataBar>
      <extLst>
        <ext xmlns:x14="http://schemas.microsoft.com/office/spreadsheetml/2009/9/main" uri="{B025F937-C7B1-47D3-B67F-A62EFF666E3E}">
          <x14:id>{128f6905-ae35-4f9a-adb8-af7d071fc590}</x14:id>
        </ext>
      </extLst>
    </cfRule>
  </conditionalFormatting>
  <conditionalFormatting sqref="H94">
    <cfRule type="dataBar" priority="73">
      <dataBar>
        <cfvo type="num" val="0"/>
        <cfvo type="num" val="1"/>
        <color theme="0" tint="-0.349986266670736"/>
      </dataBar>
      <extLst>
        <ext xmlns:x14="http://schemas.microsoft.com/office/spreadsheetml/2009/9/main" uri="{B025F937-C7B1-47D3-B67F-A62EFF666E3E}">
          <x14:id>{bae3ab7e-9abd-4295-ae12-c0c2e318a39f}</x14:id>
        </ext>
      </extLst>
    </cfRule>
  </conditionalFormatting>
  <conditionalFormatting sqref="H95">
    <cfRule type="dataBar" priority="69">
      <dataBar>
        <cfvo type="num" val="0"/>
        <cfvo type="num" val="1"/>
        <color theme="0" tint="-0.349986266670736"/>
      </dataBar>
      <extLst>
        <ext xmlns:x14="http://schemas.microsoft.com/office/spreadsheetml/2009/9/main" uri="{B025F937-C7B1-47D3-B67F-A62EFF666E3E}">
          <x14:id>{3c3f96c1-7f32-4632-8e6b-6e14348d22c2}</x14:id>
        </ext>
      </extLst>
    </cfRule>
  </conditionalFormatting>
  <conditionalFormatting sqref="H96">
    <cfRule type="dataBar" priority="141">
      <dataBar>
        <cfvo type="num" val="0"/>
        <cfvo type="num" val="1"/>
        <color theme="0" tint="-0.349986266670736"/>
      </dataBar>
      <extLst>
        <ext xmlns:x14="http://schemas.microsoft.com/office/spreadsheetml/2009/9/main" uri="{B025F937-C7B1-47D3-B67F-A62EFF666E3E}">
          <x14:id>{2f2ed1d9-d6c9-493e-8805-e5dd113ad6e1}</x14:id>
        </ext>
      </extLst>
    </cfRule>
  </conditionalFormatting>
  <conditionalFormatting sqref="H100">
    <cfRule type="dataBar" priority="129">
      <dataBar>
        <cfvo type="num" val="0"/>
        <cfvo type="num" val="1"/>
        <color theme="0" tint="-0.349986266670736"/>
      </dataBar>
      <extLst>
        <ext xmlns:x14="http://schemas.microsoft.com/office/spreadsheetml/2009/9/main" uri="{B025F937-C7B1-47D3-B67F-A62EFF666E3E}">
          <x14:id>{57b49052-f39a-481a-b3ec-f426dbab31ed}</x14:id>
        </ext>
      </extLst>
    </cfRule>
  </conditionalFormatting>
  <conditionalFormatting sqref="H106">
    <cfRule type="dataBar" priority="109">
      <dataBar>
        <cfvo type="num" val="0"/>
        <cfvo type="num" val="1"/>
        <color theme="0" tint="-0.349986266670736"/>
      </dataBar>
      <extLst>
        <ext xmlns:x14="http://schemas.microsoft.com/office/spreadsheetml/2009/9/main" uri="{B025F937-C7B1-47D3-B67F-A62EFF666E3E}">
          <x14:id>{cb4dfe1d-315f-4ae5-82f2-380015bf4a68}</x14:id>
        </ext>
      </extLst>
    </cfRule>
  </conditionalFormatting>
  <conditionalFormatting sqref="H107">
    <cfRule type="dataBar" priority="105">
      <dataBar>
        <cfvo type="num" val="0"/>
        <cfvo type="num" val="1"/>
        <color theme="0" tint="-0.349986266670736"/>
      </dataBar>
      <extLst>
        <ext xmlns:x14="http://schemas.microsoft.com/office/spreadsheetml/2009/9/main" uri="{B025F937-C7B1-47D3-B67F-A62EFF666E3E}">
          <x14:id>{9cbeb9b7-a809-48b5-a928-0c4925b39530}</x14:id>
        </ext>
      </extLst>
    </cfRule>
  </conditionalFormatting>
  <conditionalFormatting sqref="H12:H15">
    <cfRule type="dataBar" priority="57">
      <dataBar>
        <cfvo type="num" val="0"/>
        <cfvo type="num" val="1"/>
        <color theme="0" tint="-0.349986266670736"/>
      </dataBar>
      <extLst>
        <ext xmlns:x14="http://schemas.microsoft.com/office/spreadsheetml/2009/9/main" uri="{B025F937-C7B1-47D3-B67F-A62EFF666E3E}">
          <x14:id>{a03c9fb0-60f8-441a-9fbb-e929b8fb6a5e}</x14:id>
        </ext>
      </extLst>
    </cfRule>
  </conditionalFormatting>
  <conditionalFormatting sqref="H29:H67">
    <cfRule type="dataBar" priority="9">
      <dataBar>
        <cfvo type="num" val="0"/>
        <cfvo type="num" val="1"/>
        <color theme="0" tint="-0.349986266670736"/>
      </dataBar>
      <extLst>
        <ext xmlns:x14="http://schemas.microsoft.com/office/spreadsheetml/2009/9/main" uri="{B025F937-C7B1-47D3-B67F-A62EFF666E3E}">
          <x14:id>{832fd15b-c277-464e-9165-dbdb67cf3ffd}</x14:id>
        </ext>
      </extLst>
    </cfRule>
  </conditionalFormatting>
  <conditionalFormatting sqref="H74:H78">
    <cfRule type="dataBar" priority="161">
      <dataBar>
        <cfvo type="num" val="0"/>
        <cfvo type="num" val="1"/>
        <color theme="0" tint="-0.349986266670736"/>
      </dataBar>
      <extLst>
        <ext xmlns:x14="http://schemas.microsoft.com/office/spreadsheetml/2009/9/main" uri="{B025F937-C7B1-47D3-B67F-A62EFF666E3E}">
          <x14:id>{920531e5-366a-4691-bb2c-827751c1636c}</x14:id>
        </ext>
      </extLst>
    </cfRule>
  </conditionalFormatting>
  <conditionalFormatting sqref="H79:H81">
    <cfRule type="dataBar" priority="157">
      <dataBar>
        <cfvo type="num" val="0"/>
        <cfvo type="num" val="1"/>
        <color theme="0" tint="-0.349986266670736"/>
      </dataBar>
      <extLst>
        <ext xmlns:x14="http://schemas.microsoft.com/office/spreadsheetml/2009/9/main" uri="{B025F937-C7B1-47D3-B67F-A62EFF666E3E}">
          <x14:id>{44a84ce2-df6c-4184-bdd4-b4a3bf8b36f9}</x14:id>
        </ext>
      </extLst>
    </cfRule>
  </conditionalFormatting>
  <conditionalFormatting sqref="H84:H88">
    <cfRule type="dataBar" priority="153">
      <dataBar>
        <cfvo type="num" val="0"/>
        <cfvo type="num" val="1"/>
        <color theme="0" tint="-0.349986266670736"/>
      </dataBar>
      <extLst>
        <ext xmlns:x14="http://schemas.microsoft.com/office/spreadsheetml/2009/9/main" uri="{B025F937-C7B1-47D3-B67F-A62EFF666E3E}">
          <x14:id>{93fb9ac8-9364-4b61-acff-5d045e548bbf}</x14:id>
        </ext>
      </extLst>
    </cfRule>
  </conditionalFormatting>
  <conditionalFormatting sqref="H89:H90">
    <cfRule type="dataBar" priority="149">
      <dataBar>
        <cfvo type="num" val="0"/>
        <cfvo type="num" val="1"/>
        <color theme="0" tint="-0.349986266670736"/>
      </dataBar>
      <extLst>
        <ext xmlns:x14="http://schemas.microsoft.com/office/spreadsheetml/2009/9/main" uri="{B025F937-C7B1-47D3-B67F-A62EFF666E3E}">
          <x14:id>{a03c7a99-92a3-43a3-a071-6599a8f7a968}</x14:id>
        </ext>
      </extLst>
    </cfRule>
  </conditionalFormatting>
  <conditionalFormatting sqref="H97:H99">
    <cfRule type="dataBar" priority="137">
      <dataBar>
        <cfvo type="num" val="0"/>
        <cfvo type="num" val="1"/>
        <color theme="0" tint="-0.349986266670736"/>
      </dataBar>
      <extLst>
        <ext xmlns:x14="http://schemas.microsoft.com/office/spreadsheetml/2009/9/main" uri="{B025F937-C7B1-47D3-B67F-A62EFF666E3E}">
          <x14:id>{7eb965b2-2bd8-4cee-8e0c-8bd968efb2d9}</x14:id>
        </ext>
      </extLst>
    </cfRule>
  </conditionalFormatting>
  <conditionalFormatting sqref="H101:H105">
    <cfRule type="dataBar" priority="121">
      <dataBar>
        <cfvo type="num" val="0"/>
        <cfvo type="num" val="1"/>
        <color theme="0" tint="-0.349986266670736"/>
      </dataBar>
      <extLst>
        <ext xmlns:x14="http://schemas.microsoft.com/office/spreadsheetml/2009/9/main" uri="{B025F937-C7B1-47D3-B67F-A62EFF666E3E}">
          <x14:id>{257ca347-856e-43fa-a786-8b9124114475}</x14:id>
        </ext>
      </extLst>
    </cfRule>
  </conditionalFormatting>
  <conditionalFormatting sqref="K6:BN7">
    <cfRule type="expression" dxfId="3" priority="217">
      <formula>K$6=TODAY()</formula>
    </cfRule>
  </conditionalFormatting>
  <conditionalFormatting sqref="K6:BN17 K20:BN107">
    <cfRule type="expression" dxfId="0" priority="54">
      <formula>K$6=TODAY()</formula>
    </cfRule>
  </conditionalFormatting>
  <conditionalFormatting sqref="H8:H10 H68:H73">
    <cfRule type="dataBar" priority="174">
      <dataBar>
        <cfvo type="num" val="0"/>
        <cfvo type="num" val="1"/>
        <color theme="0" tint="-0.349986266670736"/>
      </dataBar>
      <extLst>
        <ext xmlns:x14="http://schemas.microsoft.com/office/spreadsheetml/2009/9/main" uri="{B025F937-C7B1-47D3-B67F-A62EFF666E3E}">
          <x14:id>{911ea8e6-db27-4514-9e44-d66df82e0f9e}</x14:id>
        </ext>
      </extLst>
    </cfRule>
  </conditionalFormatting>
  <conditionalFormatting sqref="K8:BN17 K20:BN107">
    <cfRule type="expression" dxfId="1" priority="55">
      <formula>AND($E8&lt;=K$6,ROUNDDOWN(($F8-$E8+1)*$H8,0)+$E8-1&gt;=K$6)</formula>
    </cfRule>
    <cfRule type="expression" dxfId="2" priority="56">
      <formula>AND(NOT(ISBLANK($E8)),$E8&lt;=K$6,$F8&gt;=K$6)</formula>
    </cfRule>
  </conditionalFormatting>
  <conditionalFormatting sqref="H16:H17 H20:H21">
    <cfRule type="dataBar" priority="53">
      <dataBar>
        <cfvo type="num" val="0"/>
        <cfvo type="num" val="1"/>
        <color theme="0" tint="-0.349986266670736"/>
      </dataBar>
      <extLst>
        <ext xmlns:x14="http://schemas.microsoft.com/office/spreadsheetml/2009/9/main" uri="{B025F937-C7B1-47D3-B67F-A62EFF666E3E}">
          <x14:id>{57367d37-821f-468e-9d47-47ef1fe745f4}</x14:id>
        </ext>
      </extLst>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paperSize="1" scale="53" orientation="landscape"/>
  <headerFooter alignWithMargins="0"/>
  <ignoredErrors>
    <ignoredError sqref="A68" formula="1"/>
    <ignoredError sqref="E68 G68:H68 H70:H7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name="Scroll Bar 46" r:id="rId4">
              <controlPr print="0" defaultSize="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2e362e7f-d89f-4d04-a105-19d83441ca27}">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d95d39cc-6d4f-4b09-8abb-185843b319b6}">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323b298c-390b-4637-9ea9-6991b46916aa}">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0def04a3-9a36-4a81-8656-9e4ab18d8551}">
            <x14:dataBar minLength="0" maxLength="100" gradient="0">
              <x14:cfvo type="num">
                <xm:f>0</xm:f>
              </x14:cfvo>
              <x14:cfvo type="num">
                <xm:f>1</xm:f>
              </x14:cfvo>
              <x14:negativeFillColor rgb="FFFF0000"/>
              <x14:axisColor rgb="FF000000"/>
            </x14:dataBar>
          </x14:cfRule>
          <xm:sqref>H22</xm:sqref>
        </x14:conditionalFormatting>
        <x14:conditionalFormatting xmlns:xm="http://schemas.microsoft.com/office/excel/2006/main">
          <x14:cfRule type="dataBar" id="{b3e2c47d-2e59-4e6f-a3b7-20fdfe7f5a3e}">
            <x14:dataBar minLength="0" maxLength="100" gradient="0">
              <x14:cfvo type="num">
                <xm:f>0</xm:f>
              </x14:cfvo>
              <x14:cfvo type="num">
                <xm:f>1</xm:f>
              </x14:cfvo>
              <x14:negativeFillColor rgb="FFFF0000"/>
              <x14:axisColor rgb="FF000000"/>
            </x14:dataBar>
          </x14:cfRule>
          <xm:sqref>H23</xm:sqref>
        </x14:conditionalFormatting>
        <x14:conditionalFormatting xmlns:xm="http://schemas.microsoft.com/office/excel/2006/main">
          <x14:cfRule type="dataBar" id="{b933fad9-bd16-4148-9879-1c95831884a4}">
            <x14:dataBar minLength="0" maxLength="100" gradient="0">
              <x14:cfvo type="num">
                <xm:f>0</xm:f>
              </x14:cfvo>
              <x14:cfvo type="num">
                <xm:f>1</xm:f>
              </x14:cfvo>
              <x14:negativeFillColor rgb="FFFF0000"/>
              <x14:axisColor rgb="FF000000"/>
            </x14:dataBar>
          </x14:cfRule>
          <xm:sqref>H24</xm:sqref>
        </x14:conditionalFormatting>
        <x14:conditionalFormatting xmlns:xm="http://schemas.microsoft.com/office/excel/2006/main">
          <x14:cfRule type="dataBar" id="{8e2790e7-c2f6-43ee-9ebe-29339438613b}">
            <x14:dataBar minLength="0" maxLength="100" gradient="0">
              <x14:cfvo type="num">
                <xm:f>0</xm:f>
              </x14:cfvo>
              <x14:cfvo type="num">
                <xm:f>1</xm:f>
              </x14:cfvo>
              <x14:negativeFillColor rgb="FFFF0000"/>
              <x14:axisColor rgb="FF000000"/>
            </x14:dataBar>
          </x14:cfRule>
          <xm:sqref>H25</xm:sqref>
        </x14:conditionalFormatting>
        <x14:conditionalFormatting xmlns:xm="http://schemas.microsoft.com/office/excel/2006/main">
          <x14:cfRule type="dataBar" id="{13fdbba4-17d4-4c6a-9a62-77e346fcbc5d}">
            <x14:dataBar minLength="0" maxLength="100" gradient="0">
              <x14:cfvo type="num">
                <xm:f>0</xm:f>
              </x14:cfvo>
              <x14:cfvo type="num">
                <xm:f>1</xm:f>
              </x14:cfvo>
              <x14:negativeFillColor rgb="FFFF0000"/>
              <x14:axisColor rgb="FF000000"/>
            </x14:dataBar>
          </x14:cfRule>
          <xm:sqref>H26</xm:sqref>
        </x14:conditionalFormatting>
        <x14:conditionalFormatting xmlns:xm="http://schemas.microsoft.com/office/excel/2006/main">
          <x14:cfRule type="dataBar" id="{4c8cf449-caaa-4bd2-9a15-37f9034cd224}">
            <x14:dataBar minLength="0" maxLength="100" gradient="0">
              <x14:cfvo type="num">
                <xm:f>0</xm:f>
              </x14:cfvo>
              <x14:cfvo type="num">
                <xm:f>1</xm:f>
              </x14:cfvo>
              <x14:negativeFillColor rgb="FFFF0000"/>
              <x14:axisColor rgb="FF000000"/>
            </x14:dataBar>
          </x14:cfRule>
          <xm:sqref>H27</xm:sqref>
        </x14:conditionalFormatting>
        <x14:conditionalFormatting xmlns:xm="http://schemas.microsoft.com/office/excel/2006/main">
          <x14:cfRule type="dataBar" id="{81ba1ef5-d0c6-4f8d-b184-d4fc4f07bbe9}">
            <x14:dataBar minLength="0" maxLength="100" gradient="0">
              <x14:cfvo type="num">
                <xm:f>0</xm:f>
              </x14:cfvo>
              <x14:cfvo type="num">
                <xm:f>1</xm:f>
              </x14:cfvo>
              <x14:negativeFillColor rgb="FFFF0000"/>
              <x14:axisColor rgb="FF000000"/>
            </x14:dataBar>
          </x14:cfRule>
          <xm:sqref>H28</xm:sqref>
        </x14:conditionalFormatting>
        <x14:conditionalFormatting xmlns:xm="http://schemas.microsoft.com/office/excel/2006/main">
          <x14:cfRule type="dataBar" id="{fed1ab22-d752-4619-8f29-fb2979e803f7}">
            <x14:dataBar minLength="0" maxLength="100" gradient="0">
              <x14:cfvo type="num">
                <xm:f>0</xm:f>
              </x14:cfvo>
              <x14:cfvo type="num">
                <xm:f>1</xm:f>
              </x14:cfvo>
              <x14:negativeFillColor rgb="FFFF0000"/>
              <x14:axisColor rgb="FF000000"/>
            </x14:dataBar>
          </x14:cfRule>
          <xm:sqref>H82</xm:sqref>
        </x14:conditionalFormatting>
        <x14:conditionalFormatting xmlns:xm="http://schemas.microsoft.com/office/excel/2006/main">
          <x14:cfRule type="dataBar" id="{906d7713-6354-4547-8536-94eb055e3959}">
            <x14:dataBar minLength="0" maxLength="100" gradient="0">
              <x14:cfvo type="num">
                <xm:f>0</xm:f>
              </x14:cfvo>
              <x14:cfvo type="num">
                <xm:f>1</xm:f>
              </x14:cfvo>
              <x14:negativeFillColor rgb="FFFF0000"/>
              <x14:axisColor rgb="FF000000"/>
            </x14:dataBar>
          </x14:cfRule>
          <xm:sqref>H83</xm:sqref>
        </x14:conditionalFormatting>
        <x14:conditionalFormatting xmlns:xm="http://schemas.microsoft.com/office/excel/2006/main">
          <x14:cfRule type="dataBar" id="{beca578f-ff19-41f3-b510-5e1236d0cd35}">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9f481859-5dc6-4fa0-a570-07a1e152a5bc}">
            <x14:dataBar minLength="0" maxLength="100" gradient="0">
              <x14:cfvo type="num">
                <xm:f>0</xm:f>
              </x14:cfvo>
              <x14:cfvo type="num">
                <xm:f>1</xm:f>
              </x14:cfvo>
              <x14:negativeFillColor rgb="FFFF0000"/>
              <x14:axisColor rgb="FF000000"/>
            </x14:dataBar>
          </x14:cfRule>
          <xm:sqref>H92</xm:sqref>
        </x14:conditionalFormatting>
        <x14:conditionalFormatting xmlns:xm="http://schemas.microsoft.com/office/excel/2006/main">
          <x14:cfRule type="dataBar" id="{128f6905-ae35-4f9a-adb8-af7d071fc590}">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bae3ab7e-9abd-4295-ae12-c0c2e318a39f}">
            <x14:dataBar minLength="0" maxLength="100" gradient="0">
              <x14:cfvo type="num">
                <xm:f>0</xm:f>
              </x14:cfvo>
              <x14:cfvo type="num">
                <xm:f>1</xm:f>
              </x14:cfvo>
              <x14:negativeFillColor rgb="FFFF0000"/>
              <x14:axisColor rgb="FF000000"/>
            </x14:dataBar>
          </x14:cfRule>
          <xm:sqref>H94</xm:sqref>
        </x14:conditionalFormatting>
        <x14:conditionalFormatting xmlns:xm="http://schemas.microsoft.com/office/excel/2006/main">
          <x14:cfRule type="dataBar" id="{3c3f96c1-7f32-4632-8e6b-6e14348d22c2}">
            <x14:dataBar minLength="0" maxLength="100" gradient="0">
              <x14:cfvo type="num">
                <xm:f>0</xm:f>
              </x14:cfvo>
              <x14:cfvo type="num">
                <xm:f>1</xm:f>
              </x14:cfvo>
              <x14:negativeFillColor rgb="FFFF0000"/>
              <x14:axisColor rgb="FF000000"/>
            </x14:dataBar>
          </x14:cfRule>
          <xm:sqref>H95</xm:sqref>
        </x14:conditionalFormatting>
        <x14:conditionalFormatting xmlns:xm="http://schemas.microsoft.com/office/excel/2006/main">
          <x14:cfRule type="dataBar" id="{2f2ed1d9-d6c9-493e-8805-e5dd113ad6e1}">
            <x14:dataBar minLength="0" maxLength="100" gradient="0">
              <x14:cfvo type="num">
                <xm:f>0</xm:f>
              </x14:cfvo>
              <x14:cfvo type="num">
                <xm:f>1</xm:f>
              </x14:cfvo>
              <x14:negativeFillColor rgb="FFFF0000"/>
              <x14:axisColor rgb="FF000000"/>
            </x14:dataBar>
          </x14:cfRule>
          <xm:sqref>H96</xm:sqref>
        </x14:conditionalFormatting>
        <x14:conditionalFormatting xmlns:xm="http://schemas.microsoft.com/office/excel/2006/main">
          <x14:cfRule type="dataBar" id="{57b49052-f39a-481a-b3ec-f426dbab31ed}">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cb4dfe1d-315f-4ae5-82f2-380015bf4a68}">
            <x14:dataBar minLength="0" maxLength="100" gradient="0">
              <x14:cfvo type="num">
                <xm:f>0</xm:f>
              </x14:cfvo>
              <x14:cfvo type="num">
                <xm:f>1</xm:f>
              </x14:cfvo>
              <x14:negativeFillColor rgb="FFFF0000"/>
              <x14:axisColor rgb="FF000000"/>
            </x14:dataBar>
          </x14:cfRule>
          <xm:sqref>H106</xm:sqref>
        </x14:conditionalFormatting>
        <x14:conditionalFormatting xmlns:xm="http://schemas.microsoft.com/office/excel/2006/main">
          <x14:cfRule type="dataBar" id="{9cbeb9b7-a809-48b5-a928-0c4925b39530}">
            <x14:dataBar minLength="0" maxLength="100" gradient="0">
              <x14:cfvo type="num">
                <xm:f>0</xm:f>
              </x14:cfvo>
              <x14:cfvo type="num">
                <xm:f>1</xm:f>
              </x14:cfvo>
              <x14:negativeFillColor rgb="FFFF0000"/>
              <x14:axisColor rgb="FF000000"/>
            </x14:dataBar>
          </x14:cfRule>
          <xm:sqref>H107</xm:sqref>
        </x14:conditionalFormatting>
        <x14:conditionalFormatting xmlns:xm="http://schemas.microsoft.com/office/excel/2006/main">
          <x14:cfRule type="dataBar" id="{a03c9fb0-60f8-441a-9fbb-e929b8fb6a5e}">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832fd15b-c277-464e-9165-dbdb67cf3ffd}">
            <x14:dataBar minLength="0" maxLength="100" gradient="0">
              <x14:cfvo type="num">
                <xm:f>0</xm:f>
              </x14:cfvo>
              <x14:cfvo type="num">
                <xm:f>1</xm:f>
              </x14:cfvo>
              <x14:negativeFillColor rgb="FFFF0000"/>
              <x14:axisColor rgb="FF000000"/>
            </x14:dataBar>
          </x14:cfRule>
          <xm:sqref>H29:H67</xm:sqref>
        </x14:conditionalFormatting>
        <x14:conditionalFormatting xmlns:xm="http://schemas.microsoft.com/office/excel/2006/main">
          <x14:cfRule type="dataBar" id="{920531e5-366a-4691-bb2c-827751c1636c}">
            <x14:dataBar minLength="0" maxLength="100" gradient="0">
              <x14:cfvo type="num">
                <xm:f>0</xm:f>
              </x14:cfvo>
              <x14:cfvo type="num">
                <xm:f>1</xm:f>
              </x14:cfvo>
              <x14:negativeFillColor rgb="FFFF0000"/>
              <x14:axisColor rgb="FF000000"/>
            </x14:dataBar>
          </x14:cfRule>
          <xm:sqref>H74:H78</xm:sqref>
        </x14:conditionalFormatting>
        <x14:conditionalFormatting xmlns:xm="http://schemas.microsoft.com/office/excel/2006/main">
          <x14:cfRule type="dataBar" id="{44a84ce2-df6c-4184-bdd4-b4a3bf8b36f9}">
            <x14:dataBar minLength="0" maxLength="100" gradient="0">
              <x14:cfvo type="num">
                <xm:f>0</xm:f>
              </x14:cfvo>
              <x14:cfvo type="num">
                <xm:f>1</xm:f>
              </x14:cfvo>
              <x14:negativeFillColor rgb="FFFF0000"/>
              <x14:axisColor rgb="FF000000"/>
            </x14:dataBar>
          </x14:cfRule>
          <xm:sqref>H79:H81</xm:sqref>
        </x14:conditionalFormatting>
        <x14:conditionalFormatting xmlns:xm="http://schemas.microsoft.com/office/excel/2006/main">
          <x14:cfRule type="dataBar" id="{93fb9ac8-9364-4b61-acff-5d045e548bbf}">
            <x14:dataBar minLength="0" maxLength="100" gradient="0">
              <x14:cfvo type="num">
                <xm:f>0</xm:f>
              </x14:cfvo>
              <x14:cfvo type="num">
                <xm:f>1</xm:f>
              </x14:cfvo>
              <x14:negativeFillColor rgb="FFFF0000"/>
              <x14:axisColor rgb="FF000000"/>
            </x14:dataBar>
          </x14:cfRule>
          <xm:sqref>H84:H88</xm:sqref>
        </x14:conditionalFormatting>
        <x14:conditionalFormatting xmlns:xm="http://schemas.microsoft.com/office/excel/2006/main">
          <x14:cfRule type="dataBar" id="{a03c7a99-92a3-43a3-a071-6599a8f7a968}">
            <x14:dataBar minLength="0" maxLength="100" gradient="0">
              <x14:cfvo type="num">
                <xm:f>0</xm:f>
              </x14:cfvo>
              <x14:cfvo type="num">
                <xm:f>1</xm:f>
              </x14:cfvo>
              <x14:negativeFillColor rgb="FFFF0000"/>
              <x14:axisColor rgb="FF000000"/>
            </x14:dataBar>
          </x14:cfRule>
          <xm:sqref>H89:H90</xm:sqref>
        </x14:conditionalFormatting>
        <x14:conditionalFormatting xmlns:xm="http://schemas.microsoft.com/office/excel/2006/main">
          <x14:cfRule type="dataBar" id="{7eb965b2-2bd8-4cee-8e0c-8bd968efb2d9}">
            <x14:dataBar minLength="0" maxLength="100" gradient="0">
              <x14:cfvo type="num">
                <xm:f>0</xm:f>
              </x14:cfvo>
              <x14:cfvo type="num">
                <xm:f>1</xm:f>
              </x14:cfvo>
              <x14:negativeFillColor rgb="FFFF0000"/>
              <x14:axisColor rgb="FF000000"/>
            </x14:dataBar>
          </x14:cfRule>
          <xm:sqref>H97:H99</xm:sqref>
        </x14:conditionalFormatting>
        <x14:conditionalFormatting xmlns:xm="http://schemas.microsoft.com/office/excel/2006/main">
          <x14:cfRule type="dataBar" id="{257ca347-856e-43fa-a786-8b9124114475}">
            <x14:dataBar minLength="0" maxLength="100" gradient="0">
              <x14:cfvo type="num">
                <xm:f>0</xm:f>
              </x14:cfvo>
              <x14:cfvo type="num">
                <xm:f>1</xm:f>
              </x14:cfvo>
              <x14:negativeFillColor rgb="FFFF0000"/>
              <x14:axisColor rgb="FF000000"/>
            </x14:dataBar>
          </x14:cfRule>
          <xm:sqref>H101:H105</xm:sqref>
        </x14:conditionalFormatting>
        <x14:conditionalFormatting xmlns:xm="http://schemas.microsoft.com/office/excel/2006/main">
          <x14:cfRule type="dataBar" id="{911ea8e6-db27-4514-9e44-d66df82e0f9e}">
            <x14:dataBar minLength="0" maxLength="100" gradient="0">
              <x14:cfvo type="num">
                <xm:f>0</xm:f>
              </x14:cfvo>
              <x14:cfvo type="num">
                <xm:f>1</xm:f>
              </x14:cfvo>
              <x14:negativeFillColor rgb="FFFF0000"/>
              <x14:axisColor rgb="FF000000"/>
            </x14:dataBar>
          </x14:cfRule>
          <xm:sqref>H8:H10 H68:H73</xm:sqref>
        </x14:conditionalFormatting>
        <x14:conditionalFormatting xmlns:xm="http://schemas.microsoft.com/office/excel/2006/main">
          <x14:cfRule type="dataBar" id="{57367d37-821f-468e-9d47-47ef1fe745f4}">
            <x14:dataBar minLength="0" maxLength="100" gradient="0">
              <x14:cfvo type="num">
                <xm:f>0</xm:f>
              </x14:cfvo>
              <x14:cfvo type="num">
                <xm:f>1</xm:f>
              </x14:cfvo>
              <x14:negativeFillColor rgb="FFFF0000"/>
              <x14:axisColor rgb="FF000000"/>
            </x14:dataBar>
          </x14:cfRule>
          <xm:sqref>H16:H17 H20:H21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C46"/>
  <sheetViews>
    <sheetView showGridLines="0" workbookViewId="0">
      <selection activeCell="A1" sqref="A1"/>
    </sheetView>
  </sheetViews>
  <sheetFormatPr defaultColWidth="9" defaultRowHeight="12.75" outlineLevelCol="2"/>
  <cols>
    <col min="1" max="1" width="5.57142857142857" customWidth="1"/>
    <col min="2" max="2" width="37.7142857142857" customWidth="1"/>
    <col min="3" max="3" width="55.1428571428571" customWidth="1"/>
    <col min="4" max="7" width="8.85714285714286"/>
  </cols>
  <sheetData>
    <row r="1" ht="30" customHeight="1" spans="1:1">
      <c r="A1" s="44" t="s">
        <v>101</v>
      </c>
    </row>
    <row r="4" spans="3:3">
      <c r="C4" s="28" t="s">
        <v>102</v>
      </c>
    </row>
    <row r="5" spans="3:3">
      <c r="C5" t="s">
        <v>103</v>
      </c>
    </row>
    <row r="7" ht="18" spans="3:3">
      <c r="C7" s="45" t="s">
        <v>104</v>
      </c>
    </row>
    <row r="8" spans="3:3">
      <c r="C8" s="46" t="s">
        <v>105</v>
      </c>
    </row>
    <row r="10" spans="3:3">
      <c r="C10" t="s">
        <v>106</v>
      </c>
    </row>
    <row r="11" spans="3:3">
      <c r="C11" t="s">
        <v>107</v>
      </c>
    </row>
    <row r="13" ht="18" spans="3:3">
      <c r="C13" s="45" t="s">
        <v>108</v>
      </c>
    </row>
    <row r="16" ht="15.75" spans="1:1">
      <c r="A16" s="18" t="s">
        <v>109</v>
      </c>
    </row>
    <row r="18" ht="15" spans="2:2">
      <c r="B18" s="47" t="s">
        <v>110</v>
      </c>
    </row>
    <row r="19" spans="2:2">
      <c r="B19" t="s">
        <v>111</v>
      </c>
    </row>
    <row r="20" spans="2:2">
      <c r="B20" t="s">
        <v>112</v>
      </c>
    </row>
    <row r="22" ht="15" spans="2:2">
      <c r="B22" s="47" t="s">
        <v>113</v>
      </c>
    </row>
    <row r="23" spans="2:2">
      <c r="B23" t="s">
        <v>114</v>
      </c>
    </row>
    <row r="24" spans="2:2">
      <c r="B24" t="s">
        <v>115</v>
      </c>
    </row>
    <row r="26" ht="15" spans="2:2">
      <c r="B26" s="47" t="s">
        <v>116</v>
      </c>
    </row>
    <row r="27" spans="2:2">
      <c r="B27" t="s">
        <v>117</v>
      </c>
    </row>
    <row r="28" spans="2:2">
      <c r="B28" t="s">
        <v>118</v>
      </c>
    </row>
    <row r="29" spans="2:2">
      <c r="B29" t="s">
        <v>119</v>
      </c>
    </row>
    <row r="30" spans="2:2">
      <c r="B30" t="s">
        <v>120</v>
      </c>
    </row>
    <row r="31" spans="2:2">
      <c r="B31" t="s">
        <v>121</v>
      </c>
    </row>
    <row r="32" spans="2:2">
      <c r="B32" t="s">
        <v>122</v>
      </c>
    </row>
    <row r="34" ht="15" spans="2:2">
      <c r="B34" s="47" t="s">
        <v>123</v>
      </c>
    </row>
    <row r="35" spans="2:2">
      <c r="B35" t="s">
        <v>124</v>
      </c>
    </row>
    <row r="36" spans="2:2">
      <c r="B36" t="s">
        <v>125</v>
      </c>
    </row>
    <row r="37" spans="2:2">
      <c r="B37" t="s">
        <v>126</v>
      </c>
    </row>
    <row r="39" ht="15" spans="2:2">
      <c r="B39" s="47" t="s">
        <v>127</v>
      </c>
    </row>
    <row r="40" spans="2:2">
      <c r="B40" t="s">
        <v>128</v>
      </c>
    </row>
    <row r="42" ht="15" spans="2:2">
      <c r="B42" s="47" t="s">
        <v>129</v>
      </c>
    </row>
    <row r="43" spans="2:2">
      <c r="B43" t="s">
        <v>130</v>
      </c>
    </row>
    <row r="44" spans="2:2">
      <c r="B44" t="s">
        <v>131</v>
      </c>
    </row>
    <row r="46" ht="18" spans="2:2">
      <c r="B46" s="45" t="s">
        <v>132</v>
      </c>
    </row>
  </sheetData>
  <hyperlinks>
    <hyperlink ref="C7" r:id="rId2" display="Learn About Gantt Chart Template Pro"/>
    <hyperlink ref="B46" r:id="rId2" display="Learn More About Gantt Chart Template Pro" tooltip="Go to Vertex42.com"/>
    <hyperlink ref="C13" r:id="rId3" display="Gantt Chart Template Pro for Excel Online"/>
  </hyperlinks>
  <pageMargins left="0.7" right="0.7" top="0.75" bottom="0.75" header="0.3" footer="0.3"/>
  <pageSetup paperSize="1" scale="93"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94"/>
  <sheetViews>
    <sheetView showGridLines="0" workbookViewId="0">
      <selection activeCell="A1" sqref="A1"/>
    </sheetView>
  </sheetViews>
  <sheetFormatPr defaultColWidth="8.85714285714286" defaultRowHeight="12.75" outlineLevelCol="2"/>
  <cols>
    <col min="1" max="1" width="5.57142857142857" customWidth="1"/>
    <col min="2" max="2" width="90.4285714285714" customWidth="1"/>
    <col min="3" max="3" width="16.4285714285714" customWidth="1"/>
  </cols>
  <sheetData>
    <row r="1" ht="30" customHeight="1" spans="1:2">
      <c r="A1" s="3" t="s">
        <v>133</v>
      </c>
      <c r="B1" s="14"/>
    </row>
    <row r="2" ht="14.25" spans="1:2">
      <c r="A2" s="15" t="s">
        <v>105</v>
      </c>
      <c r="B2" s="16"/>
    </row>
    <row r="3" spans="2:2">
      <c r="B3" s="16"/>
    </row>
    <row r="4" ht="18" spans="1:2">
      <c r="A4" s="17" t="s">
        <v>134</v>
      </c>
      <c r="B4" s="18"/>
    </row>
    <row r="5" ht="57" spans="2:2">
      <c r="B5" s="19" t="s">
        <v>135</v>
      </c>
    </row>
    <row r="7" ht="28.5" spans="2:2">
      <c r="B7" s="19" t="s">
        <v>136</v>
      </c>
    </row>
    <row r="9" ht="14.25" spans="2:2">
      <c r="B9" s="15" t="s">
        <v>137</v>
      </c>
    </row>
    <row r="11" ht="28.5" spans="2:2">
      <c r="B11" s="20" t="s">
        <v>138</v>
      </c>
    </row>
    <row r="13" ht="18" spans="1:2">
      <c r="A13" s="21" t="s">
        <v>139</v>
      </c>
      <c r="B13" s="21"/>
    </row>
    <row r="15" s="13" customFormat="1" ht="18" spans="1:2">
      <c r="A15" s="22"/>
      <c r="B15" s="23" t="s">
        <v>140</v>
      </c>
    </row>
    <row r="16" s="13" customFormat="1" ht="18" spans="1:3">
      <c r="A16" s="22"/>
      <c r="B16" s="23" t="s">
        <v>141</v>
      </c>
      <c r="C16" s="24" t="s">
        <v>142</v>
      </c>
    </row>
    <row r="17" ht="18" spans="1:2">
      <c r="A17" s="25"/>
      <c r="B17" s="23" t="s">
        <v>143</v>
      </c>
    </row>
    <row r="18" ht="18" spans="1:2">
      <c r="A18" s="25"/>
      <c r="B18" s="23" t="s">
        <v>144</v>
      </c>
    </row>
    <row r="19" ht="18" spans="1:2">
      <c r="A19" s="25"/>
      <c r="B19" s="23" t="s">
        <v>145</v>
      </c>
    </row>
    <row r="20" s="13" customFormat="1" ht="18" spans="1:3">
      <c r="A20" s="22"/>
      <c r="B20" s="23" t="s">
        <v>146</v>
      </c>
      <c r="C20" s="26" t="s">
        <v>147</v>
      </c>
    </row>
    <row r="21" ht="18" spans="1:2">
      <c r="A21" s="25"/>
      <c r="B21" s="23" t="s">
        <v>148</v>
      </c>
    </row>
    <row r="22" ht="18" spans="1:2">
      <c r="A22" s="25"/>
      <c r="B22" s="27" t="s">
        <v>149</v>
      </c>
    </row>
    <row r="23" ht="18" spans="1:2">
      <c r="A23" s="25"/>
      <c r="B23" s="28"/>
    </row>
    <row r="24" ht="18" spans="1:2">
      <c r="A24" s="21" t="s">
        <v>150</v>
      </c>
      <c r="B24" s="21"/>
    </row>
    <row r="25" ht="43.5" spans="1:2">
      <c r="A25" s="25"/>
      <c r="B25" s="23" t="s">
        <v>151</v>
      </c>
    </row>
    <row r="26" ht="18" spans="1:2">
      <c r="A26" s="25"/>
      <c r="B26" s="23"/>
    </row>
    <row r="27" ht="18" spans="1:2">
      <c r="A27" s="25"/>
      <c r="B27" s="29" t="s">
        <v>152</v>
      </c>
    </row>
    <row r="28" ht="18" spans="1:2">
      <c r="A28" s="25"/>
      <c r="B28" s="23" t="s">
        <v>153</v>
      </c>
    </row>
    <row r="29" ht="28.5" spans="1:2">
      <c r="A29" s="25"/>
      <c r="B29" s="23" t="s">
        <v>154</v>
      </c>
    </row>
    <row r="30" ht="18" spans="1:2">
      <c r="A30" s="25"/>
      <c r="B30" s="23"/>
    </row>
    <row r="31" ht="18" spans="1:2">
      <c r="A31" s="25"/>
      <c r="B31" s="29" t="s">
        <v>155</v>
      </c>
    </row>
    <row r="32" ht="18" spans="1:2">
      <c r="A32" s="25"/>
      <c r="B32" s="23" t="s">
        <v>156</v>
      </c>
    </row>
    <row r="33" ht="18" spans="1:2">
      <c r="A33" s="25"/>
      <c r="B33" s="23" t="s">
        <v>157</v>
      </c>
    </row>
    <row r="34" ht="18" spans="1:2">
      <c r="A34" s="25"/>
      <c r="B34" s="28"/>
    </row>
    <row r="35" ht="28.5" spans="1:2">
      <c r="A35" s="25"/>
      <c r="B35" s="23" t="s">
        <v>158</v>
      </c>
    </row>
    <row r="36" ht="18" spans="1:2">
      <c r="A36" s="25"/>
      <c r="B36" s="30" t="s">
        <v>159</v>
      </c>
    </row>
    <row r="37" ht="18" spans="1:2">
      <c r="A37" s="25"/>
      <c r="B37" s="28"/>
    </row>
    <row r="38" ht="18" spans="1:2">
      <c r="A38" s="21" t="s">
        <v>160</v>
      </c>
      <c r="B38" s="21"/>
    </row>
    <row r="39" ht="28.5" spans="2:2">
      <c r="B39" s="23" t="s">
        <v>161</v>
      </c>
    </row>
    <row r="41" ht="14.25" spans="2:2">
      <c r="B41" s="23" t="s">
        <v>162</v>
      </c>
    </row>
    <row r="43" ht="28.5" spans="2:2">
      <c r="B43" s="23" t="s">
        <v>163</v>
      </c>
    </row>
    <row r="45" ht="28.5" spans="2:2">
      <c r="B45" s="23" t="s">
        <v>164</v>
      </c>
    </row>
    <row r="46" spans="2:2">
      <c r="B46" s="31"/>
    </row>
    <row r="47" ht="28.5" spans="2:2">
      <c r="B47" s="23" t="s">
        <v>165</v>
      </c>
    </row>
    <row r="49" ht="18" spans="1:2">
      <c r="A49" s="21" t="s">
        <v>166</v>
      </c>
      <c r="B49" s="21"/>
    </row>
    <row r="50" ht="28.5" spans="2:2">
      <c r="B50" s="23" t="s">
        <v>167</v>
      </c>
    </row>
    <row r="52" ht="14.25" spans="1:2">
      <c r="A52" s="32" t="s">
        <v>168</v>
      </c>
      <c r="B52" s="23" t="s">
        <v>169</v>
      </c>
    </row>
    <row r="53" ht="14.25" spans="1:2">
      <c r="A53" s="32" t="s">
        <v>170</v>
      </c>
      <c r="B53" s="23" t="s">
        <v>171</v>
      </c>
    </row>
    <row r="54" ht="14.25" spans="1:2">
      <c r="A54" s="32" t="s">
        <v>172</v>
      </c>
      <c r="B54" s="23" t="s">
        <v>173</v>
      </c>
    </row>
    <row r="55" ht="28.5" spans="1:2">
      <c r="A55" s="20"/>
      <c r="B55" s="23" t="s">
        <v>174</v>
      </c>
    </row>
    <row r="56" ht="28.5" spans="1:2">
      <c r="A56" s="20"/>
      <c r="B56" s="23" t="s">
        <v>175</v>
      </c>
    </row>
    <row r="57" ht="14.25" spans="1:2">
      <c r="A57" s="32" t="s">
        <v>176</v>
      </c>
      <c r="B57" s="23" t="s">
        <v>177</v>
      </c>
    </row>
    <row r="58" ht="14.25" spans="1:2">
      <c r="A58" s="20"/>
      <c r="B58" s="23" t="s">
        <v>178</v>
      </c>
    </row>
    <row r="59" ht="14.25" spans="1:2">
      <c r="A59" s="20"/>
      <c r="B59" s="23" t="s">
        <v>179</v>
      </c>
    </row>
    <row r="60" ht="14.25" spans="1:2">
      <c r="A60" s="32" t="s">
        <v>180</v>
      </c>
      <c r="B60" s="23" t="s">
        <v>181</v>
      </c>
    </row>
    <row r="61" ht="28.5" spans="1:2">
      <c r="A61" s="20"/>
      <c r="B61" s="23" t="s">
        <v>182</v>
      </c>
    </row>
    <row r="62" ht="14.25" spans="1:2">
      <c r="A62" s="32" t="s">
        <v>183</v>
      </c>
      <c r="B62" s="23" t="s">
        <v>184</v>
      </c>
    </row>
    <row r="63" ht="14.25" spans="1:2">
      <c r="A63" s="33"/>
      <c r="B63" s="23" t="s">
        <v>185</v>
      </c>
    </row>
    <row r="64" spans="2:2">
      <c r="B64" s="34"/>
    </row>
    <row r="65" ht="18" spans="1:2">
      <c r="A65" s="21" t="s">
        <v>186</v>
      </c>
      <c r="B65" s="21"/>
    </row>
    <row r="66" ht="42.75" spans="2:2">
      <c r="B66" s="23" t="s">
        <v>187</v>
      </c>
    </row>
    <row r="68" ht="18" spans="1:2">
      <c r="A68" s="21" t="s">
        <v>188</v>
      </c>
      <c r="B68" s="21"/>
    </row>
    <row r="69" ht="15" spans="1:2">
      <c r="A69" s="35" t="s">
        <v>189</v>
      </c>
      <c r="B69" s="36" t="s">
        <v>190</v>
      </c>
    </row>
    <row r="70" ht="28.5" spans="1:2">
      <c r="A70" s="33"/>
      <c r="B70" s="37" t="s">
        <v>191</v>
      </c>
    </row>
    <row r="71" ht="14.25" spans="1:2">
      <c r="A71" s="33"/>
      <c r="B71" s="38"/>
    </row>
    <row r="72" ht="15" spans="1:2">
      <c r="A72" s="35" t="s">
        <v>189</v>
      </c>
      <c r="B72" s="36" t="s">
        <v>192</v>
      </c>
    </row>
    <row r="73" ht="28.5" spans="1:2">
      <c r="A73" s="33"/>
      <c r="B73" s="37" t="s">
        <v>193</v>
      </c>
    </row>
    <row r="74" ht="14.25" spans="1:2">
      <c r="A74" s="33"/>
      <c r="B74" s="38"/>
    </row>
    <row r="75" ht="15" spans="1:2">
      <c r="A75" s="35" t="s">
        <v>189</v>
      </c>
      <c r="B75" s="39" t="s">
        <v>194</v>
      </c>
    </row>
    <row r="76" ht="42.75" spans="1:2">
      <c r="A76" s="33"/>
      <c r="B76" s="19" t="s">
        <v>195</v>
      </c>
    </row>
    <row r="77" ht="14.25" spans="1:2">
      <c r="A77" s="33"/>
      <c r="B77" s="33"/>
    </row>
    <row r="78" ht="15" spans="1:2">
      <c r="A78" s="35" t="s">
        <v>189</v>
      </c>
      <c r="B78" s="39" t="s">
        <v>196</v>
      </c>
    </row>
    <row r="79" ht="28.5" spans="1:2">
      <c r="A79" s="33"/>
      <c r="B79" s="19" t="s">
        <v>197</v>
      </c>
    </row>
    <row r="80" ht="14.25" spans="1:2">
      <c r="A80" s="33"/>
      <c r="B80" s="33"/>
    </row>
    <row r="81" ht="15" spans="1:2">
      <c r="A81" s="35" t="s">
        <v>189</v>
      </c>
      <c r="B81" s="39" t="s">
        <v>198</v>
      </c>
    </row>
    <row r="82" ht="14.25" spans="1:2">
      <c r="A82" s="33"/>
      <c r="B82" s="40" t="s">
        <v>199</v>
      </c>
    </row>
    <row r="83" ht="14.25" spans="1:2">
      <c r="A83" s="33"/>
      <c r="B83" s="40" t="s">
        <v>200</v>
      </c>
    </row>
    <row r="84" ht="14.25" spans="1:2">
      <c r="A84" s="33"/>
      <c r="B84" s="40" t="s">
        <v>201</v>
      </c>
    </row>
    <row r="85" ht="15" spans="1:2">
      <c r="A85" s="33"/>
      <c r="B85" s="41"/>
    </row>
    <row r="86" ht="15" spans="1:2">
      <c r="A86" s="35" t="s">
        <v>189</v>
      </c>
      <c r="B86" s="39" t="s">
        <v>202</v>
      </c>
    </row>
    <row r="87" ht="42.75" spans="1:2">
      <c r="A87" s="33"/>
      <c r="B87" s="19" t="s">
        <v>203</v>
      </c>
    </row>
    <row r="88" ht="14.25" spans="1:2">
      <c r="A88" s="33"/>
      <c r="B88" s="114" t="s">
        <v>204</v>
      </c>
    </row>
    <row r="89" ht="57" spans="1:2">
      <c r="A89" s="33"/>
      <c r="B89" s="115" t="s">
        <v>205</v>
      </c>
    </row>
    <row r="90" ht="14.25" spans="1:2">
      <c r="A90" s="33"/>
      <c r="B90" s="33"/>
    </row>
    <row r="91" ht="15" spans="1:2">
      <c r="A91" s="35" t="s">
        <v>189</v>
      </c>
      <c r="B91" s="39" t="s">
        <v>206</v>
      </c>
    </row>
    <row r="92" ht="28.5" spans="1:2">
      <c r="A92" s="20"/>
      <c r="B92" s="40" t="s">
        <v>207</v>
      </c>
    </row>
    <row r="94" spans="1:1">
      <c r="A94" s="43" t="s">
        <v>208</v>
      </c>
    </row>
  </sheetData>
  <mergeCells count="6">
    <mergeCell ref="A13:B13"/>
    <mergeCell ref="A24:B24"/>
    <mergeCell ref="A38:B38"/>
    <mergeCell ref="A49:B49"/>
    <mergeCell ref="A65:B65"/>
    <mergeCell ref="A68:B68"/>
  </mergeCells>
  <hyperlinks>
    <hyperlink ref="B9" r:id="rId4" display="Watch Demo Videos of the Pro Version on Vertex42.com"/>
    <hyperlink ref="A2" r:id="rId5" display="https://www.vertex42.com/ExcelTemplates/excel-gantt-chart.html"/>
    <hyperlink ref="B36" r:id="rId6" display="Help improve Excel by voting on a suggestion to fix this problem."/>
  </hyperlinks>
  <pageMargins left="0.5" right="0.5" top="0.25" bottom="0.25" header="0.5" footer="0.5"/>
  <pageSetup paperSize="1" orientation="portrait"/>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9"/>
  <sheetViews>
    <sheetView showGridLines="0" workbookViewId="0">
      <selection activeCell="A1" sqref="A1"/>
    </sheetView>
  </sheetViews>
  <sheetFormatPr defaultColWidth="8.85714285714286" defaultRowHeight="12.75" outlineLevelCol="2"/>
  <cols>
    <col min="1" max="1" width="5.57142857142857" customWidth="1"/>
    <col min="2" max="2" width="82.1428571428571" customWidth="1"/>
  </cols>
  <sheetData>
    <row r="1" ht="30" customHeight="1" spans="1:2">
      <c r="A1" s="3" t="s">
        <v>209</v>
      </c>
      <c r="B1" s="3"/>
    </row>
    <row r="2" ht="15" spans="2:2">
      <c r="B2" s="4"/>
    </row>
    <row r="3" ht="15" spans="1:3">
      <c r="A3" s="5"/>
      <c r="B3" s="6" t="s">
        <v>210</v>
      </c>
      <c r="C3" s="5"/>
    </row>
    <row r="4" ht="14.25" spans="1:3">
      <c r="A4" s="7"/>
      <c r="B4" s="8" t="s">
        <v>105</v>
      </c>
      <c r="C4" s="7"/>
    </row>
    <row r="5" ht="15" spans="1:3">
      <c r="A5" s="7"/>
      <c r="B5" s="9"/>
      <c r="C5" s="7"/>
    </row>
    <row r="6" ht="15.75" spans="1:3">
      <c r="A6" s="7"/>
      <c r="B6" s="10" t="s">
        <v>208</v>
      </c>
      <c r="C6" s="7"/>
    </row>
    <row r="7" ht="15" spans="1:3">
      <c r="A7" s="7"/>
      <c r="B7" s="9"/>
      <c r="C7" s="7"/>
    </row>
    <row r="8" ht="30" spans="1:3">
      <c r="A8" s="7"/>
      <c r="B8" s="9" t="s">
        <v>211</v>
      </c>
      <c r="C8" s="7"/>
    </row>
    <row r="9" ht="15" spans="1:3">
      <c r="A9" s="7"/>
      <c r="B9" s="9"/>
      <c r="C9" s="7"/>
    </row>
    <row r="10" ht="46.5" spans="1:3">
      <c r="A10" s="7"/>
      <c r="B10" s="9" t="s">
        <v>212</v>
      </c>
      <c r="C10" s="7"/>
    </row>
    <row r="11" ht="15" spans="1:3">
      <c r="A11" s="7"/>
      <c r="B11" s="9"/>
      <c r="C11" s="7"/>
    </row>
    <row r="12" ht="45" spans="1:3">
      <c r="A12" s="7"/>
      <c r="B12" s="9" t="s">
        <v>213</v>
      </c>
      <c r="C12" s="7"/>
    </row>
    <row r="13" ht="15" spans="1:3">
      <c r="A13" s="7"/>
      <c r="B13" s="9"/>
      <c r="C13" s="7"/>
    </row>
    <row r="14" ht="60" spans="1:3">
      <c r="A14" s="7"/>
      <c r="B14" s="9" t="s">
        <v>214</v>
      </c>
      <c r="C14" s="7"/>
    </row>
    <row r="15" ht="15" spans="1:3">
      <c r="A15" s="7"/>
      <c r="B15" s="9"/>
      <c r="C15" s="7"/>
    </row>
    <row r="16" ht="30.75" spans="1:3">
      <c r="A16" s="7"/>
      <c r="B16" s="9" t="s">
        <v>215</v>
      </c>
      <c r="C16" s="7"/>
    </row>
    <row r="17" ht="15" spans="1:3">
      <c r="A17" s="7"/>
      <c r="B17" s="9"/>
      <c r="C17" s="7"/>
    </row>
    <row r="18" ht="15.75" spans="1:3">
      <c r="A18" s="7"/>
      <c r="B18" s="10" t="s">
        <v>216</v>
      </c>
      <c r="C18" s="7"/>
    </row>
    <row r="19" ht="15" spans="1:3">
      <c r="A19" s="7"/>
      <c r="B19" s="11" t="s">
        <v>217</v>
      </c>
      <c r="C19" s="7"/>
    </row>
    <row r="20" ht="15" spans="1:3">
      <c r="A20" s="7"/>
      <c r="B20" s="12"/>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sheetData>
  <hyperlinks>
    <hyperlink ref="B4" r:id="rId2" display="https://www.vertex42.com/ExcelTemplates/excel-gantt-chart.html"/>
    <hyperlink ref="B19" r:id="rId3" display="https://www.vertex42.com/licensing/EULA_privateuse.html"/>
  </hyperlink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
  <sheetViews>
    <sheetView workbookViewId="0">
      <selection activeCell="B5" sqref="B5"/>
    </sheetView>
  </sheetViews>
  <sheetFormatPr defaultColWidth="9" defaultRowHeight="12.75" outlineLevelRow="3"/>
  <cols>
    <col min="1" max="1" width="49.7142857142857" customWidth="1"/>
  </cols>
  <sheetData>
    <row r="1" ht="37.5" customHeight="1" spans="1:13">
      <c r="A1" s="1" t="s">
        <v>218</v>
      </c>
      <c r="B1" s="1"/>
      <c r="C1" s="1"/>
      <c r="D1" s="1"/>
      <c r="E1" s="1"/>
      <c r="F1" s="1"/>
      <c r="G1" s="1"/>
      <c r="H1" s="1"/>
      <c r="I1" s="1"/>
      <c r="J1" s="1"/>
      <c r="K1" s="1"/>
      <c r="L1" s="1"/>
      <c r="M1" s="1"/>
    </row>
    <row r="3" spans="1:1">
      <c r="A3" t="s">
        <v>219</v>
      </c>
    </row>
    <row r="4" spans="1:1">
      <c r="A4" s="2"/>
    </row>
  </sheetData>
  <mergeCells count="1">
    <mergeCell ref="A1:M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Vertex42 LLC</Company>
  <Application>Microsoft Excel</Application>
  <HeadingPairs>
    <vt:vector size="2" baseType="variant">
      <vt:variant>
        <vt:lpstr>工作表</vt:lpstr>
      </vt:variant>
      <vt:variant>
        <vt:i4>5</vt:i4>
      </vt:variant>
    </vt:vector>
  </HeadingPairs>
  <TitlesOfParts>
    <vt:vector size="5" baseType="lpstr">
      <vt:lpstr>GanttChart</vt:lpstr>
      <vt:lpstr>GanttChartPro</vt:lpstr>
      <vt:lpstr>Help</vt:lpstr>
      <vt:lpstr>TermsOfUse</vt:lpstr>
      <vt:lpstr>Update Project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D Max</cp:lastModifiedBy>
  <dcterms:created xsi:type="dcterms:W3CDTF">2010-06-09T16:05:00Z</dcterms:created>
  <cp:lastPrinted>2025-11-24T02:54:00Z</cp:lastPrinted>
  <dcterms:modified xsi:type="dcterms:W3CDTF">2026-01-22T01:15:58Z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5E4F88696BF640A487FEBE7E35EB5237_13</vt:lpwstr>
  </property>
  <property fmtid="{D5CDD505-2E9C-101B-9397-08002B2CF9AE}" pid="6" name="KSOProductBuildVer">
    <vt:lpwstr>1033-12.2.0.23196</vt:lpwstr>
  </property>
</Properties>
</file>
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0" yWindow="0" windowWidth="19635" windowHeight="7620"/>
  </bookViews>
  <sheets>
    <sheet name="GanttChart" sheetId="9" r:id="rId1"/>
    <sheet name="GanttChartPro" sheetId="12" state="hidden" r:id="rId2"/>
    <sheet name="Help" sheetId="6" state="hidden" r:id="rId3"/>
    <sheet name="TermsOfUse" sheetId="11" state="hidden" r:id="rId4"/>
    <sheet name="Update Project" sheetId="13" r:id="rId5"/>
    <sheet name="etc" sheetId="14" state="hidden" r:id="rId6"/>
  </sheets>
  <definedNames>
    <definedName name="_xlnm._FilterDatabase" localSheetId="0" hidden="1">GanttChart!$A$7:$I$60</definedName>
    <definedName name="prevWBS" localSheetId="5">etc!$A1048576</definedName>
    <definedName name="prevWBS" localSheetId="0">GanttChart!$A1048576</definedName>
    <definedName name="_xlnm.Print_Area" localSheetId="0">GanttChart!$A$1:$BN$83</definedName>
    <definedName name="_xlnm.Print_Area" localSheetId="1">GanttChartPro!$A$1:$C$47</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1" i="9" l="1"/>
  <c r="F61" i="9" s="1"/>
  <c r="I61" i="9" s="1"/>
  <c r="A61" i="9"/>
  <c r="A17" i="14" l="1"/>
  <c r="A16" i="14"/>
  <c r="A15" i="14"/>
  <c r="A14" i="14"/>
  <c r="A13" i="14"/>
  <c r="F115" i="9"/>
  <c r="F114" i="9"/>
  <c r="I114" i="9" s="1"/>
  <c r="F113" i="9"/>
  <c r="F112" i="9"/>
  <c r="F111" i="9"/>
  <c r="F110" i="9"/>
  <c r="F109" i="9"/>
  <c r="F108" i="9"/>
  <c r="I108" i="9" s="1"/>
  <c r="F107" i="9"/>
  <c r="F106" i="9"/>
  <c r="F105" i="9"/>
  <c r="I105" i="9" s="1"/>
  <c r="F104" i="9"/>
  <c r="I104" i="9" s="1"/>
  <c r="I103" i="9"/>
  <c r="F103" i="9"/>
  <c r="F102" i="9"/>
  <c r="I102" i="9" s="1"/>
  <c r="F101" i="9"/>
  <c r="I101" i="9" s="1"/>
  <c r="F100" i="9"/>
  <c r="I100" i="9" s="1"/>
  <c r="F99" i="9"/>
  <c r="I99" i="9" s="1"/>
  <c r="F98" i="9"/>
  <c r="I98" i="9" s="1"/>
  <c r="F97" i="9"/>
  <c r="I97" i="9" s="1"/>
  <c r="F96" i="9"/>
  <c r="I96" i="9" s="1"/>
  <c r="F95" i="9"/>
  <c r="I95" i="9" s="1"/>
  <c r="F94" i="9"/>
  <c r="I94" i="9" s="1"/>
  <c r="F93" i="9"/>
  <c r="I93" i="9" s="1"/>
  <c r="F92" i="9"/>
  <c r="I92" i="9" s="1"/>
  <c r="F91" i="9"/>
  <c r="I91" i="9" s="1"/>
  <c r="F90" i="9"/>
  <c r="I90" i="9" s="1"/>
  <c r="F89" i="9"/>
  <c r="I89" i="9" s="1"/>
  <c r="F88" i="9"/>
  <c r="I88" i="9" s="1"/>
  <c r="I87" i="9"/>
  <c r="F87" i="9"/>
  <c r="F86" i="9"/>
  <c r="I86" i="9" s="1"/>
  <c r="F85" i="9"/>
  <c r="I85" i="9" s="1"/>
  <c r="F84" i="9"/>
  <c r="I84" i="9" s="1"/>
  <c r="F83" i="9"/>
  <c r="I83" i="9" s="1"/>
  <c r="F82" i="9"/>
  <c r="I82" i="9" s="1"/>
  <c r="F81" i="9"/>
  <c r="I81" i="9" s="1"/>
  <c r="F80" i="9"/>
  <c r="I80" i="9" s="1"/>
  <c r="F79" i="9"/>
  <c r="I79" i="9" s="1"/>
  <c r="F78" i="9"/>
  <c r="I78" i="9" s="1"/>
  <c r="F77" i="9"/>
  <c r="I77" i="9" s="1"/>
  <c r="F76" i="9"/>
  <c r="I76" i="9" s="1"/>
  <c r="A76" i="9"/>
  <c r="A77" i="9" s="1"/>
  <c r="A78" i="9" s="1"/>
  <c r="A79" i="9" s="1"/>
  <c r="A80" i="9" s="1"/>
  <c r="A81" i="9" s="1"/>
  <c r="A82" i="9" s="1"/>
  <c r="A83" i="9" s="1"/>
  <c r="A84" i="9" s="1"/>
  <c r="A85" i="9" s="1"/>
  <c r="A86" i="9" s="1"/>
  <c r="A87" i="9" s="1"/>
  <c r="A88" i="9" s="1"/>
  <c r="A89" i="9" s="1"/>
  <c r="A90" i="9" s="1"/>
  <c r="A91" i="9" s="1"/>
  <c r="A92" i="9" s="1"/>
  <c r="A93" i="9" s="1"/>
  <c r="A94" i="9" s="1"/>
  <c r="A95" i="9" s="1"/>
  <c r="A96" i="9" s="1"/>
  <c r="A97" i="9" s="1"/>
  <c r="A98" i="9" s="1"/>
  <c r="A99" i="9" s="1"/>
  <c r="A100" i="9" s="1"/>
  <c r="A101" i="9" s="1"/>
  <c r="A102" i="9" s="1"/>
  <c r="A103" i="9" s="1"/>
  <c r="A104" i="9" s="1"/>
  <c r="A105" i="9" s="1"/>
  <c r="A106" i="9" s="1"/>
  <c r="A107" i="9" s="1"/>
  <c r="A108" i="9" s="1"/>
  <c r="A109" i="9" s="1"/>
  <c r="A110" i="9" s="1"/>
  <c r="A111" i="9" s="1"/>
  <c r="A112" i="9" s="1"/>
  <c r="A113" i="9" s="1"/>
  <c r="A114" i="9" s="1"/>
  <c r="A115" i="9" s="1"/>
  <c r="E26" i="9"/>
  <c r="F26" i="9" s="1"/>
  <c r="I26" i="9" s="1"/>
  <c r="F23" i="9"/>
  <c r="E27" i="9" s="1"/>
  <c r="F27" i="9" s="1"/>
  <c r="I27" i="9" s="1"/>
  <c r="F22" i="9"/>
  <c r="E24" i="9" s="1"/>
  <c r="F24" i="9" s="1"/>
  <c r="F21" i="9"/>
  <c r="I21" i="9" s="1"/>
  <c r="F20" i="9"/>
  <c r="I20" i="9" s="1"/>
  <c r="F19" i="9"/>
  <c r="I19" i="9" s="1"/>
  <c r="F18" i="9"/>
  <c r="I18" i="9" s="1"/>
  <c r="F17" i="9"/>
  <c r="I17" i="9" s="1"/>
  <c r="F16" i="9"/>
  <c r="I16" i="9" s="1"/>
  <c r="F15" i="9"/>
  <c r="I15" i="9" s="1"/>
  <c r="F14" i="9"/>
  <c r="I14" i="9" s="1"/>
  <c r="F13" i="9"/>
  <c r="I13" i="9" s="1"/>
  <c r="I12" i="9"/>
  <c r="F12" i="9"/>
  <c r="F11" i="9"/>
  <c r="I11" i="9" s="1"/>
  <c r="F10" i="9"/>
  <c r="I10" i="9" s="1"/>
  <c r="F9" i="9"/>
  <c r="I9" i="9" s="1"/>
  <c r="F8" i="9"/>
  <c r="I8" i="9" s="1"/>
  <c r="A8" i="9"/>
  <c r="A9" i="9" s="1"/>
  <c r="A10" i="9" s="1"/>
  <c r="A11" i="9" s="1"/>
  <c r="A12" i="9" s="1"/>
  <c r="A13" i="9" s="1"/>
  <c r="A14" i="9" s="1"/>
  <c r="A15" i="9" s="1"/>
  <c r="A16" i="9" s="1"/>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A44" i="9" s="1"/>
  <c r="A45" i="9" s="1"/>
  <c r="K6" i="9"/>
  <c r="L6" i="9" s="1"/>
  <c r="K4" i="9" l="1"/>
  <c r="K5" i="9"/>
  <c r="A46" i="9"/>
  <c r="A47" i="9" s="1"/>
  <c r="A48" i="9" s="1"/>
  <c r="A49" i="9" s="1"/>
  <c r="A50" i="9" s="1"/>
  <c r="A51" i="9" s="1"/>
  <c r="A52" i="9" s="1"/>
  <c r="A53" i="9" s="1"/>
  <c r="A54" i="9" s="1"/>
  <c r="A55" i="9" s="1"/>
  <c r="A56" i="9" s="1"/>
  <c r="A57" i="9" s="1"/>
  <c r="A58" i="9" s="1"/>
  <c r="A59" i="9" s="1"/>
  <c r="A60" i="9" s="1"/>
  <c r="M6" i="9"/>
  <c r="L7" i="9"/>
  <c r="K7" i="9"/>
  <c r="I22" i="9"/>
  <c r="I23" i="9"/>
  <c r="E28" i="9"/>
  <c r="F28" i="9" s="1"/>
  <c r="E29" i="9"/>
  <c r="F29" i="9" s="1"/>
  <c r="I24" i="9"/>
  <c r="E25" i="9"/>
  <c r="F25" i="9" s="1"/>
  <c r="I25" i="9" s="1"/>
  <c r="M7" i="9" l="1"/>
  <c r="N6" i="9"/>
  <c r="E31" i="9"/>
  <c r="F31" i="9" s="1"/>
  <c r="I31" i="9" s="1"/>
  <c r="I29" i="9"/>
  <c r="E30" i="9"/>
  <c r="F30" i="9" s="1"/>
  <c r="I28" i="9"/>
  <c r="O6" i="9" l="1"/>
  <c r="N7" i="9"/>
  <c r="E32" i="9"/>
  <c r="F32" i="9" s="1"/>
  <c r="I30" i="9"/>
  <c r="P6" i="9" l="1"/>
  <c r="O7" i="9"/>
  <c r="E33" i="9"/>
  <c r="F33" i="9" s="1"/>
  <c r="E34" i="9"/>
  <c r="F34" i="9" s="1"/>
  <c r="I32" i="9"/>
  <c r="Q6" i="9" l="1"/>
  <c r="P7" i="9"/>
  <c r="E36" i="9"/>
  <c r="F36" i="9" s="1"/>
  <c r="I34" i="9"/>
  <c r="E35" i="9"/>
  <c r="F35" i="9" s="1"/>
  <c r="I33" i="9"/>
  <c r="Q7" i="9" l="1"/>
  <c r="R6" i="9"/>
  <c r="E37" i="9"/>
  <c r="F37" i="9" s="1"/>
  <c r="I35" i="9"/>
  <c r="E38" i="9"/>
  <c r="F38" i="9" s="1"/>
  <c r="I36" i="9"/>
  <c r="R5" i="9" l="1"/>
  <c r="R4" i="9"/>
  <c r="S6" i="9"/>
  <c r="R7" i="9"/>
  <c r="E40" i="9"/>
  <c r="F40" i="9" s="1"/>
  <c r="I38" i="9"/>
  <c r="E39" i="9"/>
  <c r="F39" i="9" s="1"/>
  <c r="I37" i="9"/>
  <c r="T6" i="9" l="1"/>
  <c r="S7" i="9"/>
  <c r="E42" i="9"/>
  <c r="F42" i="9" s="1"/>
  <c r="I40" i="9"/>
  <c r="E41" i="9"/>
  <c r="F41" i="9" s="1"/>
  <c r="I39" i="9"/>
  <c r="U6" i="9" l="1"/>
  <c r="T7" i="9"/>
  <c r="E43" i="9"/>
  <c r="F43" i="9" s="1"/>
  <c r="E46" i="9" s="1"/>
  <c r="F46" i="9" s="1"/>
  <c r="I46" i="9" s="1"/>
  <c r="E45" i="9"/>
  <c r="F45" i="9" s="1"/>
  <c r="I45" i="9" s="1"/>
  <c r="I41" i="9"/>
  <c r="E44" i="9"/>
  <c r="F44" i="9" s="1"/>
  <c r="E47" i="9" s="1"/>
  <c r="F47" i="9" s="1"/>
  <c r="I47" i="9" s="1"/>
  <c r="I42" i="9"/>
  <c r="U7" i="9" l="1"/>
  <c r="V6" i="9"/>
  <c r="I44" i="9"/>
  <c r="I43" i="9"/>
  <c r="W6" i="9" l="1"/>
  <c r="V7" i="9"/>
  <c r="E48" i="9"/>
  <c r="F48" i="9" s="1"/>
  <c r="E49" i="9"/>
  <c r="F49" i="9" s="1"/>
  <c r="X6" i="9" l="1"/>
  <c r="W7" i="9"/>
  <c r="E51" i="9"/>
  <c r="F51" i="9" s="1"/>
  <c r="I49" i="9"/>
  <c r="E50" i="9"/>
  <c r="F50" i="9" s="1"/>
  <c r="I48" i="9"/>
  <c r="Y6" i="9" l="1"/>
  <c r="X7" i="9"/>
  <c r="E52" i="9"/>
  <c r="F52" i="9" s="1"/>
  <c r="I50" i="9"/>
  <c r="E53" i="9"/>
  <c r="F53" i="9" s="1"/>
  <c r="I51" i="9"/>
  <c r="Y7" i="9" l="1"/>
  <c r="Y5" i="9"/>
  <c r="Y4" i="9"/>
  <c r="Z6" i="9"/>
  <c r="E55" i="9"/>
  <c r="F55" i="9" s="1"/>
  <c r="I53" i="9"/>
  <c r="E54" i="9"/>
  <c r="F54" i="9" s="1"/>
  <c r="I52" i="9"/>
  <c r="AA6" i="9" l="1"/>
  <c r="Z7" i="9"/>
  <c r="E56" i="9"/>
  <c r="F56" i="9" s="1"/>
  <c r="I54" i="9"/>
  <c r="E57" i="9"/>
  <c r="F57" i="9" s="1"/>
  <c r="I55" i="9"/>
  <c r="AB6" i="9" l="1"/>
  <c r="AA7" i="9"/>
  <c r="I57" i="9"/>
  <c r="E59" i="9"/>
  <c r="F59" i="9" s="1"/>
  <c r="I56" i="9"/>
  <c r="E58" i="9"/>
  <c r="F58" i="9" s="1"/>
  <c r="AC6" i="9" l="1"/>
  <c r="AB7" i="9"/>
  <c r="I58" i="9"/>
  <c r="E60" i="9"/>
  <c r="F60" i="9" s="1"/>
  <c r="I59" i="9"/>
  <c r="E13" i="14"/>
  <c r="F13" i="14" s="1"/>
  <c r="AC7" i="9" l="1"/>
  <c r="AD6" i="9"/>
  <c r="I13" i="14"/>
  <c r="E15" i="14"/>
  <c r="F15" i="14" s="1"/>
  <c r="E14" i="14"/>
  <c r="F14" i="14" s="1"/>
  <c r="I60" i="9"/>
  <c r="AE6" i="9" l="1"/>
  <c r="AD7" i="9"/>
  <c r="E16" i="14"/>
  <c r="F16" i="14" s="1"/>
  <c r="I16" i="14" s="1"/>
  <c r="I14" i="14"/>
  <c r="E17" i="14"/>
  <c r="F17" i="14" s="1"/>
  <c r="I17" i="14" s="1"/>
  <c r="I15" i="14"/>
  <c r="AF6" i="9" l="1"/>
  <c r="AE7" i="9"/>
  <c r="AG6" i="9" l="1"/>
  <c r="AF7" i="9"/>
  <c r="AF4" i="9"/>
  <c r="AF5" i="9"/>
  <c r="AG7" i="9" l="1"/>
  <c r="AH6" i="9"/>
  <c r="AI6" i="9" l="1"/>
  <c r="AH7" i="9"/>
  <c r="AJ6" i="9" l="1"/>
  <c r="AI7" i="9"/>
  <c r="AK6" i="9" l="1"/>
  <c r="AJ7" i="9"/>
  <c r="AK7" i="9" l="1"/>
  <c r="AL6" i="9"/>
  <c r="AM6" i="9" l="1"/>
  <c r="AL7" i="9"/>
  <c r="AN6" i="9" l="1"/>
  <c r="AM7" i="9"/>
  <c r="AM5" i="9"/>
  <c r="AM4" i="9"/>
  <c r="AO6" i="9" l="1"/>
  <c r="AN7" i="9"/>
  <c r="AO7" i="9" l="1"/>
  <c r="AP6" i="9"/>
  <c r="AQ6" i="9" l="1"/>
  <c r="AP7" i="9"/>
  <c r="AR6" i="9" l="1"/>
  <c r="AQ7" i="9"/>
  <c r="AS6" i="9" l="1"/>
  <c r="AR7" i="9"/>
  <c r="AS7" i="9" l="1"/>
  <c r="AT6" i="9"/>
  <c r="AT5" i="9" l="1"/>
  <c r="AT4" i="9"/>
  <c r="AU6" i="9"/>
  <c r="AT7" i="9"/>
  <c r="AV6" i="9" l="1"/>
  <c r="AU7" i="9"/>
  <c r="AW6" i="9" l="1"/>
  <c r="AV7" i="9"/>
  <c r="AW7" i="9" l="1"/>
  <c r="AX6" i="9"/>
  <c r="AY6" i="9" l="1"/>
  <c r="AX7" i="9"/>
  <c r="AZ6" i="9" l="1"/>
  <c r="AY7" i="9"/>
  <c r="BA6" i="9" l="1"/>
  <c r="AZ7" i="9"/>
  <c r="BA7" i="9" l="1"/>
  <c r="BA5" i="9"/>
  <c r="BA4" i="9"/>
  <c r="BB6" i="9"/>
  <c r="BC6" i="9" l="1"/>
  <c r="BB7" i="9"/>
  <c r="BD6" i="9" l="1"/>
  <c r="BC7" i="9"/>
  <c r="BE6" i="9" l="1"/>
  <c r="BD7" i="9"/>
  <c r="BE7" i="9" l="1"/>
  <c r="BF6" i="9"/>
  <c r="BG6" i="9" l="1"/>
  <c r="BF7" i="9"/>
  <c r="BH6" i="9" l="1"/>
  <c r="BG7" i="9"/>
  <c r="BI6" i="9" l="1"/>
  <c r="BH7" i="9"/>
  <c r="BH4" i="9"/>
  <c r="BH5" i="9"/>
  <c r="BI7" i="9" l="1"/>
  <c r="BJ6" i="9"/>
  <c r="BK6" i="9" l="1"/>
  <c r="BJ7" i="9"/>
  <c r="BL6" i="9" l="1"/>
  <c r="BK7" i="9"/>
  <c r="BM6" i="9" l="1"/>
  <c r="BL7" i="9"/>
  <c r="BM7" i="9" l="1"/>
  <c r="BN6" i="9"/>
  <c r="BN7" i="9" s="1"/>
</calcChain>
</file>

<file path=xl/comments1.xml><?xml version="1.0" encoding="utf-8"?>
<comments xmlns="http://schemas.openxmlformats.org/spreadsheetml/2006/main">
  <authors>
    <author>Vertex42</author>
    <author>Vertex42.com Templates</author>
    <author>BC</author>
  </authors>
  <commentList>
    <comment ref="A7" authorId="0">
      <text>
        <r>
          <rPr>
            <b/>
            <sz val="9"/>
            <rFont val="Tahoma"/>
            <charset val="134"/>
          </rPr>
          <t>Work Breakdown Structure</t>
        </r>
        <r>
          <rPr>
            <sz val="9"/>
            <rFont val="Tahoma"/>
            <charset val="134"/>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text>
        <r>
          <rPr>
            <b/>
            <sz val="9"/>
            <rFont val="Tahoma"/>
            <charset val="134"/>
          </rPr>
          <t>Task Description</t>
        </r>
        <r>
          <rPr>
            <sz val="9"/>
            <rFont val="Tahoma"/>
            <charset val="134"/>
          </rPr>
          <t xml:space="preserve">
Enter the name of each task and sub-task. Use indents for sub-tasks.</t>
        </r>
      </text>
    </comment>
    <comment ref="C7" authorId="0">
      <text>
        <r>
          <rPr>
            <b/>
            <sz val="9"/>
            <rFont val="Tahoma"/>
            <charset val="134"/>
          </rPr>
          <t>Task Lead</t>
        </r>
        <r>
          <rPr>
            <sz val="9"/>
            <rFont val="Tahoma"/>
            <charset val="134"/>
          </rPr>
          <t xml:space="preserve">
Enter the name of the Task Lead in this column.</t>
        </r>
      </text>
    </comment>
    <comment ref="D7" authorId="0">
      <text/>
    </comment>
    <comment ref="E7" authorId="0">
      <text>
        <r>
          <rPr>
            <b/>
            <sz val="9"/>
            <rFont val="Tahoma"/>
            <charset val="134"/>
          </rPr>
          <t>Task Start Date</t>
        </r>
        <r>
          <rPr>
            <sz val="9"/>
            <rFont val="Tahoma"/>
            <charset val="134"/>
          </rPr>
          <t xml:space="preserve">
You can manually enter the Start Date for each task or use a formula to create a dependency on a Predecessor. For example, you could enter </t>
        </r>
        <r>
          <rPr>
            <b/>
            <sz val="9"/>
            <rFont val="Tahoma"/>
            <charset val="134"/>
          </rPr>
          <t>=</t>
        </r>
        <r>
          <rPr>
            <b/>
            <i/>
            <sz val="9"/>
            <rFont val="Tahoma"/>
            <charset val="134"/>
          </rPr>
          <t>enddate</t>
        </r>
        <r>
          <rPr>
            <b/>
            <sz val="9"/>
            <rFont val="Tahoma"/>
            <charset val="134"/>
          </rPr>
          <t>+1</t>
        </r>
        <r>
          <rPr>
            <sz val="9"/>
            <rFont val="Tahoma"/>
            <charset val="134"/>
          </rPr>
          <t xml:space="preserve"> to set the Start date to the next calendar day, or </t>
        </r>
        <r>
          <rPr>
            <b/>
            <sz val="9"/>
            <rFont val="Tahoma"/>
            <charset val="134"/>
          </rPr>
          <t>=WORKDAY(</t>
        </r>
        <r>
          <rPr>
            <b/>
            <i/>
            <sz val="9"/>
            <rFont val="Tahoma"/>
            <charset val="134"/>
          </rPr>
          <t>enddate</t>
        </r>
        <r>
          <rPr>
            <b/>
            <sz val="9"/>
            <rFont val="Tahoma"/>
            <charset val="134"/>
          </rPr>
          <t>,1)</t>
        </r>
        <r>
          <rPr>
            <sz val="9"/>
            <rFont val="Tahoma"/>
            <charset val="134"/>
          </rPr>
          <t xml:space="preserve"> to set the Start date to the next work day (excluding weekends), where </t>
        </r>
        <r>
          <rPr>
            <i/>
            <sz val="9"/>
            <rFont val="Tahoma"/>
            <charset val="134"/>
          </rPr>
          <t>enddate</t>
        </r>
        <r>
          <rPr>
            <sz val="9"/>
            <rFont val="Tahoma"/>
            <charset val="134"/>
          </rPr>
          <t xml:space="preserve"> is the cell reference for the End date of the Predecessor task.</t>
        </r>
      </text>
    </comment>
    <comment ref="F7" authorId="1">
      <text>
        <r>
          <rPr>
            <b/>
            <sz val="9"/>
            <rFont val="Tahoma"/>
            <charset val="134"/>
          </rPr>
          <t>End Date:</t>
        </r>
        <r>
          <rPr>
            <sz val="9"/>
            <rFont val="Tahoma"/>
            <charset val="134"/>
          </rPr>
          <t xml:space="preserve">
The End Date is calculated based on the Start Date and the Calendar Days columns.</t>
        </r>
      </text>
    </comment>
    <comment ref="G7" authorId="0">
      <text>
        <r>
          <rPr>
            <b/>
            <sz val="9"/>
            <rFont val="Tahoma"/>
            <charset val="134"/>
          </rPr>
          <t>Duration (Calendar Days)</t>
        </r>
        <r>
          <rPr>
            <sz val="9"/>
            <rFont val="Tahoma"/>
            <charset val="134"/>
          </rPr>
          <t xml:space="preserve">
The duration is the number of calendar days for the given task. The duration is calculated as the </t>
        </r>
        <r>
          <rPr>
            <b/>
            <sz val="9"/>
            <rFont val="Tahoma"/>
            <charset val="134"/>
          </rPr>
          <t>End</t>
        </r>
        <r>
          <rPr>
            <sz val="9"/>
            <rFont val="Tahoma"/>
            <charset val="134"/>
          </rPr>
          <t xml:space="preserve"> Date minus the </t>
        </r>
        <r>
          <rPr>
            <b/>
            <sz val="9"/>
            <rFont val="Tahoma"/>
            <charset val="134"/>
          </rPr>
          <t>Start</t>
        </r>
        <r>
          <rPr>
            <sz val="9"/>
            <rFont val="Tahoma"/>
            <charset val="134"/>
          </rPr>
          <t xml:space="preserve"> Date plus 1 day, so that a task starting and ending on the same day has a duration of 1 day.
</t>
        </r>
        <r>
          <rPr>
            <b/>
            <sz val="9"/>
            <rFont val="Tahoma"/>
            <charset val="134"/>
          </rPr>
          <t>Note:</t>
        </r>
        <r>
          <rPr>
            <sz val="9"/>
            <rFont val="Tahoma"/>
            <charset val="134"/>
          </rPr>
          <t xml:space="preserve"> The conditional formatting used to create the gantt chart references this column.</t>
        </r>
      </text>
    </comment>
    <comment ref="H7" authorId="0">
      <text>
        <r>
          <rPr>
            <b/>
            <sz val="9"/>
            <rFont val="Tahoma"/>
            <charset val="134"/>
          </rPr>
          <t>Percent Complete</t>
        </r>
        <r>
          <rPr>
            <sz val="9"/>
            <rFont val="Tahoma"/>
            <charset val="134"/>
          </rPr>
          <t xml:space="preserve">
Update the status of this task by entering the percent complete (between 0% and 100%).</t>
        </r>
      </text>
    </comment>
    <comment ref="I7" authorId="0">
      <text>
        <r>
          <rPr>
            <b/>
            <sz val="9"/>
            <rFont val="Tahoma"/>
            <charset val="134"/>
          </rPr>
          <t>Work Days</t>
        </r>
        <r>
          <rPr>
            <sz val="9"/>
            <rFont val="Tahoma"/>
            <charset val="134"/>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 ref="B23" authorId="2">
      <text>
        <r>
          <rPr>
            <b/>
            <sz val="9"/>
            <rFont val="Tahoma"/>
            <charset val="134"/>
          </rPr>
          <t xml:space="preserve">BC: </t>
        </r>
        <r>
          <rPr>
            <sz val="9"/>
            <rFont val="Tahoma"/>
            <charset val="134"/>
          </rPr>
          <t xml:space="preserve">
https://my430621-api.s4hana.cloud.sap/sap/opu/odata/sap/API_PRODUCT_SRV//A_Product --&gt; tabel pz_material
https://my430621-api.s4hana.cloud.sap/sap/opu/odata/sap/API_PRODUCT_SRV/A_ProductDescription --&gt; tabel pz_material_description
https://my430621-api.s4hana.cloud.sap/sap/opu/odata/sap/API_PRODUCT_SRV/A_ProductPlant --&gt; tabel pz_material_plant
</t>
        </r>
      </text>
    </comment>
    <comment ref="B24" authorId="2">
      <text>
        <r>
          <rPr>
            <sz val="9"/>
            <rFont val="Tahoma"/>
            <charset val="1"/>
          </rPr>
          <t xml:space="preserve">$url = "https://my430621-api.s4hana.cloud.sap/sap/opu/odata4/sap/api_warehouse_order_task_2/srvd_a2x/sap/warehouseorder/0001/WarehouseTask";
$username = "LEUWITEX_US_SAP_COM_0353";
$password = "Leuwitexsapcloud@2025";
CREATE TABLE warehouse_task (
    EWMWarehouse VARCHAR(20),
    WarehouseTask BIGINT,
    WarehouseTaskItem INT,
    WarehouseOrder BIGINT,
    WhseTaskCrtnUTCDateTime TIMESTAMP,
    WhseTaskLastChgUTCDateTime TIMESTAMP,
    WhseTaskConfUTCDateTime TIMESTAMP,
    ConfirmedByUser VARCHAR(50),
    WhseTaskPlannedClosingDateTime TIMESTAMP,
    WhseTaskGoodsReceiptDateTime TIMESTAMP,
    WarehouseTaskStatus CHAR(1),
    WarehouseProcessType VARCHAR(10),
    WarehouseProcessCategory INT,
    IsHandlingUnitWarehouseTask BOOLEAN,
    EWMHandlingUnitType VARCHAR(50),
    HomogeneousFullPalletPick VARCHAR(50),
    Product VARCHAR(50),
    Batch VARCHAR(20),
    BatchChangeIsNotAllowed BOOLEAN,
    CountryOfOrigin VARCHAR(50),
    ShelfLifeExpirationDate DATE,
    EWMStockType CHAR(1),
    EWMStockUsage VARCHAR(50),
    EWMStockOwner BIGINT,
    EntitledToDisposeParty BIGINT,
    WBSElementInternalID INT,
    WBSElementExternalID VARCHAR(50),
    SpecialStockIdfgSalesOrder VARCHAR(50),
    SpecialStockIdfgSalesOrderItem INT,
    ExecutingResource VARCHAR(50),
    WarehouseMovementsReason VARCHAR(50),
    ProductionOrder VARCHAR(50),
    EWMProductionSupplyArea VARCHAR(50),
    EWMDocumentCategory VARCHAR(10),
    EWMReferenceDocumentCategory VARCHAR(10),
    PDO VARCHAR(10),
    EWMWave INT,
    EWMWaveItem INT,
    EWMDelivery BIGINT,
    EWMDeliveryItem INT,
    PurchasingDocument BIGINT,
    PurchasingDocumentItem INT,
    SalesDocument VARCHAR(50),
    SalesDocumentItem INT,
    BaseUnit VARCHAR(10),
    EWMBaseUnitISOCode VARCHAR(10),
    AlternativeUnit VARCHAR(10),
    EWMAlternativeUnitISOCode VARCHAR(10),
    TargetQuantityInBaseUnit NUMERIC,
    TargetQuantityInAltvUnit NUMERIC,
    ActualQuantityInBaseUnit NUMERIC,
    ActualQuantityInAltvUnit NUMERIC,
    DifferenceQuantityInBaseUnit NUMERIC,
    DifferenceQuantityInAltvUnit NUMERIC,
    WhseTaskNetWeightUnitOfMeasure VARCHAR(10),
    WhseTaskNetWeight NUMERIC,
    WhseTaskNetVolumeUnitOfMeasure VARCHAR(10),
    WhseTaskNetVolume NUMERIC,
    SourceStorageType VARCHAR(10),
    SourceStorageSection VARCHAR(10),
    SourceStorageBin VARCHAR(20),
    SourceResource VARCHAR(50),
    DestinationStorageType VARCHAR(10),
    DestinationStorageSection VARCHAR(10),
    DestinationStorageBin VARCHAR(20),
    DestinationResource VARCHAR(50),
    ActivityArea VARCHAR(10),
    SourceHandlingUnit VARCHAR(50),
    DestinationHandlingUnit VARCHAR(50),
    WarehouseTaskExceptionCode VARCHAR(10),
    WhseTaskSortingSequenceValue INT,
    WarehouseOrderSequenceValue INT,
    WarehouseOrderActivityArea VARCHAR(10),
    WarehouseOrderCreationRule VARCHAR(10),
    WarehouseOrderQueue VARCHAR(50),
    WarehouseActivityType VARCHAR(10),
    EWMConsolidationGroup BIGINT,
    EWMWarehouseTaskPriority INT,
    CreatedByUser VARCHAR(50),
    EWMRoute VARCHAR(50),
    EWMWaveCategory VARCHAR(50),
    EWMCanceledWarehouseTask INT,
    SerialNumberRequiredLevel VARCHAR(10)
);
</t>
        </r>
      </text>
    </comment>
    <comment ref="B25" authorId="2">
      <text>
        <r>
          <rPr>
            <b/>
            <sz val="9"/>
            <rFont val="Tahoma"/>
            <charset val="1"/>
          </rPr>
          <t>BC:</t>
        </r>
        <r>
          <rPr>
            <sz val="9"/>
            <rFont val="Tahoma"/>
            <charset val="1"/>
          </rPr>
          <t xml:space="preserve">
https://my430621-api.s4hana.cloud.sap/sap/opu/odata4/sap/api_fixedasset/srvd_a2x/sap/fixedasset/0001/FixedAsset
Username :
LEUWITEX_US_SAP_COM_0A93
Password : Leuwitexsapcloud@2025"
tabel : pz_fixed_asset 
https://my430621-api.s4hana.cloud.sap/sap/opu/odata4/sap/api_fixedasset/srvd_a2x/sap/fixedasset/0001/FixedAssetLedger
Username :
LEUWITEX_US_SAP_COM_0A93
Password : Leuwitexsapcloud@2025"
tabel : pz_fixed_asset_ledger </t>
        </r>
      </text>
    </comment>
    <comment ref="B26" authorId="2">
      <text>
        <r>
          <rPr>
            <b/>
            <sz val="9"/>
            <rFont val="Tahoma"/>
            <charset val="1"/>
          </rPr>
          <t>BC:</t>
        </r>
        <r>
          <rPr>
            <sz val="9"/>
            <rFont val="Tahoma"/>
            <charset val="1"/>
          </rPr>
          <t xml:space="preserve">
https://my430621-api.s4hana.cloud.sap/sap/opu/odata/sap/API_BILLING_DOCUMENT_SRV/A_BillingDocument 
Comm User  : LEUWITEX_US_SAP_COM_0120
password user comm: Leuwitexsapcloud@2025
tabel : pz_billing_document
https://my430621-api.s4hana.cloud.sap/sap/opu/odata4/sap/api_billingdocument/srvd_a2x/sap/billingdocument/0001/BillingDocumentItem 
Comm User  : LEUWITEX_US_SAP_COM_0120
password user comm: Leuwitexsapcloud@2025
tabel : pz_billing_document_item
https://my430621-api.s4hana.cloud.sap/sap/opu/odata/sap/API_SALES_ORDER_SRV/A_SalesOrder 
Comm User  : LEUWITEX_US_SAP_COM_0109
password user comm: Leuwitexsapcloud@2025
tabel : pz_sales_order</t>
        </r>
      </text>
    </comment>
    <comment ref="B27" authorId="2">
      <text>
        <r>
          <rPr>
            <b/>
            <sz val="9"/>
            <rFont val="Tahoma"/>
            <charset val="134"/>
          </rPr>
          <t xml:space="preserve">https://my430621-api.s4hana.cloud.sap/sap/opu/odata/sap/API_BUSINESS_PARTNER/A_Supplier
Username :  
LEUWITEX_US_SAP_COM_0008 SupplierFullName Bechtle AG Kriek street
Password : \W+M)hw&amp;kj]WHnSJ&gt;UmhdB(f56N&gt;\Zk9caxMY=5L 
CREATE TABLE pz_supplier (
    supplier            VARCHAR(20) PRIMARY KEY,
    supplier_full_name  VARCHAR(100),
    created_at          TIMESTAMP DEFAULT CURRENT_TIMESTAMP,
    updated_at          TIMESTAMP DEFAULT CURRENT_TIMESTAMP
);
https://my430621-api.s4hana.cloud.sap/sap/opu/odata/sap/API_BUSINESS_PARTNER/A_AddressEmailAddress 
Username :
LEUWITEX_US_SAP_COM_0008  
Password : \W+M)hw&amp;kj]WHnSJ&gt;UmhdB(f56N&gt;\Zk9caxMY=5L 
CREATE TABLE pz_address_email_address (
    email_address       VARCHAR(100) NOT NULL,
    person              VARCHAR(50),
    address_id          VARCHAR(50),
    created_at          TIMESTAMP DEFAULT CURRENT_TIMESTAMP,
    updated_at          TIMESTAMP DEFAULT CURRENT_TIMESTAMP,
    PRIMARY KEY (email_address)
);
https://my430621-api.s4hana.cloud.sap/sap/opu/odata/sap/API_BUSINESS_PARTNER/A_BusinessPartnerAddress
Username :
LEUWITEX_US_SAP_COM_0008
Password : \W+M)hw&amp;kj]WHnSJ&gt;UmhdB(f56N&gt;\Zk9caxMY=5L
CREATE TABLE pz_business_partner_address (
    country             VARCHAR(50),
    postal_code         VARCHAR(20),
    region              VARCHAR(100),
    district            VARCHAR(100),
    business_partner    VARCHAR(20),
    address_id          VARCHAR(50),
    created_at          TIMESTAMP DEFAULT CURRENT_TIMESTAMP,
    updated_at          TIMESTAMP DEFAULT CURRENT_TIMESTAMP
);
https://my430621-api.s4hana.cloud.sap/sap/opu/odata/sap/API_BUSINESS_PARTNER/A_AddressHomePageURL 
Username :  
LEUWITEX_US_SAP_COM_0008  
Password : \W+M)hw&amp;kj]WHnSJ&gt;UmhdB(f56N&gt;\Zk9caxMY=5L  
CREATE TABLE pz_address_home_page_url (
    website_url     VARCHAR(200) NOT NULL,
    address_id      VARCHAR(50),
    -- Audit columns
    created_at      TIMESTAMP DEFAULT CURRENT_TIMESTAMP,
    updated_at      TIMESTAMP DEFAULT CURRENT_TIMESTAMP,
    PRIMARY KEY (website_url)
);
https://my430621-api.s4hana.cloud.sap/sap/opu/odata/sap/API_BUSINESS_PARTNER/A_AddressPhoneNumber 
Username :  
LEUWITEX_US_SAP_COM_0008  
Password : \W+M)hw&amp;kj]WHnSJ&gt;UmhdB(f56N&gt;\Zk9caxMY=5L 
CREATE TABLE pz_address_phone_number (
    phone_number    VARCHAR(50) NOT NULL,
    address_id      VARCHAR(50),
    created_at      TIMESTAMP DEFAULT CURRENT_TIMESTAMP,
    updated_at      TIMESTAMP DEFAULT CURRENT_TIMESTAMP
);
https://my430621-api.s4hana.cloud.sap/sap/opu/odata/sap/API_BUSINESS_PARTNER/A_BuPaIdentification 
Username :  
LEUWITEX_US_SAP_COM_0008  
Password : \W+M)hw&amp;kj]WHnSJ&gt;UmhdB(f56N&gt;\Zk9caxMY=5L  
CREATE TABLE pz_bu_pa_identification (
    npwp_vendor        VARCHAR(30) NOT NULL,
    business_partner   VARCHAR(20),
    created_at         TIMESTAMP DEFAULT CURRENT_TIMESTAMP,
    updated_at         TIMESTAMP DEFAULT CURRENT_TIMESTAMP
);
https://my430621-api.s4hana.cloud.sap/sap/opu/odata/sap/API_BUSINESS_PARTNER/A_AddressFaxNumber 
Username :  
LEUWITEX_US_SAP_COM_0008  
Password : \W+M)hw&amp;kj]WHnSJ&gt;UmhdB(f56N&gt;\Zk9caxMY=5L 
CREATE TABLE pz_bu_address_fax_number (
    fax_number       VARCHAR(50) NOT NULL,
    address_id       VARCHAR(50),
    created_at       TIMESTAMP DEFAULT CURRENT_TIMESTAMP,
    updated_at       TIMESTAMP DEFAULT CURRENT_TIMESTAMP
);
</t>
        </r>
      </text>
    </comment>
    <comment ref="B28" authorId="2">
      <text>
        <r>
          <rPr>
            <sz val="9"/>
            <rFont val="Tahoma"/>
            <charset val="1"/>
          </rPr>
          <t xml:space="preserve">https://my430621-api.s4hana.cloud.sap/sap/opu/odata/sap/API_BUSINESS_PARTNER/A_BusinessPartnerAddress
UserName : LEUWITEX_US_SAP_COM_0008
Password : \W+M)hw&amp;kj]WHnSJ&gt;UmhdB(f56N&gt;\Zk9caxMY=5L
tabel : pz_business_partner_address
https://my430621-api.s4hana.cloud.sap/sap/opu/odata/sap/API_BUSINESS_PARTNER/A_Customer
UserName : LEUWITEX_US_SAP_COM_0008
Password : \W+M)hw&amp;kj]WHnSJ&gt;UmhdB(f56N&gt;\Zk9caxMY=5L
tabel : pz_customer
https://my430621-api.s4hana.cloud.sap/sap/opu/odata/sap/API_BUSINESS_PARTNER/A_Customer('9200000010')/to_CustomerSalesArea
UserName : LEUWITEX_US_SAP_COM_0008
Password : \W+M)hw&amp;kj]WHnSJ&gt;UmhdB(f56N&gt;\Zk9caxMY=5L
tabel : pz_customer_sales_area 
https://my430621-api.s4hana.cloud.sap/sap/opu/odata/sap/API_BUSINESS_PARTNER/A_BusinessPartnerTaxNumber 
UserName : LEUWITEX_US_SAP_COM_0008
Password : \W+M)hw&amp;kj]WHnSJ&gt;UmhdB(f56N&gt;\Zk9caxMY=5L
tabel : pz_business_partner_tax_number 
https://my430621-api.s4hana.cloud.sap/sap/opu/odata/sap/API_BUSINESS_PARTNER/A_CustSalesPartnerFunc
UserName : LEUWITEX_US_SAP_COM_0008
Password : \W+M)hw&amp;kj]WHnSJ&gt;UmhdB(f56N&gt;\Zk9caxMY=5L
tabel : pz_cust_sales_partner_func </t>
        </r>
      </text>
    </comment>
    <comment ref="B29" authorId="2">
      <text>
        <r>
          <rPr>
            <b/>
            <sz val="9"/>
            <rFont val="Tahoma"/>
            <charset val="1"/>
          </rPr>
          <t>BC:</t>
        </r>
        <r>
          <rPr>
            <sz val="9"/>
            <rFont val="Tahoma"/>
            <charset val="1"/>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 ref="B30" authorId="2">
      <text>
        <r>
          <rPr>
            <sz val="9"/>
            <rFont val="Tahoma"/>
            <charset val="1"/>
          </rPr>
          <t xml:space="preserve">https://my430621-api.s4hana.cloud.sap/sap/opu/odata/sap/API_MATERIAL_DOCUMENT_SRV/A_MaterialDocumentHeader
Username :
LEUWITEX_US_SAP_COM_0108
Password : Leuwitexsapcloud@2025
table pz_material_document_header 
https://my430621-api.s4hana.cloud.sap/sap/opu/odata/sap/API_MATERIAL_DOCUMENT_SRV//A_MaterialDocumentItem
Username : LEUWITEX_US_SAP_COM_0108
Password : Leuwitexsapcloud@2025
table pz_material_document_item </t>
        </r>
      </text>
    </comment>
    <comment ref="B31" authorId="2">
      <text>
        <r>
          <rPr>
            <b/>
            <sz val="9"/>
            <rFont val="Tahoma"/>
            <charset val="1"/>
          </rPr>
          <t>BC:</t>
        </r>
        <r>
          <rPr>
            <sz val="9"/>
            <rFont val="Tahoma"/>
            <charset val="1"/>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 ref="B32" authorId="2">
      <text>
        <r>
          <rPr>
            <b/>
            <sz val="9"/>
            <rFont val="Tahoma"/>
            <charset val="1"/>
          </rPr>
          <t>BC:</t>
        </r>
        <r>
          <rPr>
            <sz val="9"/>
            <rFont val="Tahoma"/>
            <charset val="1"/>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 ref="B45" authorId="2">
      <text>
        <r>
          <rPr>
            <b/>
            <sz val="9"/>
            <rFont val="Tahoma"/>
            <charset val="1"/>
          </rPr>
          <t>BC:</t>
        </r>
        <r>
          <rPr>
            <sz val="9"/>
            <rFont val="Tahoma"/>
            <charset val="1"/>
          </rPr>
          <t xml:space="preserve">
$url = "https://my430621-api.s4hana.cloud.sap/sap/opu/odata/sap/API_MATERIAL_STOCK_SRV/A_MatlStkInAcctMod";
$username = "LEUWITEX_US_SAP_COM_0947";
$password = "qyUUYn%4be7bl&gt;m(VT/9nuW#3/342j~W9{C/88jL";
CREATE TABLE pz_material_stock (
    id SERIAL PRIMARY KEY, -- optional, untuk unique identifier
    material VARCHAR(100) NOT NULL,
    plant VARCHAR(10) NOT NULL,
    storage_location VARCHAR(20),
    batch VARCHAR(50),
    inventory_stock_type VARCHAR(5),
    base_unit VARCHAR(10),
    warehouse_stock_qty NUMERIC(18,3) DEFAULT 0
);</t>
        </r>
      </text>
    </comment>
  </commentList>
</comments>
</file>

<file path=xl/comments2.xml><?xml version="1.0" encoding="utf-8"?>
<comments xmlns="http://schemas.openxmlformats.org/spreadsheetml/2006/main">
  <authors>
    <author>Vertex42</author>
  </authors>
  <commentList>
    <comment ref="C16" authorId="0">
      <text>
        <r>
          <rPr>
            <sz val="8"/>
            <rFont val="Tahoma"/>
            <charset val="134"/>
          </rPr>
          <t>This is an example comment.</t>
        </r>
      </text>
    </comment>
  </commentList>
</comments>
</file>

<file path=xl/sharedStrings.xml><?xml version="1.0" encoding="utf-8"?>
<sst xmlns="http://schemas.openxmlformats.org/spreadsheetml/2006/main" count="343" uniqueCount="242">
  <si>
    <t xml:space="preserve">Project Start Date </t>
  </si>
  <si>
    <t xml:space="preserve">Display Week </t>
  </si>
  <si>
    <t xml:space="preserve">Project Lead </t>
  </si>
  <si>
    <t>Billy</t>
  </si>
  <si>
    <t>WBS</t>
  </si>
  <si>
    <t>TASK</t>
  </si>
  <si>
    <t>PIC</t>
  </si>
  <si>
    <t>NOTES</t>
  </si>
  <si>
    <t>START</t>
  </si>
  <si>
    <t>END</t>
  </si>
  <si>
    <t>DAYS</t>
  </si>
  <si>
    <t>% DONE</t>
  </si>
  <si>
    <t>WORK DAYS</t>
  </si>
  <si>
    <t>SAP API development</t>
  </si>
  <si>
    <t>INSTALL ECLIPSE, ADOBE LIFECYCLE DI PC</t>
  </si>
  <si>
    <t>Baim, Budi</t>
  </si>
  <si>
    <t>BELAJAR KE SOLTIUS TENTANG SAP</t>
  </si>
  <si>
    <t>INTEGRASI API SAP KE PRINT BARCODE INTERNAL</t>
  </si>
  <si>
    <t>MAPPING IT INVENTORY</t>
  </si>
  <si>
    <t>Baim</t>
  </si>
  <si>
    <t>BELAJAR MENDAFTARKAN API SAP</t>
  </si>
  <si>
    <t>MAPPING TABEL TAMBAHAN BEA CUKAI</t>
  </si>
  <si>
    <t>SIT</t>
  </si>
  <si>
    <t>INTEGRASI API SAP UNTUK BEA CUKAI</t>
  </si>
  <si>
    <t>Baim, Budi, Jali, Star</t>
  </si>
  <si>
    <t>BELAJAR MENGEDIT FORM SAP</t>
  </si>
  <si>
    <t>KUT SAP BAGIAN MASTER DATA MM</t>
  </si>
  <si>
    <t>KUT SAP BAGIAN MASTER DATA SD dan FICO</t>
  </si>
  <si>
    <t>Budi</t>
  </si>
  <si>
    <t>Modifikasi Form Invoice (Barang Bekas, Avfal, BS, Maklon, Masker)</t>
  </si>
  <si>
    <t>Modifikasi Form Surat Jalan (Barang Bekas, Avfal, BS, Maklon, Masker)</t>
  </si>
  <si>
    <t>Buat UI penarikan data dari API dan insert data Delivery</t>
  </si>
  <si>
    <t>Buat UI penarikan data dari API dan insert data Material</t>
  </si>
  <si>
    <t>Buat UI penarikan data dari API dan insert data Warehouse</t>
  </si>
  <si>
    <t>Buat UI penarikan data dari API dan insert data Asset</t>
  </si>
  <si>
    <t>Buat UI penarikan data dari API dan insert data Invoice</t>
  </si>
  <si>
    <t>Buat UI penarikan data dari API dan insert data Supplier</t>
  </si>
  <si>
    <t>Buat UI penarikan data dari API dan insert data Master Customer</t>
  </si>
  <si>
    <t>Buat UI penarikan data dari API dan insert data PO</t>
  </si>
  <si>
    <t>Buat UI penarikan data dari API dan insert data Material Document</t>
  </si>
  <si>
    <t>Buat UI penarikan data dari API dan insert data BOM</t>
  </si>
  <si>
    <t>UAT</t>
  </si>
  <si>
    <t>BBK INTERN</t>
  </si>
  <si>
    <t>LAPORAN SURAT JALAN (P)</t>
  </si>
  <si>
    <t>DETAIL LIST KARTON PER RAK</t>
  </si>
  <si>
    <t>LAPORAN GUDANG PACKING LEAD TIME</t>
  </si>
  <si>
    <t>MOVING HISTORY PER LIST KARTON</t>
  </si>
  <si>
    <t>DASHBOARD LAYOUT PER BIN</t>
  </si>
  <si>
    <t>LAPORAN SURAT JALAN SLOC</t>
  </si>
  <si>
    <t>LIST KARTON PER KODE ORDER</t>
  </si>
  <si>
    <t>LIST STK INTERN DAN EXTERN</t>
  </si>
  <si>
    <t>Jali</t>
  </si>
  <si>
    <t>MONITORING KAIN GREY</t>
  </si>
  <si>
    <t>LAPORAN PERSEDIAAN GUDANG PACKING</t>
  </si>
  <si>
    <t>Star</t>
  </si>
  <si>
    <t>STOCK PER BARCODE</t>
  </si>
  <si>
    <t>Buat UI penarikan data dari API dan insert data Reservasi</t>
  </si>
  <si>
    <t>REPORT COSTING ?</t>
  </si>
  <si>
    <t>REPORT PEMARTAIAN</t>
  </si>
  <si>
    <t>REPORT RESERVASI</t>
  </si>
  <si>
    <t>REPORT RESUME KODE PARTAI</t>
  </si>
  <si>
    <t>STK BLANK GD. PACKING</t>
  </si>
  <si>
    <t>STOCK BALANCE KAIN GREY</t>
  </si>
  <si>
    <t>STOCK GREY LEAD TIME PER GRADE</t>
  </si>
  <si>
    <t>STOCK KAIN GREY (GRADE)</t>
  </si>
  <si>
    <t>STOCK KAIN GREY (LW 22)</t>
  </si>
  <si>
    <t>STOCK KAIN PASIF (ALL AREA)</t>
  </si>
  <si>
    <t>STOCK LEADTIME</t>
  </si>
  <si>
    <t>MOVING HISTORY PER LIST BARCODE</t>
  </si>
  <si>
    <t>MOVING HISTORY - GUDANG GREY</t>
  </si>
  <si>
    <t>Report</t>
  </si>
  <si>
    <t>REPORT - WM - MOVING HISTORY - GUDANG GREY</t>
  </si>
  <si>
    <t>Billy, Baim</t>
  </si>
  <si>
    <t>REPORT - WM - STOCK PER BARCODE</t>
  </si>
  <si>
    <t>REPORT - WM - LAPORAN PERSEDIAAN GUDANG PACKING</t>
  </si>
  <si>
    <t>REPORT - WM - LAPORAN GUDANG PACKING LEAD TIME</t>
  </si>
  <si>
    <t>REPORT - WM - LIST KARTON PER KODE ORDER</t>
  </si>
  <si>
    <t>REPORT - WM - MOVING HISTORY PER BARCODE</t>
  </si>
  <si>
    <t>REPORT - WM - MOVING HISTORY PER LIST KARTON</t>
  </si>
  <si>
    <t>REPORT - MM - STOCK KAIN GREY (GRADE)</t>
  </si>
  <si>
    <t>Billy, Budi</t>
  </si>
  <si>
    <t>REPORT - MM - STOCK LEADTIME</t>
  </si>
  <si>
    <t>REPORT - MM - STOCK GREY LEAD TIME PER GRADE</t>
  </si>
  <si>
    <t>REPORT - MM - STOCK BALANCE KAIN GREY</t>
  </si>
  <si>
    <t>REPORT - MM - STOCK KAIN PASIF (ALL AREA)</t>
  </si>
  <si>
    <t>REPORT - MM - STOCK KAIN GREY (LW 22)</t>
  </si>
  <si>
    <t>REPORT - MM - REPORT RESERVASI</t>
  </si>
  <si>
    <t>REPORT - MM - REPORT PEMARTAIAN</t>
  </si>
  <si>
    <t>REPORT - MM - REPORT RESUME KODE PARTAI</t>
  </si>
  <si>
    <t>REPORT - MM - BBK INTERN</t>
  </si>
  <si>
    <t>REPORT - MM - Report Cancel Kain Masuk</t>
  </si>
  <si>
    <t>REPORT - MM - Report Cancel Kain Keluar</t>
  </si>
  <si>
    <t>REPORT - MM - List STK Intern dan Extern</t>
  </si>
  <si>
    <t>REPORT - MM - Laporan Surat Jalan Sloc</t>
  </si>
  <si>
    <t>REPORT - MM - Laporan Surat Jalan (P)</t>
  </si>
  <si>
    <t>REPORT - WM - DASHBOARD LAYOUT PER BIN</t>
  </si>
  <si>
    <t>REPORT - WM - MONITORING KAIN GREY</t>
  </si>
  <si>
    <t>REPORT - CO - REPORT COSTING</t>
  </si>
  <si>
    <t>REPORT - WM - DETAIL LIST KARTON PER RAK</t>
  </si>
  <si>
    <t>REPORT - MM - STK Blank Gd. Packing</t>
  </si>
  <si>
    <t>Interfaces</t>
  </si>
  <si>
    <t>INTERFACE BEA CUKAI</t>
  </si>
  <si>
    <t>INTERFACE PRINT BARCODE</t>
  </si>
  <si>
    <t>Billy, Baim, Budi</t>
  </si>
  <si>
    <t>INTERFACE PRINT BARCODE BANYAK LIST KARTON</t>
  </si>
  <si>
    <t>Forms</t>
  </si>
  <si>
    <t>Form Transfer Posting (ZSCMF001)</t>
  </si>
  <si>
    <t>Form Purchase Order (ZSCMF002)</t>
  </si>
  <si>
    <t>Form Good Receipt (ZSCMF003)</t>
  </si>
  <si>
    <t>Form Good Issue (ZSCMF004)</t>
  </si>
  <si>
    <t>Form Bukti Tanda Terima</t>
  </si>
  <si>
    <t>Enhancement</t>
  </si>
  <si>
    <t>Custom field for qty in PCS at Report Stock</t>
  </si>
  <si>
    <t>Gantt Chart Template Pro</t>
  </si>
  <si>
    <r>
      <rPr>
        <b/>
        <sz val="10"/>
        <rFont val="Arial"/>
        <charset val="134"/>
      </rPr>
      <t>Gantt Chart Template Pro</t>
    </r>
    <r>
      <rPr>
        <sz val="10"/>
        <rFont val="Arial"/>
        <charset val="134"/>
      </rPr>
      <t xml:space="preserve"> is similar to this free version, but</t>
    </r>
  </si>
  <si>
    <t>it is more feature-packed. It also comes with other bonus content.</t>
  </si>
  <si>
    <t>Learn About Gantt Chart Template Pro</t>
  </si>
  <si>
    <t>https://www.vertex42.com/ExcelTemplates/excel-gantt-chart.html</t>
  </si>
  <si>
    <t>The following link is a blog post that talks specifically about the</t>
  </si>
  <si>
    <t>Pro version for Excel Online.</t>
  </si>
  <si>
    <t>Gantt Chart Template Pro for Excel Online</t>
  </si>
  <si>
    <t>Benefits and Features of Gantt Chart Template Pro</t>
  </si>
  <si>
    <t>Simple Color-Coding</t>
  </si>
  <si>
    <t>The Pro version includes a column for specifying the color of bars in the chart. For example,</t>
  </si>
  <si>
    <t>you could change the color based on urgency or task lead.</t>
  </si>
  <si>
    <t>Daily, Weekly, or Monthly View</t>
  </si>
  <si>
    <t>The Pro version includes a drop-down next to the Display Week that lets you choose to display</t>
  </si>
  <si>
    <t>the columns in the chart area as days, weeks, or months.</t>
  </si>
  <si>
    <t>Use Work Days as an Input</t>
  </si>
  <si>
    <t>By default, the Pro version is set up to have you enter Work Days instead of Calendar Days.</t>
  </si>
  <si>
    <t>The expanded set of template rows provides more options for defining the Start date, End date,</t>
  </si>
  <si>
    <t>and Duration of tasks. Define a task based on …</t>
  </si>
  <si>
    <t xml:space="preserve"> - Start date and End date</t>
  </si>
  <si>
    <t xml:space="preserve"> - Start date and Work days</t>
  </si>
  <si>
    <t xml:space="preserve"> - Start date and Calendar days</t>
  </si>
  <si>
    <t>Easily Create Task Dependencies</t>
  </si>
  <si>
    <t>Though you can still use your own formulas for creating task dependencies, the Pro version</t>
  </si>
  <si>
    <t>includes template rows that calculate the Start date based on the WBS number that you enter</t>
  </si>
  <si>
    <t>in the Predecessor column.</t>
  </si>
  <si>
    <t>Exclude Holidays from Work Days</t>
  </si>
  <si>
    <t>List holidays and other specific non-working days that you want to exclude from work days.</t>
  </si>
  <si>
    <t>Customize Your Work Week</t>
  </si>
  <si>
    <t>The versions designed for Excel 2010+ use the WORKDAY.INTL() and NETWORKDAYS.INTL()</t>
  </si>
  <si>
    <t>functions that allow you define the work week as something other than Monday-Friday.</t>
  </si>
  <si>
    <t>Learn More About Gantt Chart Template Pro</t>
  </si>
  <si>
    <t>Help</t>
  </si>
  <si>
    <t>About This Template</t>
  </si>
  <si>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</si>
  <si>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Be sure to read the Getting Started Tips below. Watching the video demos for Gantt Chart Template Pro may also help you see how to use the spreadsheet.</t>
  </si>
  <si>
    <t>Watch Demo Videos of the Pro Version on Vertex42.com</t>
  </si>
  <si>
    <t>Please read the license agreement in the TermsOfUse worksheet to learn how you may or may not use and share this spreadsheet.</t>
  </si>
  <si>
    <t>Getting Started Tips</t>
  </si>
  <si>
    <t>• [Bracketed Text] is meant to be edited, like the project title and task descriptions.</t>
  </si>
  <si>
    <t>• Some of the labels include cell comments to provide extra information.</t>
  </si>
  <si>
    <t>Label</t>
  </si>
  <si>
    <t>• To adjust the range of dates shown in the Gantt chart, change the Display Week number.</t>
  </si>
  <si>
    <t>• The Project Start Date is used to define the first week shown in the gantt chart.</t>
  </si>
  <si>
    <t>• Insert new tasks using one of the methods listed below.</t>
  </si>
  <si>
    <t>• Define the task start date and duration (days) by editing the light green cells.</t>
  </si>
  <si>
    <t>Input Cell</t>
  </si>
  <si>
    <t>• If you see "#####" in a cell, widen the column to display the cell contents.</t>
  </si>
  <si>
    <r>
      <rPr>
        <sz val="11"/>
        <color rgb="FFFF0000"/>
        <rFont val="Arial"/>
        <charset val="134"/>
      </rPr>
      <t xml:space="preserve">• </t>
    </r>
    <r>
      <rPr>
        <b/>
        <sz val="11"/>
        <color rgb="FFFF0000"/>
        <rFont val="Arial"/>
        <charset val="134"/>
      </rPr>
      <t>Backup</t>
    </r>
    <r>
      <rPr>
        <sz val="11"/>
        <color rgb="FFFF0000"/>
        <rFont val="Arial"/>
        <charset val="134"/>
      </rPr>
      <t xml:space="preserve"> your file regularly to avoid losing data! Excel files get corrupted occasionally.</t>
    </r>
  </si>
  <si>
    <t>Inserting New Tasks (Rows)</t>
  </si>
  <si>
    <r>
      <rPr>
        <sz val="11"/>
        <rFont val="Arial"/>
        <charset val="134"/>
      </rPr>
      <t xml:space="preserve">When inserting and deleting tasks, you need to insert and delete </t>
    </r>
    <r>
      <rPr>
        <b/>
        <sz val="11"/>
        <rFont val="Arial"/>
        <charset val="134"/>
      </rPr>
      <t>entire rows</t>
    </r>
    <r>
      <rPr>
        <sz val="11"/>
        <rFont val="Arial"/>
        <charset val="134"/>
      </rPr>
      <t>. Some columns contain formulas (such as the End Date and the Work Days columns), so these formulas need to copied to the newly inserted rows.</t>
    </r>
  </si>
  <si>
    <t>METHOD 1 (recommended)</t>
  </si>
  <si>
    <t>• Insert a new blank row by right-clicking on the row number and selecting Insert.</t>
  </si>
  <si>
    <t>• With the new blank row selected, press Ctrl+d to copy the formulas and formatting down from the row above OR use the row drag handle to copy the formulas and formatting down.</t>
  </si>
  <si>
    <t>METHOD 2</t>
  </si>
  <si>
    <t>• Copy a row from the set of template rows at the bottom of the worksheet.</t>
  </si>
  <si>
    <t>• Right-click on the row where you want to insert the new task and select Insert Copied Cells.</t>
  </si>
  <si>
    <t>Method 2 will work, but Excel will split/fracture/duplicate conditional formatting rules rather than merging the rules. This can cause inefficiencies in very large and heavily modified files.</t>
  </si>
  <si>
    <t>Help improve Excel by voting on a suggestion to fix this problem.</t>
  </si>
  <si>
    <t>Using the Template Rows and Choosing a WBS Level</t>
  </si>
  <si>
    <t>The set of template rows at the bottom of the Gantt Chart worksheet provide examples of different ways to format and define tasks for different WBS levels.</t>
  </si>
  <si>
    <t>Each different WBS level uses a different formula in the WBS column.</t>
  </si>
  <si>
    <t>You can either copy/paste/insert these template rows via Method 2 as explained above, OR you can just copy/paste the desired WBS cell when you want to change the WBS level.</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</si>
  <si>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</si>
  <si>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</si>
  <si>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t>Creating Task Dependencies</t>
  </si>
  <si>
    <t>You can enter the Start date manually, or define task dependencies using a formula. Below are some common options for defining the Start date:</t>
  </si>
  <si>
    <t>A.</t>
  </si>
  <si>
    <t>Enter the date manually (e.g. 1/3/2015)</t>
  </si>
  <si>
    <t>B.</t>
  </si>
  <si>
    <t>Reference the Project Start Date (e.g. =$E$4 )</t>
  </si>
  <si>
    <t>C.</t>
  </si>
  <si>
    <t>Set the Start date to the next Work Day after another task's End date.</t>
  </si>
  <si>
    <r>
      <rPr>
        <sz val="11"/>
        <rFont val="Arial"/>
        <charset val="134"/>
      </rPr>
      <t>• Use the formula =WORKDAY(</t>
    </r>
    <r>
      <rPr>
        <i/>
        <sz val="11"/>
        <rFont val="Arial"/>
        <charset val="134"/>
      </rPr>
      <t>enddate</t>
    </r>
    <r>
      <rPr>
        <sz val="11"/>
        <rFont val="Arial"/>
        <charset val="134"/>
      </rPr>
      <t xml:space="preserve">,1) where </t>
    </r>
    <r>
      <rPr>
        <i/>
        <sz val="11"/>
        <rFont val="Arial"/>
        <charset val="134"/>
      </rPr>
      <t>enddate</t>
    </r>
    <r>
      <rPr>
        <sz val="11"/>
        <rFont val="Arial"/>
        <charset val="134"/>
      </rPr>
      <t xml:space="preserve"> is the reference to the End date of a predecessor task.</t>
    </r>
  </si>
  <si>
    <r>
      <rPr>
        <sz val="11"/>
        <rFont val="Arial"/>
        <charset val="134"/>
      </rPr>
      <t>• For multiple predecessors, the formula would be =MAX(WORKDAY(</t>
    </r>
    <r>
      <rPr>
        <i/>
        <sz val="11"/>
        <rFont val="Arial"/>
        <charset val="134"/>
      </rPr>
      <t>enddate1</t>
    </r>
    <r>
      <rPr>
        <sz val="11"/>
        <rFont val="Arial"/>
        <charset val="134"/>
      </rPr>
      <t>,1),WORKDAY(</t>
    </r>
    <r>
      <rPr>
        <i/>
        <sz val="11"/>
        <rFont val="Arial"/>
        <charset val="134"/>
      </rPr>
      <t>enddate2</t>
    </r>
    <r>
      <rPr>
        <sz val="11"/>
        <rFont val="Arial"/>
        <charset val="134"/>
      </rPr>
      <t>,1))</t>
    </r>
  </si>
  <si>
    <t>D.</t>
  </si>
  <si>
    <t>Set the Start date to the next Calendar Day after another task's End date.</t>
  </si>
  <si>
    <r>
      <rPr>
        <sz val="11"/>
        <rFont val="Arial"/>
        <charset val="134"/>
      </rPr>
      <t>• This formula is very simple: =</t>
    </r>
    <r>
      <rPr>
        <i/>
        <sz val="11"/>
        <rFont val="Arial"/>
        <charset val="134"/>
      </rPr>
      <t>enddate</t>
    </r>
    <r>
      <rPr>
        <sz val="11"/>
        <rFont val="Arial"/>
        <charset val="134"/>
      </rPr>
      <t>+1</t>
    </r>
  </si>
  <si>
    <r>
      <rPr>
        <sz val="11"/>
        <rFont val="Arial"/>
        <charset val="134"/>
      </rPr>
      <t>• For multiple predecessors, the formula would be =MAX(</t>
    </r>
    <r>
      <rPr>
        <i/>
        <sz val="11"/>
        <rFont val="Arial"/>
        <charset val="134"/>
      </rPr>
      <t>enddate1</t>
    </r>
    <r>
      <rPr>
        <sz val="11"/>
        <rFont val="Arial"/>
        <charset val="134"/>
      </rPr>
      <t>,</t>
    </r>
    <r>
      <rPr>
        <i/>
        <sz val="11"/>
        <rFont val="Arial"/>
        <charset val="134"/>
      </rPr>
      <t>enddate2</t>
    </r>
    <r>
      <rPr>
        <sz val="11"/>
        <rFont val="Arial"/>
        <charset val="134"/>
      </rPr>
      <t>,</t>
    </r>
    <r>
      <rPr>
        <i/>
        <sz val="11"/>
        <rFont val="Arial"/>
        <charset val="134"/>
      </rPr>
      <t>enddate3</t>
    </r>
    <r>
      <rPr>
        <sz val="11"/>
        <rFont val="Arial"/>
        <charset val="134"/>
      </rPr>
      <t>)+1</t>
    </r>
  </si>
  <si>
    <t>E.</t>
  </si>
  <si>
    <t>Set the Start date to a number of days before or after another date.</t>
  </si>
  <si>
    <r>
      <rPr>
        <sz val="11"/>
        <rFont val="Arial"/>
        <charset val="134"/>
      </rPr>
      <t>• This formula is just like the one in C or D, except that in place of the "1" you enter the number of days, such as =WORKDAY(</t>
    </r>
    <r>
      <rPr>
        <i/>
        <sz val="11"/>
        <rFont val="Arial"/>
        <charset val="134"/>
      </rPr>
      <t>enddate</t>
    </r>
    <r>
      <rPr>
        <sz val="11"/>
        <rFont val="Arial"/>
        <charset val="134"/>
      </rPr>
      <t>,5) or =WORKDAY(</t>
    </r>
    <r>
      <rPr>
        <i/>
        <sz val="11"/>
        <rFont val="Arial"/>
        <charset val="134"/>
      </rPr>
      <t>startdate</t>
    </r>
    <r>
      <rPr>
        <sz val="11"/>
        <rFont val="Arial"/>
        <charset val="134"/>
      </rPr>
      <t>,-5)</t>
    </r>
  </si>
  <si>
    <t>F.</t>
  </si>
  <si>
    <t>Use a lookup formula and the Predecessor column to define the start date.</t>
  </si>
  <si>
    <t>[The formulas for using this method are built into Gantt Chart Template Pro]</t>
  </si>
  <si>
    <t>Changing the Color of the Bars in the Gantt Chart</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</si>
  <si>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</si>
  <si>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t>FAQs</t>
  </si>
  <si>
    <t>Q:</t>
  </si>
  <si>
    <r>
      <rPr>
        <sz val="11"/>
        <color theme="4" tint="-0.249977111117893"/>
        <rFont val="Arial"/>
        <charset val="134"/>
      </rPr>
      <t xml:space="preserve">How do I enter the </t>
    </r>
    <r>
      <rPr>
        <b/>
        <sz val="11"/>
        <color theme="4" tint="-0.249977111117893"/>
        <rFont val="Arial"/>
        <charset val="134"/>
      </rPr>
      <t>Work Days</t>
    </r>
    <r>
      <rPr>
        <sz val="11"/>
        <color theme="4" tint="-0.249977111117893"/>
        <rFont val="Arial"/>
        <charset val="134"/>
      </rPr>
      <t xml:space="preserve"> instead of </t>
    </r>
    <r>
      <rPr>
        <b/>
        <sz val="11"/>
        <color theme="4" tint="-0.249977111117893"/>
        <rFont val="Arial"/>
        <charset val="134"/>
      </rPr>
      <t>Calendar Days</t>
    </r>
    <r>
      <rPr>
        <sz val="11"/>
        <color theme="4" tint="-0.249977111117893"/>
        <rFont val="Arial"/>
        <charset val="134"/>
      </rPr>
      <t>?</t>
    </r>
  </si>
  <si>
    <t>Entering work days instead of calendar days is a feature of the Pro version. There is nothing in the free version preventing you from entering your own formulas, though.</t>
  </si>
  <si>
    <r>
      <rPr>
        <sz val="11"/>
        <color theme="4" tint="-0.249977111117893"/>
        <rFont val="Arial"/>
        <charset val="134"/>
      </rPr>
      <t xml:space="preserve">How do I calculate Calendar Days after entering the </t>
    </r>
    <r>
      <rPr>
        <b/>
        <sz val="11"/>
        <color theme="4" tint="-0.249977111117893"/>
        <rFont val="Arial"/>
        <charset val="134"/>
      </rPr>
      <t>Start and End Dates</t>
    </r>
    <r>
      <rPr>
        <sz val="11"/>
        <color theme="4" tint="-0.249977111117893"/>
        <rFont val="Arial"/>
        <charset val="134"/>
      </rPr>
      <t>?</t>
    </r>
  </si>
  <si>
    <r>
      <rPr>
        <sz val="11"/>
        <rFont val="Arial"/>
        <charset val="134"/>
      </rPr>
      <t>You can calculate the duration in calendar days (including both start and end dates) using the formula =</t>
    </r>
    <r>
      <rPr>
        <i/>
        <sz val="11"/>
        <rFont val="Arial"/>
        <charset val="134"/>
      </rPr>
      <t>enddate</t>
    </r>
    <r>
      <rPr>
        <sz val="11"/>
        <rFont val="Arial"/>
        <charset val="134"/>
      </rPr>
      <t>-</t>
    </r>
    <r>
      <rPr>
        <i/>
        <sz val="11"/>
        <rFont val="Arial"/>
        <charset val="134"/>
      </rPr>
      <t>startdate</t>
    </r>
    <r>
      <rPr>
        <sz val="11"/>
        <rFont val="Arial"/>
        <charset val="134"/>
      </rPr>
      <t>+1</t>
    </r>
  </si>
  <si>
    <r>
      <rPr>
        <sz val="11"/>
        <color theme="4" tint="-0.249977111117893"/>
        <rFont val="Arial"/>
        <charset val="134"/>
      </rPr>
      <t xml:space="preserve">How do I change the </t>
    </r>
    <r>
      <rPr>
        <b/>
        <sz val="11"/>
        <color theme="4" tint="-0.249977111117893"/>
        <rFont val="Arial"/>
        <charset val="134"/>
      </rPr>
      <t>Print Settings</t>
    </r>
    <r>
      <rPr>
        <sz val="11"/>
        <color theme="4" tint="-0.249977111117893"/>
        <rFont val="Arial"/>
        <charset val="134"/>
      </rPr>
      <t>? (Excel 2010, 2013)</t>
    </r>
  </si>
  <si>
    <t>Select the entire range of cells you want to print and go to File &gt; Print Area &gt; Set Print Area. Then go to File &gt; Page Setup or File &gt; Print Preview and adjust the Scaling, Margins, and Page Orientation as desired.</t>
  </si>
  <si>
    <r>
      <rPr>
        <sz val="11"/>
        <color theme="4" tint="-0.249977111117893"/>
        <rFont val="Arial"/>
        <charset val="134"/>
      </rPr>
      <t xml:space="preserve">How do I increase the </t>
    </r>
    <r>
      <rPr>
        <b/>
        <sz val="11"/>
        <color theme="4" tint="-0.249977111117893"/>
        <rFont val="Arial"/>
        <charset val="134"/>
      </rPr>
      <t>range of dates</t>
    </r>
    <r>
      <rPr>
        <sz val="11"/>
        <color theme="4" tint="-0.249977111117893"/>
        <rFont val="Arial"/>
        <charset val="134"/>
      </rPr>
      <t xml:space="preserve"> displayed in the Gantt chart?</t>
    </r>
  </si>
  <si>
    <t>You will need to add columns to the right of the Gantt Chart via copy/paste. Copy and paste the columns in groups of 7. Afterwards, you will also probably need to update the print area.</t>
  </si>
  <si>
    <r>
      <rPr>
        <sz val="11"/>
        <color theme="4" tint="-0.249977111117893"/>
        <rFont val="Arial"/>
        <charset val="134"/>
      </rPr>
      <t xml:space="preserve">How do I create a summary row that shows the </t>
    </r>
    <r>
      <rPr>
        <b/>
        <sz val="11"/>
        <color theme="4" tint="-0.249977111117893"/>
        <rFont val="Arial"/>
        <charset val="134"/>
      </rPr>
      <t>MIN</t>
    </r>
    <r>
      <rPr>
        <sz val="11"/>
        <color theme="4" tint="-0.249977111117893"/>
        <rFont val="Arial"/>
        <charset val="134"/>
      </rPr>
      <t xml:space="preserve"> and </t>
    </r>
    <r>
      <rPr>
        <b/>
        <sz val="11"/>
        <color theme="4" tint="-0.249977111117893"/>
        <rFont val="Arial"/>
        <charset val="134"/>
      </rPr>
      <t>MAX</t>
    </r>
    <r>
      <rPr>
        <sz val="11"/>
        <color theme="4" tint="-0.249977111117893"/>
        <rFont val="Arial"/>
        <charset val="134"/>
      </rPr>
      <t xml:space="preserve"> dates for all sub-tasks?</t>
    </r>
  </si>
  <si>
    <r>
      <rPr>
        <sz val="11"/>
        <color rgb="FF000000"/>
        <rFont val="Arial"/>
        <charset val="134"/>
      </rPr>
      <t>In the Start column, use the formula =MIN(</t>
    </r>
    <r>
      <rPr>
        <i/>
        <sz val="11"/>
        <color rgb="FF000000"/>
        <rFont val="Arial"/>
        <charset val="134"/>
      </rPr>
      <t>range_of_start_dates</t>
    </r>
    <r>
      <rPr>
        <sz val="11"/>
        <color rgb="FF000000"/>
        <rFont val="Arial"/>
        <charset val="134"/>
      </rPr>
      <t>)</t>
    </r>
  </si>
  <si>
    <r>
      <rPr>
        <sz val="11"/>
        <color rgb="FF000000"/>
        <rFont val="Arial"/>
        <charset val="134"/>
      </rPr>
      <t>In the End column, use the formula =MAX(</t>
    </r>
    <r>
      <rPr>
        <i/>
        <sz val="11"/>
        <color rgb="FF000000"/>
        <rFont val="Arial"/>
        <charset val="134"/>
      </rPr>
      <t>range_of_end_dates</t>
    </r>
    <r>
      <rPr>
        <sz val="11"/>
        <color rgb="FF000000"/>
        <rFont val="Arial"/>
        <charset val="134"/>
      </rPr>
      <t>)</t>
    </r>
  </si>
  <si>
    <r>
      <rPr>
        <sz val="11"/>
        <color rgb="FF000000"/>
        <rFont val="Arial"/>
        <charset val="134"/>
      </rPr>
      <t>In the Days column, use the formula =</t>
    </r>
    <r>
      <rPr>
        <i/>
        <sz val="11"/>
        <color rgb="FF000000"/>
        <rFont val="Arial"/>
        <charset val="134"/>
      </rPr>
      <t>end_date</t>
    </r>
    <r>
      <rPr>
        <sz val="11"/>
        <color rgb="FF000000"/>
        <rFont val="Arial"/>
        <charset val="134"/>
      </rPr>
      <t>-</t>
    </r>
    <r>
      <rPr>
        <i/>
        <sz val="11"/>
        <color rgb="FF000000"/>
        <rFont val="Arial"/>
        <charset val="134"/>
      </rPr>
      <t>start_date</t>
    </r>
    <r>
      <rPr>
        <sz val="11"/>
        <color rgb="FF000000"/>
        <rFont val="Arial"/>
        <charset val="134"/>
      </rPr>
      <t>+1</t>
    </r>
  </si>
  <si>
    <r>
      <rPr>
        <sz val="11"/>
        <color theme="4" tint="-0.249977111117893"/>
        <rFont val="Arial"/>
        <charset val="134"/>
      </rPr>
      <t xml:space="preserve">How do I calculate the </t>
    </r>
    <r>
      <rPr>
        <b/>
        <sz val="11"/>
        <color theme="4" tint="-0.249977111117893"/>
        <rFont val="Arial"/>
        <charset val="134"/>
      </rPr>
      <t>%Complete</t>
    </r>
    <r>
      <rPr>
        <sz val="11"/>
        <color theme="4" tint="-0.249977111117893"/>
        <rFont val="Arial"/>
        <charset val="134"/>
      </rPr>
      <t xml:space="preserve"> for an entire category of tasks?</t>
    </r>
  </si>
  <si>
    <t>The %Complete for a group of tasks can be calculated from its sub tasks using the formula below, where "workdays" is a reference to the range of work day values and "complete" is a reference to the %complete for each of the subtasks.</t>
  </si>
  <si>
    <r>
      <rPr>
        <sz val="11"/>
        <rFont val="Arial"/>
        <charset val="134"/>
      </rPr>
      <t>=SUMPRODUCT(</t>
    </r>
    <r>
      <rPr>
        <i/>
        <sz val="11"/>
        <rFont val="Arial"/>
        <charset val="134"/>
      </rPr>
      <t>workdays</t>
    </r>
    <r>
      <rPr>
        <sz val="11"/>
        <rFont val="Arial"/>
        <charset val="134"/>
      </rPr>
      <t>,</t>
    </r>
    <r>
      <rPr>
        <i/>
        <sz val="11"/>
        <rFont val="Arial"/>
        <charset val="134"/>
      </rPr>
      <t>complete</t>
    </r>
    <r>
      <rPr>
        <sz val="11"/>
        <rFont val="Arial"/>
        <charset val="134"/>
      </rPr>
      <t>)/SUM(</t>
    </r>
    <r>
      <rPr>
        <i/>
        <sz val="11"/>
        <rFont val="Arial"/>
        <charset val="134"/>
      </rPr>
      <t>workdays</t>
    </r>
    <r>
      <rPr>
        <sz val="11"/>
        <rFont val="Arial"/>
        <charset val="134"/>
      </rPr>
      <t>)</t>
    </r>
  </si>
  <si>
    <t>Example: Let's say you have 3 sub tasks that are 10 days, 12 days, and 14 days long, respectively. If the first subtask is 50% complete and the others are 25% complete, you could calculate the overall percent complete for the group as: =(10*50%+12*25%+14*25%)/(10+12+14).</t>
  </si>
  <si>
    <r>
      <rPr>
        <sz val="11"/>
        <color theme="4" tint="-0.249977111117893"/>
        <rFont val="Arial"/>
        <charset val="134"/>
      </rPr>
      <t xml:space="preserve">I've </t>
    </r>
    <r>
      <rPr>
        <b/>
        <sz val="11"/>
        <color theme="4" tint="-0.249977111117893"/>
        <rFont val="Arial"/>
        <charset val="134"/>
      </rPr>
      <t>messed up</t>
    </r>
    <r>
      <rPr>
        <sz val="11"/>
        <color theme="4" tint="-0.249977111117893"/>
        <rFont val="Arial"/>
        <charset val="134"/>
      </rPr>
      <t xml:space="preserve"> the chart area somehow. How do I fix it?</t>
    </r>
  </si>
  <si>
    <t>Find a row that works, then copy the cells that make up the gantt chart area from that row into the row that is messed up.</t>
  </si>
  <si>
    <t>© 2006-2025 Vertex42 LLC</t>
  </si>
  <si>
    <t>Terms of Use</t>
  </si>
  <si>
    <t>Gantt Chart Template, by Vertex42.com</t>
  </si>
  <si>
    <t>This spreadsheet template, including all worksheets and associated content is a copyrighted work under the United States and other copyright laws.</t>
  </si>
  <si>
    <r>
      <rPr>
        <sz val="12"/>
        <rFont val="Arial"/>
        <charset val="134"/>
      </rPr>
      <t xml:space="preserve">You may download the spreadsheet template, make archival copies, and customize the template only for your </t>
    </r>
    <r>
      <rPr>
        <b/>
        <sz val="12"/>
        <rFont val="Arial"/>
        <charset val="134"/>
      </rPr>
      <t>personal use or use within your company or organization</t>
    </r>
    <r>
      <rPr>
        <sz val="12"/>
        <rFont val="Arial"/>
        <charset val="134"/>
      </rPr>
      <t xml:space="preserve"> and </t>
    </r>
    <r>
      <rPr>
        <b/>
        <sz val="12"/>
        <rFont val="Arial"/>
        <charset val="134"/>
      </rPr>
      <t>not</t>
    </r>
    <r>
      <rPr>
        <sz val="12"/>
        <rFont val="Arial"/>
        <charset val="134"/>
      </rPr>
      <t xml:space="preserve"> for resale or public sharing.</t>
    </r>
  </si>
  <si>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</si>
  <si>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</si>
  <si>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r>
      <rPr>
        <b/>
        <sz val="12"/>
        <rFont val="Arial"/>
        <charset val="134"/>
      </rPr>
      <t>Limited Private Sharing and Other Allowed Uses</t>
    </r>
    <r>
      <rPr>
        <sz val="12"/>
        <rFont val="Arial"/>
        <charset val="134"/>
      </rPr>
      <t>: See the complete license agreement to learn more about how you may or may not use this template.</t>
    </r>
  </si>
  <si>
    <t>View the Complete License Agreement</t>
  </si>
  <si>
    <t>https://www.vertex42.com/licensing/EULA_privateuse.html</t>
  </si>
  <si>
    <t>Modifikasi Form Transfer Posting</t>
  </si>
  <si>
    <t>Modifikasi Form Purchase Order</t>
  </si>
  <si>
    <t xml:space="preserve">Modifikasi Form Good Receipt </t>
  </si>
  <si>
    <t xml:space="preserve">Modifikasi Form Good Issue </t>
  </si>
  <si>
    <t xml:space="preserve">Modifikasi Form Bukti Tanda Terima </t>
  </si>
  <si>
    <t>Libur lebaran 18-26 February</t>
  </si>
  <si>
    <t>CANCEL</t>
  </si>
  <si>
    <t>REPORT CANCEL KAIN KELUAR(TIDAK DIBUAT)</t>
  </si>
  <si>
    <t>REPORT CANCEL KAIN MASUK(TIDAK DIBUAT)</t>
  </si>
  <si>
    <t>RICEF BY LEUWITEX ( update 17 Maret 2026 )</t>
  </si>
  <si>
    <t>Update per 17 Maret 2026</t>
  </si>
  <si>
    <t>LAPORAN SURAT JALAN SLOC 80%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</si>
</sst>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ddd\ m/dd/yy"/>
    <numFmt numFmtId="165" formatCode="m/d/yyyy\ \(dddd\)"/>
    <numFmt numFmtId="166" formatCode="d\ mmm\ yyyy"/>
    <numFmt numFmtId="167" formatCode="d"/>
    <numFmt numFmtId="168" formatCode="ddd\ dd/m/yy"/>
  </numFmts>
  <fonts count="51">
    <font>
      <sz val="10"/>
      <name val="Arial"/>
      <charset val="134"/>
    </font>
    <font>
      <sz val="9"/>
      <name val="Arial"/>
      <charset val="134"/>
      <scheme val="minor"/>
    </font>
    <font>
      <sz val="9"/>
      <name val="Arial"/>
      <charset val="134"/>
    </font>
    <font>
      <sz val="11"/>
      <color indexed="8"/>
      <name val="Calibri"/>
      <charset val="134"/>
    </font>
    <font>
      <sz val="9"/>
      <color rgb="FF000000"/>
      <name val="Arial"/>
      <charset val="134"/>
      <scheme val="minor"/>
    </font>
    <font>
      <sz val="14"/>
      <color rgb="FF000000"/>
      <name val="Arial"/>
      <charset val="134"/>
      <scheme val="minor"/>
    </font>
    <font>
      <b/>
      <sz val="16"/>
      <name val="Arial"/>
      <charset val="134"/>
    </font>
    <font>
      <sz val="18"/>
      <color theme="4" tint="-0.249977111117893"/>
      <name val="Arial"/>
      <charset val="134"/>
    </font>
    <font>
      <sz val="12"/>
      <name val="Arial"/>
      <charset val="134"/>
    </font>
    <font>
      <u/>
      <sz val="11"/>
      <color indexed="12"/>
      <name val="Arial"/>
      <charset val="134"/>
    </font>
    <font>
      <b/>
      <sz val="12"/>
      <name val="Arial"/>
      <charset val="134"/>
    </font>
    <font>
      <u/>
      <sz val="12"/>
      <color indexed="12"/>
      <name val="Arial"/>
      <charset val="134"/>
    </font>
    <font>
      <sz val="18"/>
      <color theme="3"/>
      <name val="Arial"/>
      <charset val="134"/>
    </font>
    <font>
      <sz val="8"/>
      <name val="Arial"/>
      <charset val="134"/>
    </font>
    <font>
      <sz val="14"/>
      <color theme="4" tint="-0.249977111117893"/>
      <name val="Arial"/>
      <charset val="134"/>
    </font>
    <font>
      <b/>
      <sz val="12"/>
      <color theme="4" tint="-0.249977111117893"/>
      <name val="Arial"/>
      <charset val="134"/>
    </font>
    <font>
      <sz val="11"/>
      <name val="Arial"/>
      <charset val="134"/>
    </font>
    <font>
      <sz val="14"/>
      <name val="Arial"/>
      <charset val="134"/>
    </font>
    <font>
      <sz val="11"/>
      <color rgb="FFFF0000"/>
      <name val="Arial"/>
      <charset val="134"/>
    </font>
    <font>
      <b/>
      <sz val="10"/>
      <name val="Arial"/>
      <charset val="134"/>
    </font>
    <font>
      <b/>
      <sz val="11"/>
      <color theme="4" tint="-0.249977111117893"/>
      <name val="Arial"/>
      <charset val="134"/>
    </font>
    <font>
      <sz val="11"/>
      <color rgb="FF000000"/>
      <name val="Arial"/>
      <charset val="134"/>
    </font>
    <font>
      <sz val="11"/>
      <color theme="4" tint="-0.249977111117893"/>
      <name val="Arial"/>
      <charset val="134"/>
    </font>
    <font>
      <b/>
      <sz val="11"/>
      <name val="Arial"/>
      <charset val="134"/>
    </font>
    <font>
      <u/>
      <sz val="14"/>
      <color indexed="12"/>
      <name val="Arial"/>
      <charset val="134"/>
    </font>
    <font>
      <i/>
      <sz val="8"/>
      <name val="Arial"/>
      <charset val="134"/>
    </font>
    <font>
      <sz val="16"/>
      <color theme="4" tint="-0.249977111117893"/>
      <name val="Arial"/>
      <charset val="134"/>
      <scheme val="major"/>
    </font>
    <font>
      <sz val="14"/>
      <color indexed="56"/>
      <name val="Arial"/>
      <charset val="134"/>
    </font>
    <font>
      <i/>
      <sz val="8"/>
      <color theme="0" tint="-0.34998626667073579"/>
      <name val="Arial"/>
      <charset val="134"/>
    </font>
    <font>
      <sz val="11"/>
      <name val="Arial"/>
      <charset val="134"/>
      <scheme val="major"/>
    </font>
    <font>
      <u/>
      <sz val="8"/>
      <color indexed="12"/>
      <name val="Arial"/>
      <charset val="134"/>
    </font>
    <font>
      <sz val="7"/>
      <color indexed="55"/>
      <name val="Arial"/>
      <charset val="134"/>
    </font>
    <font>
      <u/>
      <sz val="10"/>
      <color indexed="12"/>
      <name val="Arial"/>
      <charset val="134"/>
    </font>
    <font>
      <sz val="10"/>
      <name val="Arial"/>
      <charset val="134"/>
      <scheme val="major"/>
    </font>
    <font>
      <sz val="10"/>
      <name val="Arial"/>
      <charset val="134"/>
      <scheme val="minor"/>
    </font>
    <font>
      <sz val="11"/>
      <name val="Arial"/>
      <charset val="134"/>
      <scheme val="minor"/>
    </font>
    <font>
      <b/>
      <sz val="9"/>
      <name val="Arial"/>
      <charset val="134"/>
      <scheme val="major"/>
    </font>
    <font>
      <b/>
      <sz val="8"/>
      <name val="Arial"/>
      <charset val="134"/>
      <scheme val="major"/>
    </font>
    <font>
      <b/>
      <sz val="11"/>
      <name val="Arial"/>
      <charset val="134"/>
      <scheme val="minor"/>
    </font>
    <font>
      <sz val="14"/>
      <name val="Arial"/>
      <charset val="134"/>
      <scheme val="minor"/>
    </font>
    <font>
      <i/>
      <sz val="11"/>
      <name val="Arial"/>
      <charset val="134"/>
    </font>
    <font>
      <i/>
      <sz val="11"/>
      <color rgb="FF000000"/>
      <name val="Arial"/>
      <charset val="134"/>
    </font>
    <font>
      <b/>
      <sz val="11"/>
      <color rgb="FFFF0000"/>
      <name val="Arial"/>
      <charset val="134"/>
    </font>
    <font>
      <b/>
      <i/>
      <sz val="9"/>
      <name val="Tahoma"/>
      <charset val="134"/>
    </font>
    <font>
      <sz val="9"/>
      <name val="Tahoma"/>
      <charset val="134"/>
    </font>
    <font>
      <b/>
      <sz val="9"/>
      <name val="Tahoma"/>
      <charset val="134"/>
    </font>
    <font>
      <i/>
      <sz val="9"/>
      <name val="Tahoma"/>
      <charset val="134"/>
    </font>
    <font>
      <b/>
      <sz val="9"/>
      <name val="Tahoma"/>
      <charset val="1"/>
    </font>
    <font>
      <sz val="9"/>
      <name val="Tahoma"/>
      <charset val="1"/>
    </font>
    <font>
      <sz val="8"/>
      <name val="Tahoma"/>
      <charset val="134"/>
    </font>
    <font>
      <sz val="10"/>
      <name val="Arial"/>
      <charset val="134"/>
    </font>
  </fonts>
  <fills count="17">
    <fill>
      <patternFill patternType="none"/>
    </fill>
    <fill>
      <patternFill patternType="gray125"/>
    </fill>
    <fill>
      <patternFill patternType="solid">
        <fgColor theme="3" tint="0.79970702230903046"/>
        <bgColor rgb="FFD6F4D9"/>
      </patternFill>
    </fill>
    <fill>
      <patternFill patternType="solid">
        <fgColor theme="3" tint="0.79970702230903046"/>
        <bgColor indexed="64"/>
      </patternFill>
    </fill>
    <fill>
      <patternFill patternType="solid">
        <fgColor indexed="22"/>
        <bgColor indexed="64"/>
      </patternFill>
    </fill>
    <fill>
      <patternFill patternType="solid">
        <fgColor theme="0" tint="-0.14972380748924222"/>
        <bgColor indexed="64"/>
      </patternFill>
    </fill>
    <fill>
      <patternFill patternType="solid">
        <fgColor indexed="9"/>
        <bgColor indexed="64"/>
      </patternFill>
    </fill>
    <fill>
      <patternFill patternType="solid">
        <fgColor theme="6" tint="0.79979857783745845"/>
        <bgColor indexed="64"/>
      </patternFill>
    </fill>
    <fill>
      <patternFill patternType="solid">
        <fgColor theme="6" tint="0.79982909634693444"/>
        <bgColor indexed="64"/>
      </patternFill>
    </fill>
    <fill>
      <patternFill patternType="solid">
        <fgColor theme="0"/>
        <bgColor indexed="64"/>
      </patternFill>
    </fill>
    <fill>
      <patternFill patternType="solid">
        <fgColor theme="2" tint="-0.499984740745262"/>
        <bgColor indexed="64"/>
      </patternFill>
    </fill>
    <fill>
      <patternFill patternType="solid">
        <fgColor theme="0"/>
        <bgColor rgb="FFD6F4D9"/>
      </patternFill>
    </fill>
    <fill>
      <patternFill patternType="solid">
        <fgColor theme="2" tint="-0.749992370372631"/>
        <bgColor indexed="64"/>
      </patternFill>
    </fill>
    <fill>
      <patternFill patternType="solid">
        <fgColor theme="2" tint="-0.749992370372631"/>
        <bgColor rgb="FFD6F4D9"/>
      </patternFill>
    </fill>
    <fill>
      <patternFill patternType="solid">
        <fgColor theme="3" tint="0.79998168889431442"/>
        <bgColor indexed="64"/>
      </patternFill>
    </fill>
    <fill>
      <patternFill patternType="solid">
        <fgColor theme="9" tint="0.79998168889431442"/>
        <bgColor indexed="64"/>
      </patternFill>
    </fill>
    <fill>
      <patternFill patternType="solid">
        <fgColor theme="0" tint="-0.14999847407452621"/>
        <bgColor indexed="64"/>
      </patternFill>
    </fill>
  </fills>
  <borders count="16">
    <border>
      <left/>
      <right/>
      <top/>
      <bottom/>
      <diagonal/>
    </border>
    <border>
      <left/>
      <right/>
      <top style="thin">
        <color indexed="22"/>
      </top>
      <bottom style="thin">
        <color indexed="22"/>
      </bottom>
      <diagonal/>
    </border>
    <border>
      <left/>
      <right/>
      <top style="thin">
        <color rgb="FFEAEAEA"/>
      </top>
      <bottom style="thin">
        <color rgb="FFEAEAEA"/>
      </bottom>
      <diagonal/>
    </border>
    <border>
      <left/>
      <right/>
      <top style="thin">
        <color rgb="FFEFEFEF"/>
      </top>
      <bottom style="thin">
        <color rgb="FFEFEFEF"/>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style="thin">
        <color theme="0" tint="-0.24994659260841701"/>
      </top>
      <bottom style="thin">
        <color theme="0" tint="-0.24994659260841701"/>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indexed="22"/>
      </bottom>
      <diagonal/>
    </border>
  </borders>
  <cellStyleXfs count="3">
    <xf numFmtId="0" fontId="0" fillId="0" borderId="0"/>
    <xf numFmtId="9" fontId="50" fillId="0" borderId="0" applyFont="0" applyFill="0" applyBorder="0" applyAlignment="0" applyProtection="0"/>
    <xf numFmtId="0" fontId="32" fillId="0" borderId="0" applyNumberFormat="0" applyFill="0" applyBorder="0" applyAlignment="0" applyProtection="0">
      <alignment vertical="top"/>
      <protection locked="0"/>
    </xf>
  </cellStyleXfs>
  <cellXfs count="135">
    <xf numFmtId="0" fontId="0" fillId="0" borderId="0" xfId="0"/>
    <xf numFmtId="0" fontId="1" fillId="0" borderId="1" xfId="0" applyFont="1" applyBorder="1" applyAlignment="1">
      <alignment vertical="center"/>
    </xf>
    <xf numFmtId="0" fontId="2" fillId="0" borderId="2" xfId="0" applyFont="1" applyBorder="1" applyAlignment="1">
      <alignment vertical="center" wrapText="1"/>
    </xf>
    <xf numFmtId="0" fontId="3" fillId="0" borderId="0" xfId="0" applyFont="1" applyAlignment="1">
      <alignment vertical="center" wrapText="1"/>
    </xf>
    <xf numFmtId="0" fontId="1" fillId="0" borderId="1" xfId="0" applyFont="1" applyBorder="1" applyAlignment="1">
      <alignment horizontal="left" vertical="center"/>
    </xf>
    <xf numFmtId="0" fontId="4" fillId="0" borderId="3" xfId="0" applyFont="1" applyBorder="1" applyAlignment="1">
      <alignment horizontal="center" vertical="center"/>
    </xf>
    <xf numFmtId="164" fontId="4" fillId="2" borderId="3" xfId="0" applyNumberFormat="1" applyFont="1" applyFill="1" applyBorder="1" applyAlignment="1">
      <alignment horizontal="center" vertical="center"/>
    </xf>
    <xf numFmtId="164" fontId="4" fillId="0" borderId="3" xfId="0" applyNumberFormat="1" applyFont="1" applyBorder="1" applyAlignment="1">
      <alignment horizontal="center" vertical="center"/>
    </xf>
    <xf numFmtId="1" fontId="4" fillId="3" borderId="3" xfId="0" applyNumberFormat="1" applyFont="1" applyFill="1" applyBorder="1" applyAlignment="1">
      <alignment horizontal="center" vertical="center"/>
    </xf>
    <xf numFmtId="9" fontId="4" fillId="3" borderId="3" xfId="1" applyFont="1" applyFill="1" applyBorder="1" applyAlignment="1" applyProtection="1">
      <alignment horizontal="center" vertical="center"/>
    </xf>
    <xf numFmtId="1" fontId="4" fillId="0" borderId="3" xfId="0" applyNumberFormat="1" applyFont="1" applyBorder="1" applyAlignment="1">
      <alignment horizontal="center" vertical="center"/>
    </xf>
    <xf numFmtId="1" fontId="5" fillId="0" borderId="3" xfId="0" applyNumberFormat="1" applyFont="1" applyBorder="1" applyAlignment="1">
      <alignment horizontal="center" vertical="center"/>
    </xf>
    <xf numFmtId="0" fontId="7" fillId="0" borderId="0" xfId="0" applyFont="1" applyAlignment="1">
      <alignment horizontal="left" vertical="center"/>
    </xf>
    <xf numFmtId="0" fontId="8" fillId="0" borderId="0" xfId="0" applyFont="1" applyAlignment="1">
      <alignment horizontal="left" wrapText="1"/>
    </xf>
    <xf numFmtId="0" fontId="0" fillId="0" borderId="4" xfId="0" applyBorder="1"/>
    <xf numFmtId="0" fontId="8" fillId="0" borderId="4" xfId="0" applyFont="1" applyBorder="1" applyAlignment="1">
      <alignment horizontal="left" wrapText="1"/>
    </xf>
    <xf numFmtId="0" fontId="0" fillId="0" borderId="5" xfId="0" applyBorder="1"/>
    <xf numFmtId="0" fontId="9" fillId="0" borderId="4" xfId="2" applyFont="1" applyBorder="1" applyAlignment="1" applyProtection="1">
      <alignment wrapText="1"/>
    </xf>
    <xf numFmtId="0" fontId="8" fillId="0" borderId="5" xfId="0" applyFont="1" applyBorder="1" applyAlignment="1">
      <alignment horizontal="left" wrapText="1"/>
    </xf>
    <xf numFmtId="0" fontId="10" fillId="0" borderId="5" xfId="0" applyFont="1" applyBorder="1" applyAlignment="1">
      <alignment horizontal="left" wrapText="1"/>
    </xf>
    <xf numFmtId="0" fontId="11" fillId="0" borderId="5" xfId="2" applyFont="1" applyBorder="1" applyAlignment="1" applyProtection="1">
      <alignment horizontal="left" wrapText="1"/>
    </xf>
    <xf numFmtId="0" fontId="8" fillId="0" borderId="5" xfId="0" applyFont="1" applyBorder="1" applyAlignment="1">
      <alignment horizontal="left"/>
    </xf>
    <xf numFmtId="0" fontId="0" fillId="0" borderId="0" xfId="0" applyAlignment="1">
      <alignment vertical="center"/>
    </xf>
    <xf numFmtId="0" fontId="12" fillId="0" borderId="0" xfId="0" applyFont="1" applyAlignment="1">
      <alignment horizontal="left" vertical="center"/>
    </xf>
    <xf numFmtId="0" fontId="9" fillId="0" borderId="0" xfId="2" applyFont="1" applyAlignment="1" applyProtection="1"/>
    <xf numFmtId="0" fontId="13" fillId="0" borderId="0" xfId="0" applyFont="1" applyAlignment="1">
      <alignment horizontal="right"/>
    </xf>
    <xf numFmtId="0" fontId="14" fillId="0" borderId="0" xfId="0" applyFont="1"/>
    <xf numFmtId="0" fontId="15" fillId="0" borderId="0" xfId="0" applyFont="1"/>
    <xf numFmtId="0" fontId="16" fillId="0" borderId="0" xfId="0" applyFont="1" applyAlignment="1">
      <alignment horizontal="left" wrapText="1"/>
    </xf>
    <xf numFmtId="0" fontId="16" fillId="0" borderId="0" xfId="0" applyFont="1" applyAlignment="1">
      <alignment wrapText="1"/>
    </xf>
    <xf numFmtId="0" fontId="17" fillId="0" borderId="0" xfId="0" applyFont="1" applyAlignment="1">
      <alignment vertical="center"/>
    </xf>
    <xf numFmtId="0" fontId="16" fillId="0" borderId="0" xfId="0" applyFont="1" applyAlignment="1">
      <alignment vertical="center" wrapText="1"/>
    </xf>
    <xf numFmtId="0" fontId="0" fillId="4" borderId="0" xfId="0" applyFill="1" applyAlignment="1">
      <alignment horizontal="center" vertical="center"/>
    </xf>
    <xf numFmtId="0" fontId="17" fillId="0" borderId="0" xfId="0" applyFont="1"/>
    <xf numFmtId="0" fontId="0" fillId="3" borderId="0" xfId="0" applyFill="1" applyAlignment="1">
      <alignment horizontal="center" vertical="center"/>
    </xf>
    <xf numFmtId="0" fontId="18" fillId="0" borderId="0" xfId="0" applyFont="1" applyAlignment="1">
      <alignment vertical="center" wrapText="1"/>
    </xf>
    <xf numFmtId="0" fontId="19" fillId="0" borderId="0" xfId="0" applyFont="1"/>
    <xf numFmtId="0" fontId="20" fillId="0" borderId="0" xfId="0" applyFont="1"/>
    <xf numFmtId="0" fontId="9" fillId="0" borderId="0" xfId="2" applyFont="1" applyFill="1" applyBorder="1" applyAlignment="1" applyProtection="1">
      <alignment vertical="center"/>
    </xf>
    <xf numFmtId="0" fontId="13" fillId="0" borderId="0" xfId="0" applyFont="1" applyAlignment="1">
      <alignment wrapText="1"/>
    </xf>
    <xf numFmtId="0" fontId="21" fillId="0" borderId="0" xfId="0" applyFont="1" applyAlignment="1">
      <alignment horizontal="right"/>
    </xf>
    <xf numFmtId="0" fontId="16" fillId="0" borderId="0" xfId="0" applyFont="1"/>
    <xf numFmtId="0" fontId="0" fillId="0" borderId="0" xfId="0" applyAlignment="1">
      <alignment horizontal="left" wrapText="1" indent="1"/>
    </xf>
    <xf numFmtId="0" fontId="20" fillId="0" borderId="0" xfId="0" applyFont="1" applyAlignment="1">
      <alignment horizontal="right"/>
    </xf>
    <xf numFmtId="0" fontId="22" fillId="0" borderId="0" xfId="0" applyFont="1" applyAlignment="1">
      <alignment vertical="center" wrapText="1"/>
    </xf>
    <xf numFmtId="0" fontId="16" fillId="0" borderId="0" xfId="0" applyFont="1" applyAlignment="1">
      <alignment horizontal="left" vertical="center" wrapText="1"/>
    </xf>
    <xf numFmtId="0" fontId="16" fillId="0" borderId="0" xfId="0" applyFont="1" applyAlignment="1">
      <alignment horizontal="left" indent="1"/>
    </xf>
    <xf numFmtId="0" fontId="22" fillId="0" borderId="0" xfId="0" applyFont="1"/>
    <xf numFmtId="0" fontId="21" fillId="0" borderId="0" xfId="0" applyFont="1" applyAlignment="1">
      <alignment horizontal="left" wrapText="1"/>
    </xf>
    <xf numFmtId="0" fontId="23" fillId="0" borderId="0" xfId="0" applyFont="1" applyAlignment="1">
      <alignment horizontal="left" indent="1"/>
    </xf>
    <xf numFmtId="0" fontId="13" fillId="0" borderId="0" xfId="0" applyFont="1" applyAlignment="1">
      <alignment horizontal="left" vertical="center"/>
    </xf>
    <xf numFmtId="0" fontId="7" fillId="0" borderId="0" xfId="0" applyFont="1" applyAlignment="1">
      <alignment vertical="center"/>
    </xf>
    <xf numFmtId="0" fontId="24" fillId="0" borderId="0" xfId="2" applyFont="1" applyAlignment="1" applyProtection="1"/>
    <xf numFmtId="0" fontId="25" fillId="0" borderId="0" xfId="0" applyFont="1"/>
    <xf numFmtId="0" fontId="23" fillId="0" borderId="0" xfId="0" applyFont="1"/>
    <xf numFmtId="0" fontId="1" fillId="5" borderId="1" xfId="0" applyFont="1" applyFill="1" applyBorder="1" applyAlignment="1">
      <alignment vertical="center"/>
    </xf>
    <xf numFmtId="0" fontId="26" fillId="0" borderId="0" xfId="0" applyFont="1" applyAlignment="1" applyProtection="1">
      <alignment vertical="center"/>
      <protection locked="0"/>
    </xf>
    <xf numFmtId="0" fontId="27" fillId="0" borderId="0" xfId="0" applyFont="1" applyAlignment="1" applyProtection="1">
      <alignment vertical="center"/>
      <protection locked="0"/>
    </xf>
    <xf numFmtId="0" fontId="0" fillId="0" borderId="0" xfId="0" applyAlignment="1">
      <alignment horizontal="right" vertical="center"/>
    </xf>
    <xf numFmtId="0" fontId="29" fillId="0" borderId="0" xfId="0" applyFont="1" applyAlignment="1" applyProtection="1">
      <alignment vertical="center"/>
      <protection locked="0"/>
    </xf>
    <xf numFmtId="0" fontId="2" fillId="0" borderId="0" xfId="0" applyFont="1" applyProtection="1">
      <protection locked="0"/>
    </xf>
    <xf numFmtId="0" fontId="30" fillId="6" borderId="0" xfId="2" applyNumberFormat="1" applyFont="1" applyFill="1" applyAlignment="1" applyProtection="1">
      <alignment horizontal="right"/>
      <protection locked="0"/>
    </xf>
    <xf numFmtId="0" fontId="31" fillId="0" borderId="0" xfId="0" applyFont="1" applyProtection="1">
      <protection locked="0"/>
    </xf>
    <xf numFmtId="0" fontId="0" fillId="6" borderId="0" xfId="0" applyFill="1"/>
    <xf numFmtId="0" fontId="32" fillId="0" borderId="0" xfId="2" applyAlignment="1" applyProtection="1">
      <alignment horizontal="left"/>
    </xf>
    <xf numFmtId="0" fontId="33" fillId="0" borderId="0" xfId="0" applyFont="1"/>
    <xf numFmtId="0" fontId="33" fillId="0" borderId="0" xfId="0" applyFont="1" applyAlignment="1">
      <alignment horizontal="right" vertical="center"/>
    </xf>
    <xf numFmtId="0" fontId="34" fillId="0" borderId="6" xfId="0" applyFont="1" applyBorder="1" applyAlignment="1" applyProtection="1">
      <alignment horizontal="center" vertical="center"/>
      <protection locked="0"/>
    </xf>
    <xf numFmtId="167" fontId="13" fillId="0" borderId="7" xfId="0" applyNumberFormat="1" applyFont="1" applyBorder="1" applyAlignment="1">
      <alignment horizontal="center" vertical="center" shrinkToFit="1"/>
    </xf>
    <xf numFmtId="167" fontId="13" fillId="0" borderId="8" xfId="0" applyNumberFormat="1" applyFont="1" applyBorder="1" applyAlignment="1">
      <alignment horizontal="center" vertical="center" shrinkToFit="1"/>
    </xf>
    <xf numFmtId="167" fontId="13" fillId="0" borderId="9" xfId="0" applyNumberFormat="1" applyFont="1" applyBorder="1" applyAlignment="1">
      <alignment horizontal="center" vertical="center" shrinkToFit="1"/>
    </xf>
    <xf numFmtId="0" fontId="36" fillId="0" borderId="11" xfId="0" applyFont="1" applyBorder="1" applyAlignment="1">
      <alignment horizontal="left" vertical="center"/>
    </xf>
    <xf numFmtId="0" fontId="36" fillId="0" borderId="11" xfId="0" applyFont="1" applyBorder="1" applyAlignment="1">
      <alignment horizontal="center" vertical="center" wrapText="1"/>
    </xf>
    <xf numFmtId="0" fontId="37" fillId="0" borderId="11" xfId="0" applyFont="1" applyBorder="1" applyAlignment="1">
      <alignment horizontal="center" vertical="center" wrapText="1"/>
    </xf>
    <xf numFmtId="0" fontId="36" fillId="0" borderId="11" xfId="0" applyFont="1" applyBorder="1" applyAlignment="1">
      <alignment horizontal="center" vertical="center"/>
    </xf>
    <xf numFmtId="0" fontId="1" fillId="0" borderId="12" xfId="0" applyFont="1" applyBorder="1" applyAlignment="1">
      <alignment horizontal="center" vertical="center" shrinkToFit="1"/>
    </xf>
    <xf numFmtId="0" fontId="1" fillId="0" borderId="13" xfId="0" applyFont="1" applyBorder="1" applyAlignment="1">
      <alignment horizontal="center" vertical="center" shrinkToFit="1"/>
    </xf>
    <xf numFmtId="0" fontId="1" fillId="0" borderId="14" xfId="0" applyFont="1" applyBorder="1" applyAlignment="1">
      <alignment horizontal="center" vertical="center" shrinkToFit="1"/>
    </xf>
    <xf numFmtId="0" fontId="38" fillId="5" borderId="15" xfId="0" applyFont="1" applyFill="1" applyBorder="1" applyAlignment="1">
      <alignment horizontal="left" vertical="center"/>
    </xf>
    <xf numFmtId="0" fontId="38" fillId="5" borderId="15" xfId="0" applyFont="1" applyFill="1" applyBorder="1" applyAlignment="1">
      <alignment vertical="center"/>
    </xf>
    <xf numFmtId="0" fontId="1" fillId="5" borderId="15" xfId="0" applyFont="1" applyFill="1" applyBorder="1" applyAlignment="1">
      <alignment vertical="center"/>
    </xf>
    <xf numFmtId="0" fontId="1" fillId="5" borderId="15" xfId="0" applyFont="1" applyFill="1" applyBorder="1" applyAlignment="1">
      <alignment horizontal="center" vertical="center"/>
    </xf>
    <xf numFmtId="168" fontId="1" fillId="5" borderId="15" xfId="0" applyNumberFormat="1" applyFont="1" applyFill="1" applyBorder="1" applyAlignment="1">
      <alignment horizontal="right" vertical="center"/>
    </xf>
    <xf numFmtId="168" fontId="1" fillId="5" borderId="15" xfId="0" applyNumberFormat="1" applyFont="1" applyFill="1" applyBorder="1" applyAlignment="1">
      <alignment horizontal="center" vertical="center"/>
    </xf>
    <xf numFmtId="1" fontId="1" fillId="5" borderId="15" xfId="1" applyNumberFormat="1" applyFont="1" applyFill="1" applyBorder="1" applyAlignment="1" applyProtection="1">
      <alignment horizontal="center" vertical="center"/>
    </xf>
    <xf numFmtId="9" fontId="1" fillId="5" borderId="15" xfId="1" applyFont="1" applyFill="1" applyBorder="1" applyAlignment="1" applyProtection="1">
      <alignment horizontal="center" vertical="center"/>
    </xf>
    <xf numFmtId="1" fontId="1" fillId="5" borderId="15" xfId="0" applyNumberFormat="1" applyFont="1" applyFill="1" applyBorder="1" applyAlignment="1">
      <alignment horizontal="center" vertical="center"/>
    </xf>
    <xf numFmtId="1" fontId="39" fillId="5" borderId="15" xfId="0" applyNumberFormat="1" applyFont="1" applyFill="1" applyBorder="1" applyAlignment="1">
      <alignment horizontal="center" vertical="center"/>
    </xf>
    <xf numFmtId="0" fontId="1" fillId="5" borderId="15" xfId="0" applyFont="1" applyFill="1" applyBorder="1" applyAlignment="1">
      <alignment horizontal="left" vertical="center"/>
    </xf>
    <xf numFmtId="0" fontId="1" fillId="7" borderId="1" xfId="0" applyFont="1" applyFill="1" applyBorder="1" applyAlignment="1">
      <alignment vertical="center" wrapText="1"/>
    </xf>
    <xf numFmtId="0" fontId="1" fillId="8" borderId="1" xfId="0" applyFont="1" applyFill="1" applyBorder="1" applyAlignment="1">
      <alignment vertical="center" wrapText="1"/>
    </xf>
    <xf numFmtId="0" fontId="1" fillId="0" borderId="1" xfId="0" applyFont="1" applyBorder="1" applyAlignment="1">
      <alignment vertical="center" wrapText="1"/>
    </xf>
    <xf numFmtId="0" fontId="1" fillId="9" borderId="1" xfId="0" applyFont="1" applyFill="1" applyBorder="1" applyAlignment="1">
      <alignment vertical="center"/>
    </xf>
    <xf numFmtId="9" fontId="4" fillId="3" borderId="3" xfId="1" applyNumberFormat="1" applyFont="1" applyFill="1" applyBorder="1" applyAlignment="1" applyProtection="1">
      <alignment horizontal="center" vertical="center"/>
    </xf>
    <xf numFmtId="0" fontId="1" fillId="10" borderId="1" xfId="0" applyFont="1" applyFill="1" applyBorder="1" applyAlignment="1">
      <alignment vertical="center" wrapText="1"/>
    </xf>
    <xf numFmtId="0" fontId="38" fillId="5" borderId="1" xfId="0" applyFont="1" applyFill="1" applyBorder="1" applyAlignment="1">
      <alignment horizontal="left" vertical="center"/>
    </xf>
    <xf numFmtId="0" fontId="38" fillId="5" borderId="1" xfId="0" applyFont="1" applyFill="1" applyBorder="1" applyAlignment="1">
      <alignment vertical="center"/>
    </xf>
    <xf numFmtId="0" fontId="1" fillId="5" borderId="1" xfId="0" applyFont="1" applyFill="1" applyBorder="1" applyAlignment="1">
      <alignment horizontal="center" vertical="center"/>
    </xf>
    <xf numFmtId="164" fontId="1" fillId="5" borderId="1" xfId="0" applyNumberFormat="1" applyFont="1" applyFill="1" applyBorder="1" applyAlignment="1">
      <alignment horizontal="center" vertical="center"/>
    </xf>
    <xf numFmtId="1" fontId="1" fillId="5" borderId="1" xfId="1" applyNumberFormat="1" applyFont="1" applyFill="1" applyBorder="1" applyAlignment="1" applyProtection="1">
      <alignment horizontal="center" vertical="center"/>
    </xf>
    <xf numFmtId="9" fontId="1" fillId="5" borderId="1" xfId="1" applyFont="1" applyFill="1" applyBorder="1" applyAlignment="1" applyProtection="1">
      <alignment horizontal="center" vertical="center"/>
    </xf>
    <xf numFmtId="1" fontId="1" fillId="5" borderId="1" xfId="0" applyNumberFormat="1" applyFont="1" applyFill="1" applyBorder="1" applyAlignment="1">
      <alignment horizontal="center" vertical="center"/>
    </xf>
    <xf numFmtId="1" fontId="39" fillId="5" borderId="1" xfId="0" applyNumberFormat="1" applyFont="1" applyFill="1" applyBorder="1" applyAlignment="1">
      <alignment horizontal="center" vertical="center"/>
    </xf>
    <xf numFmtId="0" fontId="1" fillId="5" borderId="1" xfId="0" applyFont="1" applyFill="1" applyBorder="1" applyAlignment="1">
      <alignment horizontal="left" vertical="center"/>
    </xf>
    <xf numFmtId="0" fontId="16" fillId="0" borderId="0" xfId="0" quotePrefix="1" applyFont="1" applyAlignment="1">
      <alignment horizontal="left" wrapText="1" indent="1"/>
    </xf>
    <xf numFmtId="0" fontId="16" fillId="0" borderId="0" xfId="0" quotePrefix="1" applyFont="1" applyAlignment="1">
      <alignment wrapText="1"/>
    </xf>
    <xf numFmtId="164" fontId="4" fillId="11" borderId="3" xfId="0" applyNumberFormat="1" applyFont="1" applyFill="1" applyBorder="1" applyAlignment="1">
      <alignment horizontal="center" vertical="center"/>
    </xf>
    <xf numFmtId="164" fontId="4" fillId="9" borderId="3" xfId="0" applyNumberFormat="1" applyFont="1" applyFill="1" applyBorder="1" applyAlignment="1">
      <alignment horizontal="center" vertical="center"/>
    </xf>
    <xf numFmtId="1" fontId="4" fillId="9" borderId="3" xfId="0" applyNumberFormat="1" applyFont="1" applyFill="1" applyBorder="1" applyAlignment="1">
      <alignment horizontal="center" vertical="center"/>
    </xf>
    <xf numFmtId="9" fontId="4" fillId="9" borderId="3" xfId="1" applyFont="1" applyFill="1" applyBorder="1" applyAlignment="1" applyProtection="1">
      <alignment horizontal="center" vertical="center"/>
    </xf>
    <xf numFmtId="0" fontId="1" fillId="12" borderId="1" xfId="0" applyFont="1" applyFill="1" applyBorder="1" applyAlignment="1">
      <alignment horizontal="left" vertical="center"/>
    </xf>
    <xf numFmtId="0" fontId="1" fillId="12" borderId="1" xfId="0" applyFont="1" applyFill="1" applyBorder="1" applyAlignment="1">
      <alignment vertical="center" wrapText="1"/>
    </xf>
    <xf numFmtId="0" fontId="1" fillId="12" borderId="1" xfId="0" applyFont="1" applyFill="1" applyBorder="1" applyAlignment="1">
      <alignment vertical="center"/>
    </xf>
    <xf numFmtId="0" fontId="4" fillId="12" borderId="3" xfId="0" applyFont="1" applyFill="1" applyBorder="1" applyAlignment="1">
      <alignment horizontal="center" vertical="center"/>
    </xf>
    <xf numFmtId="164" fontId="4" fillId="13" borderId="3" xfId="0" applyNumberFormat="1" applyFont="1" applyFill="1" applyBorder="1" applyAlignment="1">
      <alignment horizontal="center" vertical="center"/>
    </xf>
    <xf numFmtId="164" fontId="4" fillId="12" borderId="3" xfId="0" applyNumberFormat="1" applyFont="1" applyFill="1" applyBorder="1" applyAlignment="1">
      <alignment horizontal="center" vertical="center"/>
    </xf>
    <xf numFmtId="1" fontId="4" fillId="12" borderId="3" xfId="0" applyNumberFormat="1" applyFont="1" applyFill="1" applyBorder="1" applyAlignment="1">
      <alignment horizontal="center" vertical="center"/>
    </xf>
    <xf numFmtId="9" fontId="4" fillId="12" borderId="3" xfId="1" applyFont="1" applyFill="1" applyBorder="1" applyAlignment="1" applyProtection="1">
      <alignment horizontal="center" vertical="center"/>
    </xf>
    <xf numFmtId="0" fontId="1" fillId="9" borderId="1" xfId="0" applyFont="1" applyFill="1" applyBorder="1" applyAlignment="1">
      <alignment vertical="center" wrapText="1"/>
    </xf>
    <xf numFmtId="49" fontId="33" fillId="14" borderId="0" xfId="0" applyNumberFormat="1" applyFont="1" applyFill="1" applyAlignment="1">
      <alignment horizontal="left" vertical="center" wrapText="1"/>
    </xf>
    <xf numFmtId="0" fontId="1" fillId="14" borderId="1" xfId="0" applyFont="1" applyFill="1" applyBorder="1" applyAlignment="1">
      <alignment vertical="center" wrapText="1"/>
    </xf>
    <xf numFmtId="166" fontId="34" fillId="0" borderId="7" xfId="0" applyNumberFormat="1" applyFont="1" applyBorder="1" applyAlignment="1">
      <alignment horizontal="center" vertical="center"/>
    </xf>
    <xf numFmtId="166" fontId="34" fillId="0" borderId="8" xfId="0" applyNumberFormat="1" applyFont="1" applyBorder="1" applyAlignment="1">
      <alignment horizontal="center" vertical="center"/>
    </xf>
    <xf numFmtId="166" fontId="34" fillId="0" borderId="9" xfId="0" applyNumberFormat="1" applyFont="1" applyBorder="1" applyAlignment="1">
      <alignment horizontal="center" vertical="center"/>
    </xf>
    <xf numFmtId="165" fontId="34" fillId="0" borderId="10" xfId="0" applyNumberFormat="1" applyFont="1" applyBorder="1" applyAlignment="1" applyProtection="1">
      <alignment horizontal="center" vertical="center" shrinkToFit="1"/>
      <protection locked="0"/>
    </xf>
    <xf numFmtId="0" fontId="35" fillId="0" borderId="7" xfId="0" applyFont="1" applyBorder="1" applyAlignment="1">
      <alignment horizontal="center" vertical="center"/>
    </xf>
    <xf numFmtId="0" fontId="35" fillId="0" borderId="8" xfId="0" applyFont="1" applyBorder="1" applyAlignment="1">
      <alignment horizontal="center" vertical="center"/>
    </xf>
    <xf numFmtId="0" fontId="35" fillId="0" borderId="9" xfId="0" applyFont="1" applyBorder="1" applyAlignment="1">
      <alignment horizontal="center" vertical="center"/>
    </xf>
    <xf numFmtId="0" fontId="28" fillId="0" borderId="0" xfId="2" applyFont="1" applyBorder="1" applyAlignment="1" applyProtection="1">
      <alignment horizontal="left" vertical="center"/>
    </xf>
    <xf numFmtId="165" fontId="34" fillId="0" borderId="6" xfId="0" applyNumberFormat="1" applyFont="1" applyBorder="1" applyAlignment="1" applyProtection="1">
      <alignment horizontal="center" vertical="center" shrinkToFit="1"/>
      <protection locked="0"/>
    </xf>
    <xf numFmtId="0" fontId="14" fillId="0" borderId="0" xfId="0" applyFont="1" applyAlignment="1">
      <alignment horizontal="left"/>
    </xf>
    <xf numFmtId="0" fontId="6" fillId="0" borderId="0" xfId="0" applyFont="1" applyAlignment="1">
      <alignment horizontal="center"/>
    </xf>
    <xf numFmtId="0" fontId="1" fillId="15" borderId="1" xfId="0" applyFont="1" applyFill="1" applyBorder="1" applyAlignment="1">
      <alignment vertical="center" wrapText="1"/>
    </xf>
    <xf numFmtId="0" fontId="1" fillId="16" borderId="15" xfId="0" applyFont="1" applyFill="1" applyBorder="1" applyAlignment="1">
      <alignment vertical="center" wrapText="1"/>
    </xf>
    <xf numFmtId="0" fontId="1" fillId="16" borderId="1" xfId="0" applyFont="1" applyFill="1" applyBorder="1" applyAlignment="1">
      <alignment vertical="center" wrapText="1"/>
    </xf>
  </cellXfs>
  <cellStyles count="3">
    <cellStyle name="Hyperlink" xfId="2" builtinId="8"/>
    <cellStyle name="Normal" xfId="0" builtinId="0"/>
    <cellStyle name="Percent" xfId="1" builtinId="5"/>
  </cellStyles>
  <dxfs count="17">
    <dxf>
      <fill>
        <patternFill patternType="solid">
          <bgColor rgb="FF0070C0"/>
        </patternFill>
      </fill>
    </dxf>
    <dxf>
      <fill>
        <patternFill patternType="solid">
          <bgColor theme="0" tint="-0.499984740745262"/>
        </patternFill>
      </fill>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ont>
        <color theme="0"/>
      </font>
      <fill>
        <patternFill patternType="solid">
          <bgColor theme="5"/>
        </patternFill>
      </fill>
    </dxf>
    <dxf>
      <border>
        <left style="thin">
          <color rgb="FFC00000"/>
        </left>
        <right style="thin">
          <color rgb="FFC00000"/>
        </right>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Scroll" dx="22" fmlaLink="$H$4" horiz="1" max="100" min="1" page="0"/>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2</xdr:col>
      <xdr:colOff>504825</xdr:colOff>
      <xdr:row>5</xdr:row>
      <xdr:rowOff>142875</xdr:rowOff>
    </xdr:from>
    <xdr:to>
      <xdr:col>7</xdr:col>
      <xdr:colOff>95250</xdr:colOff>
      <xdr:row>10</xdr:row>
      <xdr:rowOff>80433</xdr:rowOff>
    </xdr:to>
    <xdr:sp macro="" textlink="">
      <xdr:nvSpPr>
        <xdr:cNvPr id="8236" name="Text Box 44" hidden="1"/>
        <xdr:cNvSpPr txBox="1">
          <a:spLocks noChangeArrowheads="1"/>
        </xdr:cNvSpPr>
      </xdr:nvSpPr>
      <xdr:spPr>
        <a:xfrm>
          <a:off x="4953000" y="1371600"/>
          <a:ext cx="3419475" cy="1099185"/>
        </a:xfrm>
        <a:prstGeom prst="rect">
          <a:avLst/>
        </a:prstGeom>
        <a:solidFill>
          <a:srgbClr val="FFFFE1"/>
        </a:solidFill>
        <a:ln w="9525">
          <a:solidFill>
            <a:srgbClr val="000000"/>
          </a:solid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9</xdr:col>
          <xdr:colOff>95250</xdr:colOff>
          <xdr:row>1</xdr:row>
          <xdr:rowOff>123825</xdr:rowOff>
        </xdr:from>
        <xdr:to>
          <xdr:col>27</xdr:col>
          <xdr:colOff>104775</xdr:colOff>
          <xdr:row>2</xdr:row>
          <xdr:rowOff>114300</xdr:rowOff>
        </xdr:to>
        <xdr:sp macro="" textlink="">
          <xdr:nvSpPr>
            <xdr:cNvPr id="8238" name="Scroll Bar 46" hidden="1">
              <a:extLst>
                <a:ext uri="{63B3BB69-23CF-44E3-9099-C40C66FF867C}">
                  <a14:compatExt spid="_x0000_s8238"/>
                </a:ext>
              </a:extLst>
            </xdr:cNvPr>
            <xdr:cNvSpPr/>
          </xdr:nvSpPr>
          <xdr:spPr>
            <a:xfrm>
              <a:off x="0" y="0"/>
              <a:ext cx="0" cy="0"/>
            </a:xfrm>
            <a:prstGeom prst="rect">
              <a:avLst/>
            </a:prstGeom>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121921</xdr:colOff>
      <xdr:row>2</xdr:row>
      <xdr:rowOff>129540</xdr:rowOff>
    </xdr:from>
    <xdr:to>
      <xdr:col>1</xdr:col>
      <xdr:colOff>2141220</xdr:colOff>
      <xdr:row>12</xdr:row>
      <xdr:rowOff>198120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93395" y="672465"/>
          <a:ext cx="2019300" cy="175450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2135505</xdr:colOff>
      <xdr:row>0</xdr:row>
      <xdr:rowOff>0</xdr:rowOff>
    </xdr:from>
    <xdr:to>
      <xdr:col>2</xdr:col>
      <xdr:colOff>3611880</xdr:colOff>
      <xdr:row>0</xdr:row>
      <xdr:rowOff>340995</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21580" y="0"/>
          <a:ext cx="1476375" cy="3409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4495800</xdr:colOff>
      <xdr:row>0</xdr:row>
      <xdr:rowOff>1</xdr:rowOff>
    </xdr:from>
    <xdr:to>
      <xdr:col>1</xdr:col>
      <xdr:colOff>6000750</xdr:colOff>
      <xdr:row>0</xdr:row>
      <xdr:rowOff>338615</xdr:rowOff>
    </xdr:to>
    <xdr:pic>
      <xdr:nvPicPr>
        <xdr:cNvPr id="5" name="Picture 4"/>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7275" y="0"/>
          <a:ext cx="1504950" cy="33845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3771899</xdr:colOff>
      <xdr:row>0</xdr:row>
      <xdr:rowOff>1</xdr:rowOff>
    </xdr:from>
    <xdr:to>
      <xdr:col>1</xdr:col>
      <xdr:colOff>5381624</xdr:colOff>
      <xdr:row>0</xdr:row>
      <xdr:rowOff>362189</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42740" y="0"/>
          <a:ext cx="1609725" cy="3619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0</xdr:col>
      <xdr:colOff>304800</xdr:colOff>
      <xdr:row>4</xdr:row>
      <xdr:rowOff>142875</xdr:rowOff>
    </xdr:to>
    <xdr:sp macro="" textlink="">
      <xdr:nvSpPr>
        <xdr:cNvPr id="12289" name="AutoShape 1" descr="blob:https://web.whatsapp.com/4841a61e-759f-484d-9013-f081556103c8"/>
        <xdr:cNvSpPr>
          <a:spLocks noChangeAspect="1" noChangeArrowheads="1"/>
        </xdr:cNvSpPr>
      </xdr:nvSpPr>
      <xdr:spPr>
        <a:xfrm>
          <a:off x="0" y="1933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xdr:row>
      <xdr:rowOff>0</xdr:rowOff>
    </xdr:from>
    <xdr:to>
      <xdr:col>0</xdr:col>
      <xdr:colOff>304800</xdr:colOff>
      <xdr:row>4</xdr:row>
      <xdr:rowOff>142875</xdr:rowOff>
    </xdr:to>
    <xdr:sp macro="" textlink="">
      <xdr:nvSpPr>
        <xdr:cNvPr id="12291" name="AutoShape 3" descr="blob:https://web.whatsapp.com/4841a61e-759f-484d-9013-f081556103c8"/>
        <xdr:cNvSpPr>
          <a:spLocks noChangeAspect="1" noChangeArrowheads="1"/>
        </xdr:cNvSpPr>
      </xdr:nvSpPr>
      <xdr:spPr>
        <a:xfrm>
          <a:off x="0" y="1933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blog/business/pm/new-gantt-chart-for-excel-online.html" TargetMode="External"/><Relationship Id="rId2" Type="http://schemas.openxmlformats.org/officeDocument/2006/relationships/hyperlink" Target="https://www.vertex42.com/Links/go.php?urlid=GanttChartPro" TargetMode="External"/><Relationship Id="rId1" Type="http://schemas.openxmlformats.org/officeDocument/2006/relationships/hyperlink" Target="https://www.vertex42.com/Links/go.php?urlid=GanttChartPro"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s://excel.uservoice.com/forums/304921-excel-for-windows-desktop-application/suggestions/19676413-make-paste-and-merge-conditional-formatting-the" TargetMode="External"/><Relationship Id="rId2" Type="http://schemas.openxmlformats.org/officeDocument/2006/relationships/hyperlink" Target="https://www.vertex42.com/ExcelTemplates/excel-gantt-chart.html" TargetMode="External"/><Relationship Id="rId1" Type="http://schemas.openxmlformats.org/officeDocument/2006/relationships/hyperlink" Target="https://www.vertex42.com/Links/go.php?urlid=GanttChartPro"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excel-gantt-chart.html"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pageSetUpPr fitToPage="1"/>
  </sheetPr>
  <dimension ref="A1:BN115"/>
  <sheetViews>
    <sheetView showGridLines="0" tabSelected="1" zoomScale="110" zoomScaleNormal="110" workbookViewId="0">
      <pane ySplit="7" topLeftCell="A56" activePane="bottomLeft" state="frozen"/>
      <selection pane="bottomLeft" activeCell="A7" sqref="A7:I61"/>
    </sheetView>
  </sheetViews>
  <sheetFormatPr defaultColWidth="9.140625" defaultRowHeight="12.75"/>
  <cols>
    <col min="1" max="1" width="6.85546875" customWidth="1"/>
    <col min="2" max="2" width="59.85546875" customWidth="1"/>
    <col min="3" max="3" width="13.42578125" customWidth="1"/>
    <col min="4" max="4" width="14" customWidth="1"/>
    <col min="5" max="6" width="12" customWidth="1"/>
    <col min="7" max="7" width="6" customWidth="1"/>
    <col min="8" max="8" width="6.7109375" customWidth="1"/>
    <col min="9" max="9" width="6.42578125" customWidth="1"/>
    <col min="10" max="10" width="1.85546875" customWidth="1"/>
    <col min="11" max="66" width="2.42578125" customWidth="1"/>
  </cols>
  <sheetData>
    <row r="1" spans="1:66" ht="30" customHeight="1">
      <c r="A1" s="56" t="s">
        <v>239</v>
      </c>
      <c r="B1" s="57"/>
      <c r="C1" s="57"/>
      <c r="D1" s="57"/>
      <c r="E1" s="57"/>
      <c r="F1" s="57"/>
      <c r="I1" s="58"/>
      <c r="K1" s="128"/>
      <c r="L1" s="128"/>
      <c r="M1" s="128"/>
      <c r="N1" s="128"/>
      <c r="O1" s="128"/>
      <c r="P1" s="128"/>
      <c r="Q1" s="128"/>
      <c r="R1" s="128"/>
      <c r="S1" s="128"/>
      <c r="T1" s="128"/>
      <c r="U1" s="128"/>
      <c r="V1" s="128"/>
      <c r="W1" s="128"/>
      <c r="X1" s="128"/>
      <c r="Y1" s="128"/>
      <c r="Z1" s="128"/>
      <c r="AA1" s="128"/>
      <c r="AB1" s="128"/>
      <c r="AC1" s="128"/>
      <c r="AD1" s="128"/>
      <c r="AE1" s="128"/>
    </row>
    <row r="2" spans="1:66" ht="18" customHeight="1">
      <c r="A2" s="59"/>
      <c r="B2" s="60"/>
      <c r="C2" s="60"/>
      <c r="D2" s="61"/>
      <c r="E2" s="62"/>
      <c r="F2" s="62"/>
      <c r="H2" s="63"/>
    </row>
    <row r="3" spans="1:66" ht="14.25">
      <c r="A3" s="59"/>
      <c r="H3" s="63"/>
      <c r="K3" s="64"/>
      <c r="L3" s="64"/>
      <c r="M3" s="64"/>
      <c r="N3" s="64"/>
      <c r="O3" s="64"/>
      <c r="P3" s="64"/>
      <c r="Q3" s="64"/>
      <c r="R3" s="64"/>
      <c r="S3" s="64"/>
      <c r="T3" s="64"/>
      <c r="U3" s="64"/>
      <c r="V3" s="64"/>
      <c r="W3" s="64"/>
      <c r="X3" s="64"/>
      <c r="Y3" s="64"/>
      <c r="Z3" s="64"/>
      <c r="AA3" s="64"/>
    </row>
    <row r="4" spans="1:66" ht="17.25" customHeight="1">
      <c r="A4" s="65"/>
      <c r="B4" s="66" t="s">
        <v>0</v>
      </c>
      <c r="C4" s="129">
        <v>45986</v>
      </c>
      <c r="D4" s="129"/>
      <c r="E4" s="129"/>
      <c r="F4" s="65"/>
      <c r="G4" s="66" t="s">
        <v>1</v>
      </c>
      <c r="H4" s="67">
        <v>1</v>
      </c>
      <c r="J4" s="65"/>
      <c r="K4" s="125" t="str">
        <f>"Week "&amp;(K6-($C$4-WEEKDAY($C$4,1)+2))/7+1</f>
        <v>Week 1</v>
      </c>
      <c r="L4" s="126"/>
      <c r="M4" s="126"/>
      <c r="N4" s="126"/>
      <c r="O4" s="126"/>
      <c r="P4" s="126"/>
      <c r="Q4" s="127"/>
      <c r="R4" s="125" t="str">
        <f>"Week "&amp;(R6-($C$4-WEEKDAY($C$4,1)+2))/7+1</f>
        <v>Week 2</v>
      </c>
      <c r="S4" s="126"/>
      <c r="T4" s="126"/>
      <c r="U4" s="126"/>
      <c r="V4" s="126"/>
      <c r="W4" s="126"/>
      <c r="X4" s="127"/>
      <c r="Y4" s="125" t="str">
        <f>"Week "&amp;(Y6-($C$4-WEEKDAY($C$4,1)+2))/7+1</f>
        <v>Week 3</v>
      </c>
      <c r="Z4" s="126"/>
      <c r="AA4" s="126"/>
      <c r="AB4" s="126"/>
      <c r="AC4" s="126"/>
      <c r="AD4" s="126"/>
      <c r="AE4" s="127"/>
      <c r="AF4" s="125" t="str">
        <f>"Week "&amp;(AF6-($C$4-WEEKDAY($C$4,1)+2))/7+1</f>
        <v>Week 4</v>
      </c>
      <c r="AG4" s="126"/>
      <c r="AH4" s="126"/>
      <c r="AI4" s="126"/>
      <c r="AJ4" s="126"/>
      <c r="AK4" s="126"/>
      <c r="AL4" s="127"/>
      <c r="AM4" s="125" t="str">
        <f>"Week "&amp;(AM6-($C$4-WEEKDAY($C$4,1)+2))/7+1</f>
        <v>Week 5</v>
      </c>
      <c r="AN4" s="126"/>
      <c r="AO4" s="126"/>
      <c r="AP4" s="126"/>
      <c r="AQ4" s="126"/>
      <c r="AR4" s="126"/>
      <c r="AS4" s="127"/>
      <c r="AT4" s="125" t="str">
        <f>"Week "&amp;(AT6-($C$4-WEEKDAY($C$4,1)+2))/7+1</f>
        <v>Week 6</v>
      </c>
      <c r="AU4" s="126"/>
      <c r="AV4" s="126"/>
      <c r="AW4" s="126"/>
      <c r="AX4" s="126"/>
      <c r="AY4" s="126"/>
      <c r="AZ4" s="127"/>
      <c r="BA4" s="125" t="str">
        <f>"Week "&amp;(BA6-($C$4-WEEKDAY($C$4,1)+2))/7+1</f>
        <v>Week 7</v>
      </c>
      <c r="BB4" s="126"/>
      <c r="BC4" s="126"/>
      <c r="BD4" s="126"/>
      <c r="BE4" s="126"/>
      <c r="BF4" s="126"/>
      <c r="BG4" s="127"/>
      <c r="BH4" s="125" t="str">
        <f>"Week "&amp;(BH6-($C$4-WEEKDAY($C$4,1)+2))/7+1</f>
        <v>Week 8</v>
      </c>
      <c r="BI4" s="126"/>
      <c r="BJ4" s="126"/>
      <c r="BK4" s="126"/>
      <c r="BL4" s="126"/>
      <c r="BM4" s="126"/>
      <c r="BN4" s="127"/>
    </row>
    <row r="5" spans="1:66" ht="17.25" customHeight="1">
      <c r="A5" s="65"/>
      <c r="B5" s="66" t="s">
        <v>2</v>
      </c>
      <c r="C5" s="124" t="s">
        <v>3</v>
      </c>
      <c r="D5" s="124"/>
      <c r="E5" s="124"/>
      <c r="F5" s="65"/>
      <c r="G5" s="65"/>
      <c r="H5" s="65"/>
      <c r="I5" s="65"/>
      <c r="J5" s="65"/>
      <c r="K5" s="121">
        <f>K6</f>
        <v>45985</v>
      </c>
      <c r="L5" s="122"/>
      <c r="M5" s="122"/>
      <c r="N5" s="122"/>
      <c r="O5" s="122"/>
      <c r="P5" s="122"/>
      <c r="Q5" s="123"/>
      <c r="R5" s="121">
        <f>R6</f>
        <v>45992</v>
      </c>
      <c r="S5" s="122"/>
      <c r="T5" s="122"/>
      <c r="U5" s="122"/>
      <c r="V5" s="122"/>
      <c r="W5" s="122"/>
      <c r="X5" s="123"/>
      <c r="Y5" s="121">
        <f>Y6</f>
        <v>45999</v>
      </c>
      <c r="Z5" s="122"/>
      <c r="AA5" s="122"/>
      <c r="AB5" s="122"/>
      <c r="AC5" s="122"/>
      <c r="AD5" s="122"/>
      <c r="AE5" s="123"/>
      <c r="AF5" s="121">
        <f>AF6</f>
        <v>46006</v>
      </c>
      <c r="AG5" s="122"/>
      <c r="AH5" s="122"/>
      <c r="AI5" s="122"/>
      <c r="AJ5" s="122"/>
      <c r="AK5" s="122"/>
      <c r="AL5" s="123"/>
      <c r="AM5" s="121">
        <f>AM6</f>
        <v>46013</v>
      </c>
      <c r="AN5" s="122"/>
      <c r="AO5" s="122"/>
      <c r="AP5" s="122"/>
      <c r="AQ5" s="122"/>
      <c r="AR5" s="122"/>
      <c r="AS5" s="123"/>
      <c r="AT5" s="121">
        <f>AT6</f>
        <v>46020</v>
      </c>
      <c r="AU5" s="122"/>
      <c r="AV5" s="122"/>
      <c r="AW5" s="122"/>
      <c r="AX5" s="122"/>
      <c r="AY5" s="122"/>
      <c r="AZ5" s="123"/>
      <c r="BA5" s="121">
        <f>BA6</f>
        <v>46027</v>
      </c>
      <c r="BB5" s="122"/>
      <c r="BC5" s="122"/>
      <c r="BD5" s="122"/>
      <c r="BE5" s="122"/>
      <c r="BF5" s="122"/>
      <c r="BG5" s="123"/>
      <c r="BH5" s="121">
        <f>BH6</f>
        <v>46034</v>
      </c>
      <c r="BI5" s="122"/>
      <c r="BJ5" s="122"/>
      <c r="BK5" s="122"/>
      <c r="BL5" s="122"/>
      <c r="BM5" s="122"/>
      <c r="BN5" s="123"/>
    </row>
    <row r="6" spans="1:66">
      <c r="A6" s="65"/>
      <c r="B6" s="65"/>
      <c r="C6" s="65"/>
      <c r="D6" s="65"/>
      <c r="E6" s="65"/>
      <c r="F6" s="65"/>
      <c r="G6" s="65"/>
      <c r="H6" s="65"/>
      <c r="I6" s="65"/>
      <c r="J6" s="65"/>
      <c r="K6" s="68">
        <f>C4-WEEKDAY(C4,1)+2+7*(H4-1)</f>
        <v>45985</v>
      </c>
      <c r="L6" s="69">
        <f t="shared" ref="L6:AQ6" si="0">K6+1</f>
        <v>45986</v>
      </c>
      <c r="M6" s="69">
        <f t="shared" si="0"/>
        <v>45987</v>
      </c>
      <c r="N6" s="69">
        <f t="shared" si="0"/>
        <v>45988</v>
      </c>
      <c r="O6" s="69">
        <f t="shared" si="0"/>
        <v>45989</v>
      </c>
      <c r="P6" s="69">
        <f t="shared" si="0"/>
        <v>45990</v>
      </c>
      <c r="Q6" s="70">
        <f t="shared" si="0"/>
        <v>45991</v>
      </c>
      <c r="R6" s="68">
        <f t="shared" si="0"/>
        <v>45992</v>
      </c>
      <c r="S6" s="69">
        <f t="shared" si="0"/>
        <v>45993</v>
      </c>
      <c r="T6" s="69">
        <f t="shared" si="0"/>
        <v>45994</v>
      </c>
      <c r="U6" s="69">
        <f t="shared" si="0"/>
        <v>45995</v>
      </c>
      <c r="V6" s="69">
        <f t="shared" si="0"/>
        <v>45996</v>
      </c>
      <c r="W6" s="69">
        <f t="shared" si="0"/>
        <v>45997</v>
      </c>
      <c r="X6" s="70">
        <f t="shared" si="0"/>
        <v>45998</v>
      </c>
      <c r="Y6" s="68">
        <f t="shared" si="0"/>
        <v>45999</v>
      </c>
      <c r="Z6" s="69">
        <f t="shared" si="0"/>
        <v>46000</v>
      </c>
      <c r="AA6" s="69">
        <f t="shared" si="0"/>
        <v>46001</v>
      </c>
      <c r="AB6" s="69">
        <f t="shared" si="0"/>
        <v>46002</v>
      </c>
      <c r="AC6" s="69">
        <f t="shared" si="0"/>
        <v>46003</v>
      </c>
      <c r="AD6" s="69">
        <f t="shared" si="0"/>
        <v>46004</v>
      </c>
      <c r="AE6" s="70">
        <f t="shared" si="0"/>
        <v>46005</v>
      </c>
      <c r="AF6" s="68">
        <f t="shared" si="0"/>
        <v>46006</v>
      </c>
      <c r="AG6" s="69">
        <f t="shared" si="0"/>
        <v>46007</v>
      </c>
      <c r="AH6" s="69">
        <f t="shared" si="0"/>
        <v>46008</v>
      </c>
      <c r="AI6" s="69">
        <f t="shared" si="0"/>
        <v>46009</v>
      </c>
      <c r="AJ6" s="69">
        <f t="shared" si="0"/>
        <v>46010</v>
      </c>
      <c r="AK6" s="69">
        <f t="shared" si="0"/>
        <v>46011</v>
      </c>
      <c r="AL6" s="70">
        <f t="shared" si="0"/>
        <v>46012</v>
      </c>
      <c r="AM6" s="68">
        <f t="shared" si="0"/>
        <v>46013</v>
      </c>
      <c r="AN6" s="69">
        <f t="shared" si="0"/>
        <v>46014</v>
      </c>
      <c r="AO6" s="69">
        <f t="shared" si="0"/>
        <v>46015</v>
      </c>
      <c r="AP6" s="69">
        <f t="shared" si="0"/>
        <v>46016</v>
      </c>
      <c r="AQ6" s="69">
        <f t="shared" si="0"/>
        <v>46017</v>
      </c>
      <c r="AR6" s="69">
        <f t="shared" ref="AR6:BN6" si="1">AQ6+1</f>
        <v>46018</v>
      </c>
      <c r="AS6" s="70">
        <f t="shared" si="1"/>
        <v>46019</v>
      </c>
      <c r="AT6" s="68">
        <f t="shared" si="1"/>
        <v>46020</v>
      </c>
      <c r="AU6" s="69">
        <f t="shared" si="1"/>
        <v>46021</v>
      </c>
      <c r="AV6" s="69">
        <f t="shared" si="1"/>
        <v>46022</v>
      </c>
      <c r="AW6" s="69">
        <f t="shared" si="1"/>
        <v>46023</v>
      </c>
      <c r="AX6" s="69">
        <f t="shared" si="1"/>
        <v>46024</v>
      </c>
      <c r="AY6" s="69">
        <f t="shared" si="1"/>
        <v>46025</v>
      </c>
      <c r="AZ6" s="70">
        <f t="shared" si="1"/>
        <v>46026</v>
      </c>
      <c r="BA6" s="68">
        <f t="shared" si="1"/>
        <v>46027</v>
      </c>
      <c r="BB6" s="69">
        <f t="shared" si="1"/>
        <v>46028</v>
      </c>
      <c r="BC6" s="69">
        <f t="shared" si="1"/>
        <v>46029</v>
      </c>
      <c r="BD6" s="69">
        <f t="shared" si="1"/>
        <v>46030</v>
      </c>
      <c r="BE6" s="69">
        <f t="shared" si="1"/>
        <v>46031</v>
      </c>
      <c r="BF6" s="69">
        <f t="shared" si="1"/>
        <v>46032</v>
      </c>
      <c r="BG6" s="70">
        <f t="shared" si="1"/>
        <v>46033</v>
      </c>
      <c r="BH6" s="68">
        <f t="shared" si="1"/>
        <v>46034</v>
      </c>
      <c r="BI6" s="69">
        <f t="shared" si="1"/>
        <v>46035</v>
      </c>
      <c r="BJ6" s="69">
        <f t="shared" si="1"/>
        <v>46036</v>
      </c>
      <c r="BK6" s="69">
        <f t="shared" si="1"/>
        <v>46037</v>
      </c>
      <c r="BL6" s="69">
        <f t="shared" si="1"/>
        <v>46038</v>
      </c>
      <c r="BM6" s="69">
        <f t="shared" si="1"/>
        <v>46039</v>
      </c>
      <c r="BN6" s="70">
        <f t="shared" si="1"/>
        <v>46040</v>
      </c>
    </row>
    <row r="7" spans="1:66" ht="24">
      <c r="A7" s="71" t="s">
        <v>4</v>
      </c>
      <c r="B7" s="71" t="s">
        <v>5</v>
      </c>
      <c r="C7" s="72" t="s">
        <v>6</v>
      </c>
      <c r="D7" s="73" t="s">
        <v>7</v>
      </c>
      <c r="E7" s="74" t="s">
        <v>8</v>
      </c>
      <c r="F7" s="74" t="s">
        <v>9</v>
      </c>
      <c r="G7" s="72" t="s">
        <v>10</v>
      </c>
      <c r="H7" s="72" t="s">
        <v>11</v>
      </c>
      <c r="I7" s="72" t="s">
        <v>12</v>
      </c>
      <c r="J7" s="72"/>
      <c r="K7" s="75" t="str">
        <f t="shared" ref="K7:AP7" si="2">CHOOSE(WEEKDAY(K6,1),"S","M","T","W","T","F","S")</f>
        <v>M</v>
      </c>
      <c r="L7" s="76" t="str">
        <f t="shared" si="2"/>
        <v>T</v>
      </c>
      <c r="M7" s="76" t="str">
        <f t="shared" si="2"/>
        <v>W</v>
      </c>
      <c r="N7" s="76" t="str">
        <f t="shared" si="2"/>
        <v>T</v>
      </c>
      <c r="O7" s="76" t="str">
        <f t="shared" si="2"/>
        <v>F</v>
      </c>
      <c r="P7" s="76" t="str">
        <f t="shared" si="2"/>
        <v>S</v>
      </c>
      <c r="Q7" s="77" t="str">
        <f t="shared" si="2"/>
        <v>S</v>
      </c>
      <c r="R7" s="75" t="str">
        <f t="shared" si="2"/>
        <v>M</v>
      </c>
      <c r="S7" s="76" t="str">
        <f t="shared" si="2"/>
        <v>T</v>
      </c>
      <c r="T7" s="76" t="str">
        <f t="shared" si="2"/>
        <v>W</v>
      </c>
      <c r="U7" s="76" t="str">
        <f t="shared" si="2"/>
        <v>T</v>
      </c>
      <c r="V7" s="76" t="str">
        <f t="shared" si="2"/>
        <v>F</v>
      </c>
      <c r="W7" s="76" t="str">
        <f t="shared" si="2"/>
        <v>S</v>
      </c>
      <c r="X7" s="77" t="str">
        <f t="shared" si="2"/>
        <v>S</v>
      </c>
      <c r="Y7" s="75" t="str">
        <f t="shared" si="2"/>
        <v>M</v>
      </c>
      <c r="Z7" s="76" t="str">
        <f t="shared" si="2"/>
        <v>T</v>
      </c>
      <c r="AA7" s="76" t="str">
        <f t="shared" si="2"/>
        <v>W</v>
      </c>
      <c r="AB7" s="76" t="str">
        <f t="shared" si="2"/>
        <v>T</v>
      </c>
      <c r="AC7" s="76" t="str">
        <f t="shared" si="2"/>
        <v>F</v>
      </c>
      <c r="AD7" s="76" t="str">
        <f t="shared" si="2"/>
        <v>S</v>
      </c>
      <c r="AE7" s="77" t="str">
        <f t="shared" si="2"/>
        <v>S</v>
      </c>
      <c r="AF7" s="75" t="str">
        <f t="shared" si="2"/>
        <v>M</v>
      </c>
      <c r="AG7" s="76" t="str">
        <f t="shared" si="2"/>
        <v>T</v>
      </c>
      <c r="AH7" s="76" t="str">
        <f t="shared" si="2"/>
        <v>W</v>
      </c>
      <c r="AI7" s="76" t="str">
        <f t="shared" si="2"/>
        <v>T</v>
      </c>
      <c r="AJ7" s="76" t="str">
        <f t="shared" si="2"/>
        <v>F</v>
      </c>
      <c r="AK7" s="76" t="str">
        <f t="shared" si="2"/>
        <v>S</v>
      </c>
      <c r="AL7" s="77" t="str">
        <f t="shared" si="2"/>
        <v>S</v>
      </c>
      <c r="AM7" s="75" t="str">
        <f t="shared" si="2"/>
        <v>M</v>
      </c>
      <c r="AN7" s="76" t="str">
        <f t="shared" si="2"/>
        <v>T</v>
      </c>
      <c r="AO7" s="76" t="str">
        <f t="shared" si="2"/>
        <v>W</v>
      </c>
      <c r="AP7" s="76" t="str">
        <f t="shared" si="2"/>
        <v>T</v>
      </c>
      <c r="AQ7" s="76" t="str">
        <f t="shared" ref="AQ7:BN7" si="3">CHOOSE(WEEKDAY(AQ6,1),"S","M","T","W","T","F","S")</f>
        <v>F</v>
      </c>
      <c r="AR7" s="76" t="str">
        <f t="shared" si="3"/>
        <v>S</v>
      </c>
      <c r="AS7" s="77" t="str">
        <f t="shared" si="3"/>
        <v>S</v>
      </c>
      <c r="AT7" s="75" t="str">
        <f t="shared" si="3"/>
        <v>M</v>
      </c>
      <c r="AU7" s="76" t="str">
        <f t="shared" si="3"/>
        <v>T</v>
      </c>
      <c r="AV7" s="76" t="str">
        <f t="shared" si="3"/>
        <v>W</v>
      </c>
      <c r="AW7" s="76" t="str">
        <f t="shared" si="3"/>
        <v>T</v>
      </c>
      <c r="AX7" s="76" t="str">
        <f t="shared" si="3"/>
        <v>F</v>
      </c>
      <c r="AY7" s="76" t="str">
        <f t="shared" si="3"/>
        <v>S</v>
      </c>
      <c r="AZ7" s="77" t="str">
        <f t="shared" si="3"/>
        <v>S</v>
      </c>
      <c r="BA7" s="75" t="str">
        <f t="shared" si="3"/>
        <v>M</v>
      </c>
      <c r="BB7" s="76" t="str">
        <f t="shared" si="3"/>
        <v>T</v>
      </c>
      <c r="BC7" s="76" t="str">
        <f t="shared" si="3"/>
        <v>W</v>
      </c>
      <c r="BD7" s="76" t="str">
        <f t="shared" si="3"/>
        <v>T</v>
      </c>
      <c r="BE7" s="76" t="str">
        <f t="shared" si="3"/>
        <v>F</v>
      </c>
      <c r="BF7" s="76" t="str">
        <f t="shared" si="3"/>
        <v>S</v>
      </c>
      <c r="BG7" s="77" t="str">
        <f t="shared" si="3"/>
        <v>S</v>
      </c>
      <c r="BH7" s="75" t="str">
        <f t="shared" si="3"/>
        <v>M</v>
      </c>
      <c r="BI7" s="76" t="str">
        <f t="shared" si="3"/>
        <v>T</v>
      </c>
      <c r="BJ7" s="76" t="str">
        <f t="shared" si="3"/>
        <v>W</v>
      </c>
      <c r="BK7" s="76" t="str">
        <f t="shared" si="3"/>
        <v>T</v>
      </c>
      <c r="BL7" s="76" t="str">
        <f t="shared" si="3"/>
        <v>F</v>
      </c>
      <c r="BM7" s="76" t="str">
        <f t="shared" si="3"/>
        <v>S</v>
      </c>
      <c r="BN7" s="77" t="str">
        <f t="shared" si="3"/>
        <v>S</v>
      </c>
    </row>
    <row r="8" spans="1:66" s="55" customFormat="1" ht="18">
      <c r="A8" s="78" t="str">
        <f>IF(ISERROR(VALUE(SUBSTITUTE(prevWBS,".",""))),"1",IF(ISERROR(FIND("`",SUBSTITUTE(prevWBS,".","`",1))),TEXT(VALUE(prevWBS)+1,"#"),TEXT(VALUE(LEFT(prevWBS,FIND("`",SUBSTITUTE(prevWBS,".","`",1))-1))+1,"#")))</f>
        <v>1</v>
      </c>
      <c r="B8" s="79" t="s">
        <v>13</v>
      </c>
      <c r="C8" s="80"/>
      <c r="D8" s="81"/>
      <c r="E8" s="82"/>
      <c r="F8" s="83" t="str">
        <f t="shared" ref="F8:F16" si="4">IF(ISBLANK(E8)," - ",IF(G8=0,E8,E8+G8-1))</f>
        <v xml:space="preserve"> - </v>
      </c>
      <c r="G8" s="84"/>
      <c r="H8" s="85"/>
      <c r="I8" s="86" t="str">
        <f>IF(OR(F8=0,E8=0)," - ",NETWORKDAYS(E8,F8))</f>
        <v xml:space="preserve"> - </v>
      </c>
      <c r="J8" s="87"/>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row>
    <row r="9" spans="1:66" s="1" customFormat="1" ht="18">
      <c r="A9" s="4" t="str">
        <f t="shared" ref="A9:A19" si="5">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89" t="s">
        <v>14</v>
      </c>
      <c r="C9" s="1" t="s">
        <v>15</v>
      </c>
      <c r="D9" s="5"/>
      <c r="E9" s="6">
        <v>45987</v>
      </c>
      <c r="F9" s="7">
        <f t="shared" si="4"/>
        <v>45987</v>
      </c>
      <c r="G9" s="8">
        <v>1</v>
      </c>
      <c r="H9" s="9">
        <v>1</v>
      </c>
      <c r="I9" s="10">
        <f>IF(OR(F9=0,E9=0)," - ",NETWORKDAYS(E9,F9))</f>
        <v>1</v>
      </c>
      <c r="J9" s="11"/>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row>
    <row r="10" spans="1:66" s="1" customFormat="1" ht="18">
      <c r="A10" s="4" t="str">
        <f t="shared" si="5"/>
        <v>1.2</v>
      </c>
      <c r="B10" s="89" t="s">
        <v>16</v>
      </c>
      <c r="C10" s="1" t="s">
        <v>15</v>
      </c>
      <c r="D10" s="5"/>
      <c r="E10" s="6">
        <v>45988</v>
      </c>
      <c r="F10" s="7">
        <f t="shared" si="4"/>
        <v>46054</v>
      </c>
      <c r="G10" s="8">
        <v>67</v>
      </c>
      <c r="H10" s="9">
        <v>0.5</v>
      </c>
      <c r="I10" s="10">
        <f>IF(OR(F10=0,E10=0)," - ",NETWORKDAYS(E10,F10))</f>
        <v>47</v>
      </c>
      <c r="J10" s="11"/>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row>
    <row r="11" spans="1:66" s="1" customFormat="1" ht="18">
      <c r="A11" s="4" t="str">
        <f t="shared" si="5"/>
        <v>1.3</v>
      </c>
      <c r="B11" s="89" t="s">
        <v>17</v>
      </c>
      <c r="C11" s="1" t="s">
        <v>15</v>
      </c>
      <c r="D11" s="5"/>
      <c r="E11" s="6">
        <v>45995</v>
      </c>
      <c r="F11" s="7">
        <f t="shared" si="4"/>
        <v>46001</v>
      </c>
      <c r="G11" s="8">
        <v>7</v>
      </c>
      <c r="H11" s="9">
        <v>1</v>
      </c>
      <c r="I11" s="10">
        <f>IF(OR(F11=0,E11=0)," - ",NETWORKDAYS(E11,F11))</f>
        <v>5</v>
      </c>
      <c r="J11" s="11"/>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row>
    <row r="12" spans="1:66" s="1" customFormat="1" ht="18">
      <c r="A12" s="4" t="str">
        <f t="shared" si="5"/>
        <v>1.4</v>
      </c>
      <c r="B12" s="89" t="s">
        <v>18</v>
      </c>
      <c r="C12" s="1" t="s">
        <v>19</v>
      </c>
      <c r="D12" s="5"/>
      <c r="E12" s="6">
        <v>46009</v>
      </c>
      <c r="F12" s="7">
        <f t="shared" si="4"/>
        <v>46014</v>
      </c>
      <c r="G12" s="8">
        <v>6</v>
      </c>
      <c r="H12" s="9">
        <v>1</v>
      </c>
      <c r="I12" s="10">
        <f>IF(OR(F12=0,E12=0)," - ",NETWORKDAYS(E12,F12))</f>
        <v>4</v>
      </c>
      <c r="J12" s="11"/>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row>
    <row r="13" spans="1:66" s="1" customFormat="1" ht="18">
      <c r="A13" s="4" t="str">
        <f t="shared" si="5"/>
        <v>1.5</v>
      </c>
      <c r="B13" s="89" t="s">
        <v>20</v>
      </c>
      <c r="C13" s="1" t="s">
        <v>15</v>
      </c>
      <c r="D13" s="5"/>
      <c r="E13" s="6">
        <v>46021</v>
      </c>
      <c r="F13" s="7">
        <f t="shared" ref="F13" si="6">IF(ISBLANK(E13)," - ",IF(G13=0,E13,E13+G13-1))</f>
        <v>46021</v>
      </c>
      <c r="G13" s="8">
        <v>1</v>
      </c>
      <c r="H13" s="9">
        <v>1</v>
      </c>
      <c r="I13" s="10">
        <f t="shared" ref="I13" si="7">IF(OR(F13=0,E13=0)," - ",NETWORKDAYS(E13,F13))</f>
        <v>1</v>
      </c>
      <c r="J13" s="11"/>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row>
    <row r="14" spans="1:66" s="1" customFormat="1" ht="18">
      <c r="A14" s="4" t="str">
        <f t="shared" si="5"/>
        <v>1.6</v>
      </c>
      <c r="B14" s="89" t="s">
        <v>21</v>
      </c>
      <c r="C14" s="1" t="s">
        <v>19</v>
      </c>
      <c r="D14" s="5"/>
      <c r="E14" s="6">
        <v>46021</v>
      </c>
      <c r="F14" s="7">
        <f t="shared" ref="F14" si="8">IF(ISBLANK(E14)," - ",IF(G14=0,E14,E14+G14-1))</f>
        <v>46030</v>
      </c>
      <c r="G14" s="8">
        <v>10</v>
      </c>
      <c r="H14" s="9">
        <v>1</v>
      </c>
      <c r="I14" s="10">
        <f t="shared" ref="I14" si="9">IF(OR(F14=0,E14=0)," - ",NETWORKDAYS(E14,F14))</f>
        <v>8</v>
      </c>
      <c r="J14" s="11"/>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row>
    <row r="15" spans="1:66" s="1" customFormat="1" ht="18">
      <c r="A15" s="4" t="str">
        <f t="shared" si="5"/>
        <v>1.7</v>
      </c>
      <c r="B15" s="89" t="s">
        <v>22</v>
      </c>
      <c r="C15" s="1" t="s">
        <v>15</v>
      </c>
      <c r="D15" s="5"/>
      <c r="E15" s="6">
        <v>46028</v>
      </c>
      <c r="F15" s="7">
        <f t="shared" ref="F15" si="10">IF(ISBLANK(E15)," - ",IF(G15=0,E15,E15+G15-1))</f>
        <v>46030</v>
      </c>
      <c r="G15" s="8">
        <v>3</v>
      </c>
      <c r="H15" s="9">
        <v>1</v>
      </c>
      <c r="I15" s="10">
        <f t="shared" ref="I15:I16" si="11">IF(OR(F15=0,E15=0)," - ",NETWORKDAYS(E15,F15))</f>
        <v>3</v>
      </c>
      <c r="J15" s="11"/>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row>
    <row r="16" spans="1:66" s="1" customFormat="1" ht="18">
      <c r="A16" s="4" t="str">
        <f t="shared" si="5"/>
        <v>1.8</v>
      </c>
      <c r="B16" s="89" t="s">
        <v>23</v>
      </c>
      <c r="C16" s="1" t="s">
        <v>24</v>
      </c>
      <c r="D16" s="5"/>
      <c r="E16" s="6">
        <v>46031</v>
      </c>
      <c r="F16" s="7">
        <f t="shared" si="4"/>
        <v>46040</v>
      </c>
      <c r="G16" s="8">
        <v>10</v>
      </c>
      <c r="H16" s="9">
        <v>0.5</v>
      </c>
      <c r="I16" s="10">
        <f t="shared" si="11"/>
        <v>6</v>
      </c>
      <c r="J16" s="11"/>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row>
    <row r="17" spans="1:66" s="1" customFormat="1" ht="18">
      <c r="A17" s="4" t="str">
        <f t="shared" si="5"/>
        <v>1.9</v>
      </c>
      <c r="B17" s="89" t="s">
        <v>25</v>
      </c>
      <c r="C17" s="1" t="s">
        <v>15</v>
      </c>
      <c r="D17" s="5"/>
      <c r="E17" s="6">
        <v>46030</v>
      </c>
      <c r="F17" s="7">
        <f t="shared" ref="F17:F19" si="12">IF(ISBLANK(E17)," - ",IF(G17=0,E17,E17+G17-1))</f>
        <v>46030</v>
      </c>
      <c r="G17" s="8">
        <v>1</v>
      </c>
      <c r="H17" s="9">
        <v>1</v>
      </c>
      <c r="I17" s="10">
        <f t="shared" ref="I17:I19" si="13">IF(OR(F17=0,E17=0)," - ",NETWORKDAYS(E17,F17))</f>
        <v>1</v>
      </c>
      <c r="J17" s="11"/>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row>
    <row r="18" spans="1:66" s="1" customFormat="1" ht="18">
      <c r="A18" s="4" t="str">
        <f t="shared" si="5"/>
        <v>1.10</v>
      </c>
      <c r="B18" s="89" t="s">
        <v>26</v>
      </c>
      <c r="C18" s="1" t="s">
        <v>19</v>
      </c>
      <c r="D18" s="5"/>
      <c r="E18" s="6">
        <v>46037</v>
      </c>
      <c r="F18" s="7">
        <f t="shared" si="12"/>
        <v>46038</v>
      </c>
      <c r="G18" s="8">
        <v>2</v>
      </c>
      <c r="H18" s="9">
        <v>1</v>
      </c>
      <c r="I18" s="10">
        <f t="shared" si="13"/>
        <v>2</v>
      </c>
      <c r="J18" s="11"/>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row>
    <row r="19" spans="1:66" s="1" customFormat="1" ht="18">
      <c r="A19" s="4" t="str">
        <f t="shared" si="5"/>
        <v>1.11</v>
      </c>
      <c r="B19" s="89" t="s">
        <v>27</v>
      </c>
      <c r="C19" s="1" t="s">
        <v>28</v>
      </c>
      <c r="D19" s="5"/>
      <c r="E19" s="6">
        <v>46037</v>
      </c>
      <c r="F19" s="7">
        <f t="shared" si="12"/>
        <v>46038</v>
      </c>
      <c r="G19" s="8">
        <v>2</v>
      </c>
      <c r="H19" s="9">
        <v>1</v>
      </c>
      <c r="I19" s="10">
        <f t="shared" si="13"/>
        <v>2</v>
      </c>
      <c r="J19" s="11"/>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row>
    <row r="20" spans="1:66" s="1" customFormat="1" ht="21" customHeight="1">
      <c r="A20" s="4" t="str">
        <f t="shared" ref="A20:A61" si="14">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1.12</v>
      </c>
      <c r="B20" s="89" t="s">
        <v>29</v>
      </c>
      <c r="C20" s="1" t="s">
        <v>19</v>
      </c>
      <c r="D20" s="5"/>
      <c r="E20" s="6">
        <v>46032</v>
      </c>
      <c r="F20" s="7">
        <f t="shared" ref="F20" si="15">IF(ISBLANK(E20)," - ",IF(G20=0,E20,E20+G20-1))</f>
        <v>46043</v>
      </c>
      <c r="G20" s="8">
        <v>12</v>
      </c>
      <c r="H20" s="9">
        <v>1</v>
      </c>
      <c r="I20" s="10">
        <f t="shared" ref="I20" si="16">IF(OR(F20=0,E20=0)," - ",NETWORKDAYS(E20,F20))</f>
        <v>8</v>
      </c>
      <c r="J20" s="11"/>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row>
    <row r="21" spans="1:66" s="1" customFormat="1" ht="18">
      <c r="A21" s="4" t="str">
        <f t="shared" si="14"/>
        <v>1.13</v>
      </c>
      <c r="B21" s="89" t="s">
        <v>30</v>
      </c>
      <c r="C21" s="1" t="s">
        <v>28</v>
      </c>
      <c r="D21" s="5"/>
      <c r="E21" s="6">
        <v>46032</v>
      </c>
      <c r="F21" s="7">
        <f t="shared" ref="F21" si="17">IF(ISBLANK(E21)," - ",IF(G21=0,E21,E21+G21-1))</f>
        <v>46043</v>
      </c>
      <c r="G21" s="8">
        <v>12</v>
      </c>
      <c r="H21" s="9">
        <v>0.9</v>
      </c>
      <c r="I21" s="10">
        <f t="shared" ref="I21:I37" si="18">IF(OR(F21=0,E21=0)," - ",NETWORKDAYS(E21,F21))</f>
        <v>8</v>
      </c>
      <c r="J21" s="11"/>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row>
    <row r="22" spans="1:66" s="1" customFormat="1" ht="18">
      <c r="A22" s="4" t="str">
        <f t="shared" si="14"/>
        <v>1.14</v>
      </c>
      <c r="B22" s="90" t="s">
        <v>31</v>
      </c>
      <c r="C22" s="1" t="s">
        <v>19</v>
      </c>
      <c r="D22" s="5"/>
      <c r="E22" s="6">
        <v>46056</v>
      </c>
      <c r="F22" s="7">
        <f t="shared" ref="F22" si="19">IF(ISBLANK(E22)," - ",IF(G22=0,E22,E22+G22-1))</f>
        <v>46057</v>
      </c>
      <c r="G22" s="8">
        <v>2</v>
      </c>
      <c r="H22" s="9">
        <v>1</v>
      </c>
      <c r="I22" s="10">
        <f t="shared" ref="I22" si="20">IF(OR(F22=0,E22=0)," - ",NETWORKDAYS(E22,F22))</f>
        <v>2</v>
      </c>
      <c r="J22" s="11"/>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row>
    <row r="23" spans="1:66" s="1" customFormat="1" ht="18">
      <c r="A23" s="4" t="str">
        <f t="shared" si="14"/>
        <v>1.15</v>
      </c>
      <c r="B23" s="89" t="s">
        <v>32</v>
      </c>
      <c r="C23" s="1" t="s">
        <v>28</v>
      </c>
      <c r="D23" s="5"/>
      <c r="E23" s="6">
        <v>46056</v>
      </c>
      <c r="F23" s="7">
        <f t="shared" ref="F23:F30" si="21">IF(ISBLANK(E23)," - ",IF(G23=0,E23,E23+G23-1))</f>
        <v>46057</v>
      </c>
      <c r="G23" s="8">
        <v>2</v>
      </c>
      <c r="H23" s="9">
        <v>1</v>
      </c>
      <c r="I23" s="10">
        <f t="shared" ref="I23:I30" si="22">IF(OR(F23=0,E23=0)," - ",NETWORKDAYS(E23,F23))</f>
        <v>2</v>
      </c>
      <c r="J23" s="11"/>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row>
    <row r="24" spans="1:66" s="1" customFormat="1" ht="18">
      <c r="A24" s="4" t="str">
        <f t="shared" si="14"/>
        <v>1.16</v>
      </c>
      <c r="B24" s="89" t="s">
        <v>33</v>
      </c>
      <c r="C24" s="1" t="s">
        <v>28</v>
      </c>
      <c r="D24" s="5"/>
      <c r="E24" s="6">
        <f>F22+1</f>
        <v>46058</v>
      </c>
      <c r="F24" s="7">
        <f t="shared" si="21"/>
        <v>46059</v>
      </c>
      <c r="G24" s="8">
        <v>2</v>
      </c>
      <c r="H24" s="9">
        <v>1</v>
      </c>
      <c r="I24" s="10">
        <f t="shared" si="22"/>
        <v>2</v>
      </c>
      <c r="J24" s="11"/>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row>
    <row r="25" spans="1:66" s="1" customFormat="1" ht="18">
      <c r="A25" s="4" t="str">
        <f t="shared" si="14"/>
        <v>1.17</v>
      </c>
      <c r="B25" s="89" t="s">
        <v>34</v>
      </c>
      <c r="C25" s="1" t="s">
        <v>19</v>
      </c>
      <c r="D25" s="5"/>
      <c r="E25" s="6">
        <f>F22+1</f>
        <v>46058</v>
      </c>
      <c r="F25" s="7">
        <f t="shared" si="21"/>
        <v>46059</v>
      </c>
      <c r="G25" s="8">
        <v>2</v>
      </c>
      <c r="H25" s="9">
        <v>1</v>
      </c>
      <c r="I25" s="10">
        <f t="shared" si="22"/>
        <v>2</v>
      </c>
      <c r="J25" s="11"/>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row>
    <row r="26" spans="1:66" s="1" customFormat="1" ht="18">
      <c r="A26" s="4" t="str">
        <f t="shared" si="14"/>
        <v>1.18</v>
      </c>
      <c r="B26" s="89" t="s">
        <v>35</v>
      </c>
      <c r="C26" s="1" t="s">
        <v>28</v>
      </c>
      <c r="D26" s="5"/>
      <c r="E26" s="6">
        <f>E23+1</f>
        <v>46057</v>
      </c>
      <c r="F26" s="7">
        <f t="shared" si="21"/>
        <v>46058</v>
      </c>
      <c r="G26" s="8">
        <v>2</v>
      </c>
      <c r="H26" s="9">
        <v>1</v>
      </c>
      <c r="I26" s="10">
        <f t="shared" si="22"/>
        <v>2</v>
      </c>
      <c r="J26" s="11"/>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row>
    <row r="27" spans="1:66" s="1" customFormat="1" ht="18">
      <c r="A27" s="4" t="str">
        <f t="shared" si="14"/>
        <v>1.19</v>
      </c>
      <c r="B27" s="89" t="s">
        <v>36</v>
      </c>
      <c r="C27" s="1" t="s">
        <v>19</v>
      </c>
      <c r="D27" s="5"/>
      <c r="E27" s="6">
        <f>F23+1</f>
        <v>46058</v>
      </c>
      <c r="F27" s="7">
        <f t="shared" si="21"/>
        <v>46059</v>
      </c>
      <c r="G27" s="8">
        <v>2</v>
      </c>
      <c r="H27" s="9">
        <v>1</v>
      </c>
      <c r="I27" s="10">
        <f t="shared" si="22"/>
        <v>2</v>
      </c>
      <c r="J27" s="11"/>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row>
    <row r="28" spans="1:66" s="1" customFormat="1" ht="18">
      <c r="A28" s="4" t="str">
        <f t="shared" si="14"/>
        <v>1.20</v>
      </c>
      <c r="B28" s="89" t="s">
        <v>37</v>
      </c>
      <c r="C28" s="1" t="s">
        <v>28</v>
      </c>
      <c r="D28" s="5"/>
      <c r="E28" s="6">
        <f>F24+1</f>
        <v>46060</v>
      </c>
      <c r="F28" s="7">
        <f t="shared" si="21"/>
        <v>46063</v>
      </c>
      <c r="G28" s="8">
        <v>4</v>
      </c>
      <c r="H28" s="9">
        <v>1</v>
      </c>
      <c r="I28" s="10">
        <f t="shared" si="22"/>
        <v>2</v>
      </c>
      <c r="J28" s="11"/>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row>
    <row r="29" spans="1:66" s="1" customFormat="1" ht="18">
      <c r="A29" s="4" t="str">
        <f t="shared" si="14"/>
        <v>1.21</v>
      </c>
      <c r="B29" s="89" t="s">
        <v>38</v>
      </c>
      <c r="C29" s="1" t="s">
        <v>19</v>
      </c>
      <c r="D29" s="5"/>
      <c r="E29" s="6">
        <f>F24+1</f>
        <v>46060</v>
      </c>
      <c r="F29" s="7">
        <f t="shared" si="21"/>
        <v>46063</v>
      </c>
      <c r="G29" s="8">
        <v>4</v>
      </c>
      <c r="H29" s="9">
        <v>1</v>
      </c>
      <c r="I29" s="10">
        <f t="shared" si="22"/>
        <v>2</v>
      </c>
      <c r="J29" s="11"/>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row>
    <row r="30" spans="1:66" s="1" customFormat="1" ht="18">
      <c r="A30" s="4" t="str">
        <f t="shared" si="14"/>
        <v>1.22</v>
      </c>
      <c r="B30" s="89" t="s">
        <v>39</v>
      </c>
      <c r="C30" s="1" t="s">
        <v>28</v>
      </c>
      <c r="D30" s="5"/>
      <c r="E30" s="6">
        <f>F28+1</f>
        <v>46064</v>
      </c>
      <c r="F30" s="7">
        <f t="shared" si="21"/>
        <v>46065</v>
      </c>
      <c r="G30" s="8">
        <v>2</v>
      </c>
      <c r="H30" s="9">
        <v>1</v>
      </c>
      <c r="I30" s="10">
        <f t="shared" si="22"/>
        <v>2</v>
      </c>
      <c r="J30" s="11"/>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row>
    <row r="31" spans="1:66" s="1" customFormat="1" ht="18">
      <c r="A31" s="4" t="str">
        <f t="shared" si="14"/>
        <v>1.23</v>
      </c>
      <c r="B31" s="89" t="s">
        <v>40</v>
      </c>
      <c r="C31" s="1" t="s">
        <v>19</v>
      </c>
      <c r="D31" s="5"/>
      <c r="E31" s="6">
        <f>F29+1</f>
        <v>46064</v>
      </c>
      <c r="F31" s="7">
        <f t="shared" ref="F31:F37" si="23">IF(ISBLANK(E31)," - ",IF(G31=0,E31,E31+G31-1))</f>
        <v>46065</v>
      </c>
      <c r="G31" s="8">
        <v>2</v>
      </c>
      <c r="H31" s="9">
        <v>1</v>
      </c>
      <c r="I31" s="10">
        <f t="shared" ref="I31" si="24">IF(OR(F31=0,E31=0)," - ",NETWORKDAYS(E31,F31))</f>
        <v>2</v>
      </c>
      <c r="J31" s="11"/>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row>
    <row r="32" spans="1:66" s="1" customFormat="1" ht="18">
      <c r="A32" s="4" t="str">
        <f t="shared" si="14"/>
        <v>1.24</v>
      </c>
      <c r="B32" s="89" t="s">
        <v>41</v>
      </c>
      <c r="C32" s="1" t="s">
        <v>15</v>
      </c>
      <c r="D32" s="5"/>
      <c r="E32" s="6">
        <f>F30</f>
        <v>46065</v>
      </c>
      <c r="F32" s="7">
        <f t="shared" ref="F32" si="25">IF(ISBLANK(E32)," - ",IF(G32=0,E32,E32+G32-1))</f>
        <v>46067</v>
      </c>
      <c r="G32" s="8">
        <v>3</v>
      </c>
      <c r="H32" s="9">
        <v>1</v>
      </c>
      <c r="I32" s="10">
        <f t="shared" ref="I32" si="26">IF(OR(F32=0,E32=0)," - ",NETWORKDAYS(E32,F32))</f>
        <v>2</v>
      </c>
      <c r="J32" s="11"/>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row>
    <row r="33" spans="1:66" s="1" customFormat="1" ht="18">
      <c r="A33" s="4" t="str">
        <f t="shared" si="14"/>
        <v>1.25</v>
      </c>
      <c r="B33" s="119" t="s">
        <v>42</v>
      </c>
      <c r="C33" s="1" t="s">
        <v>28</v>
      </c>
      <c r="D33" s="5"/>
      <c r="E33" s="6">
        <f>F32+1</f>
        <v>46068</v>
      </c>
      <c r="F33" s="7">
        <f t="shared" si="23"/>
        <v>46072</v>
      </c>
      <c r="G33" s="8">
        <v>5</v>
      </c>
      <c r="H33" s="9">
        <v>1</v>
      </c>
      <c r="I33" s="10">
        <f t="shared" si="18"/>
        <v>4</v>
      </c>
      <c r="J33" s="11"/>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row>
    <row r="34" spans="1:66" s="1" customFormat="1" ht="18">
      <c r="A34" s="4" t="str">
        <f t="shared" si="14"/>
        <v>1.26</v>
      </c>
      <c r="B34" s="133" t="s">
        <v>43</v>
      </c>
      <c r="C34" s="1" t="s">
        <v>19</v>
      </c>
      <c r="D34" s="5"/>
      <c r="E34" s="6">
        <f>F32+1</f>
        <v>46068</v>
      </c>
      <c r="F34" s="7">
        <f t="shared" si="23"/>
        <v>46072</v>
      </c>
      <c r="G34" s="8">
        <v>5</v>
      </c>
      <c r="H34" s="9">
        <v>0.8</v>
      </c>
      <c r="I34" s="10">
        <f t="shared" si="18"/>
        <v>4</v>
      </c>
      <c r="J34" s="11"/>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row>
    <row r="35" spans="1:66" s="1" customFormat="1" ht="18">
      <c r="A35" s="4" t="str">
        <f t="shared" si="14"/>
        <v>1.27</v>
      </c>
      <c r="B35" s="120" t="s">
        <v>44</v>
      </c>
      <c r="C35" s="1" t="s">
        <v>54</v>
      </c>
      <c r="D35" s="5"/>
      <c r="E35" s="6">
        <f t="shared" ref="E35:E36" si="27">F33+1</f>
        <v>46073</v>
      </c>
      <c r="F35" s="7">
        <f t="shared" si="23"/>
        <v>46076</v>
      </c>
      <c r="G35" s="8">
        <v>4</v>
      </c>
      <c r="H35" s="9">
        <v>1</v>
      </c>
      <c r="I35" s="10">
        <f t="shared" si="18"/>
        <v>2</v>
      </c>
      <c r="J35" s="11"/>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row>
    <row r="36" spans="1:66" s="1" customFormat="1" ht="18">
      <c r="A36" s="4" t="str">
        <f t="shared" si="14"/>
        <v>1.28</v>
      </c>
      <c r="B36" s="120" t="s">
        <v>45</v>
      </c>
      <c r="C36" s="1" t="s">
        <v>19</v>
      </c>
      <c r="D36" s="5"/>
      <c r="E36" s="6">
        <f t="shared" si="27"/>
        <v>46073</v>
      </c>
      <c r="F36" s="7">
        <f t="shared" si="23"/>
        <v>46076</v>
      </c>
      <c r="G36" s="8">
        <v>4</v>
      </c>
      <c r="H36" s="9">
        <v>1</v>
      </c>
      <c r="I36" s="10">
        <f t="shared" si="18"/>
        <v>2</v>
      </c>
      <c r="J36" s="11"/>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row>
    <row r="37" spans="1:66" s="1" customFormat="1" ht="18">
      <c r="A37" s="4" t="str">
        <f t="shared" si="14"/>
        <v>1.29</v>
      </c>
      <c r="B37" s="120" t="s">
        <v>46</v>
      </c>
      <c r="C37" s="92" t="s">
        <v>54</v>
      </c>
      <c r="D37" s="5"/>
      <c r="E37" s="6">
        <f t="shared" ref="E37:E42" si="28">F35+1</f>
        <v>46077</v>
      </c>
      <c r="F37" s="7">
        <f t="shared" si="23"/>
        <v>46078</v>
      </c>
      <c r="G37" s="8">
        <v>2</v>
      </c>
      <c r="H37" s="9">
        <v>1</v>
      </c>
      <c r="I37" s="10">
        <f t="shared" si="18"/>
        <v>2</v>
      </c>
      <c r="J37" s="11"/>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row>
    <row r="38" spans="1:66" s="1" customFormat="1" ht="18">
      <c r="A38" s="4" t="str">
        <f t="shared" si="14"/>
        <v>1.30</v>
      </c>
      <c r="B38" s="132" t="s">
        <v>47</v>
      </c>
      <c r="C38" s="1" t="s">
        <v>28</v>
      </c>
      <c r="D38" s="5"/>
      <c r="E38" s="6">
        <f t="shared" si="28"/>
        <v>46077</v>
      </c>
      <c r="F38" s="7">
        <f t="shared" ref="F38" si="29">IF(ISBLANK(E38)," - ",IF(G38=0,E38,E38+G38-1))</f>
        <v>46078</v>
      </c>
      <c r="G38" s="8">
        <v>2</v>
      </c>
      <c r="H38" s="9">
        <v>0</v>
      </c>
      <c r="I38" s="10">
        <f t="shared" ref="I38" si="30">IF(OR(F38=0,E38=0)," - ",NETWORKDAYS(E38,F38))</f>
        <v>2</v>
      </c>
      <c r="J38" s="11"/>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row>
    <row r="39" spans="1:66" s="1" customFormat="1" ht="18">
      <c r="A39" s="4" t="str">
        <f t="shared" si="14"/>
        <v>1.31</v>
      </c>
      <c r="B39" s="134" t="s">
        <v>48</v>
      </c>
      <c r="C39" s="1" t="s">
        <v>54</v>
      </c>
      <c r="D39" s="5"/>
      <c r="E39" s="6">
        <f t="shared" si="28"/>
        <v>46079</v>
      </c>
      <c r="F39" s="7">
        <f t="shared" ref="F39" si="31">IF(ISBLANK(E39)," - ",IF(G39=0,E39,E39+G39-1))</f>
        <v>46080</v>
      </c>
      <c r="G39" s="8">
        <v>2</v>
      </c>
      <c r="H39" s="9">
        <v>0.8</v>
      </c>
      <c r="I39" s="10">
        <f t="shared" ref="I39" si="32">IF(OR(F39=0,E39=0)," - ",NETWORKDAYS(E39,F39))</f>
        <v>2</v>
      </c>
      <c r="J39" s="11"/>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row>
    <row r="40" spans="1:66" s="1" customFormat="1" ht="18">
      <c r="A40" s="4" t="str">
        <f t="shared" si="14"/>
        <v>1.32</v>
      </c>
      <c r="B40" s="120" t="s">
        <v>49</v>
      </c>
      <c r="C40" s="1" t="s">
        <v>19</v>
      </c>
      <c r="D40" s="5"/>
      <c r="E40" s="6">
        <f t="shared" si="28"/>
        <v>46079</v>
      </c>
      <c r="F40" s="7">
        <f t="shared" ref="F40:F60" si="33">IF(ISBLANK(E40)," - ",IF(G40=0,E40,E40+G40-1))</f>
        <v>46080</v>
      </c>
      <c r="G40" s="8">
        <v>2</v>
      </c>
      <c r="H40" s="9">
        <v>1</v>
      </c>
      <c r="I40" s="10">
        <f t="shared" ref="I40:I60" si="34">IF(OR(F40=0,E40=0)," - ",NETWORKDAYS(E40,F40))</f>
        <v>2</v>
      </c>
      <c r="J40" s="11"/>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row>
    <row r="41" spans="1:66" s="1" customFormat="1" ht="18">
      <c r="A41" s="4" t="str">
        <f t="shared" si="14"/>
        <v>1.33</v>
      </c>
      <c r="B41" s="120" t="s">
        <v>50</v>
      </c>
      <c r="C41" s="1" t="s">
        <v>51</v>
      </c>
      <c r="D41" s="5"/>
      <c r="E41" s="6">
        <f t="shared" si="28"/>
        <v>46081</v>
      </c>
      <c r="F41" s="7">
        <f t="shared" si="33"/>
        <v>46084</v>
      </c>
      <c r="G41" s="8">
        <v>4</v>
      </c>
      <c r="H41" s="93">
        <v>1</v>
      </c>
      <c r="I41" s="10">
        <f t="shared" si="34"/>
        <v>2</v>
      </c>
      <c r="J41" s="11"/>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row>
    <row r="42" spans="1:66" s="1" customFormat="1" ht="18">
      <c r="A42" s="4" t="str">
        <f t="shared" si="14"/>
        <v>1.34</v>
      </c>
      <c r="B42" s="132" t="s">
        <v>52</v>
      </c>
      <c r="C42" s="1" t="s">
        <v>28</v>
      </c>
      <c r="D42" s="5"/>
      <c r="E42" s="6">
        <f t="shared" si="28"/>
        <v>46081</v>
      </c>
      <c r="F42" s="7">
        <f t="shared" si="33"/>
        <v>46084</v>
      </c>
      <c r="G42" s="8">
        <v>4</v>
      </c>
      <c r="H42" s="9">
        <v>0</v>
      </c>
      <c r="I42" s="10">
        <f t="shared" si="34"/>
        <v>2</v>
      </c>
      <c r="J42" s="11"/>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row>
    <row r="43" spans="1:66" s="1" customFormat="1" ht="18">
      <c r="A43" s="4" t="str">
        <f t="shared" si="14"/>
        <v>1.35</v>
      </c>
      <c r="B43" s="120" t="s">
        <v>53</v>
      </c>
      <c r="C43" s="92" t="s">
        <v>54</v>
      </c>
      <c r="D43" s="5"/>
      <c r="E43" s="6">
        <f>F41</f>
        <v>46084</v>
      </c>
      <c r="F43" s="7">
        <f t="shared" si="33"/>
        <v>46086</v>
      </c>
      <c r="G43" s="8">
        <v>3</v>
      </c>
      <c r="H43" s="9">
        <v>1</v>
      </c>
      <c r="I43" s="10">
        <f t="shared" si="34"/>
        <v>3</v>
      </c>
      <c r="J43" s="11"/>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row>
    <row r="44" spans="1:66" s="1" customFormat="1" ht="18">
      <c r="A44" s="4" t="str">
        <f t="shared" si="14"/>
        <v>1.36</v>
      </c>
      <c r="B44" s="120" t="s">
        <v>55</v>
      </c>
      <c r="C44" s="92" t="s">
        <v>51</v>
      </c>
      <c r="D44" s="5"/>
      <c r="E44" s="6">
        <f>F42</f>
        <v>46084</v>
      </c>
      <c r="F44" s="7">
        <f t="shared" si="33"/>
        <v>46086</v>
      </c>
      <c r="G44" s="8">
        <v>3</v>
      </c>
      <c r="H44" s="9">
        <v>1</v>
      </c>
      <c r="I44" s="10">
        <f t="shared" si="34"/>
        <v>3</v>
      </c>
      <c r="J44" s="11"/>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row>
    <row r="45" spans="1:66" s="1" customFormat="1" ht="18">
      <c r="A45" s="4" t="str">
        <f t="shared" si="14"/>
        <v>1.37</v>
      </c>
      <c r="B45" s="120" t="s">
        <v>56</v>
      </c>
      <c r="C45" s="1" t="s">
        <v>51</v>
      </c>
      <c r="D45" s="5"/>
      <c r="E45" s="6">
        <f>F41+3</f>
        <v>46087</v>
      </c>
      <c r="F45" s="7">
        <f t="shared" ref="F45" si="35">IF(ISBLANK(E45)," - ",IF(G45=0,E45,E45+G45-1))</f>
        <v>46088</v>
      </c>
      <c r="G45" s="8">
        <v>2</v>
      </c>
      <c r="H45" s="9">
        <v>1</v>
      </c>
      <c r="I45" s="10">
        <f t="shared" ref="I45" si="36">IF(OR(F45=0,E45=0)," - ",NETWORKDAYS(E45,F45))</f>
        <v>1</v>
      </c>
      <c r="J45" s="11"/>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row>
    <row r="46" spans="1:66" s="1" customFormat="1" ht="18">
      <c r="A46" s="110" t="str">
        <f t="shared" si="14"/>
        <v>1.38</v>
      </c>
      <c r="B46" s="111" t="s">
        <v>237</v>
      </c>
      <c r="C46" s="112" t="s">
        <v>28</v>
      </c>
      <c r="D46" s="113"/>
      <c r="E46" s="114">
        <f>F43+1</f>
        <v>46087</v>
      </c>
      <c r="F46" s="115">
        <f t="shared" si="33"/>
        <v>46090</v>
      </c>
      <c r="G46" s="116">
        <v>4</v>
      </c>
      <c r="H46" s="117" t="s">
        <v>236</v>
      </c>
      <c r="I46" s="10">
        <f t="shared" si="34"/>
        <v>2</v>
      </c>
      <c r="J46" s="11"/>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row>
    <row r="47" spans="1:66" s="1" customFormat="1" ht="18">
      <c r="A47" s="110" t="str">
        <f t="shared" si="14"/>
        <v>1.39</v>
      </c>
      <c r="B47" s="111" t="s">
        <v>238</v>
      </c>
      <c r="C47" s="112" t="s">
        <v>19</v>
      </c>
      <c r="D47" s="113"/>
      <c r="E47" s="114">
        <f>F44+1</f>
        <v>46087</v>
      </c>
      <c r="F47" s="115">
        <f t="shared" si="33"/>
        <v>46090</v>
      </c>
      <c r="G47" s="116">
        <v>4</v>
      </c>
      <c r="H47" s="117" t="s">
        <v>236</v>
      </c>
      <c r="I47" s="10">
        <f t="shared" si="34"/>
        <v>2</v>
      </c>
      <c r="J47" s="11"/>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row>
    <row r="48" spans="1:66" s="1" customFormat="1" ht="18">
      <c r="A48" s="4" t="str">
        <f t="shared" si="14"/>
        <v>1.40</v>
      </c>
      <c r="B48" s="94" t="s">
        <v>57</v>
      </c>
      <c r="C48" s="1" t="s">
        <v>28</v>
      </c>
      <c r="D48" s="5"/>
      <c r="E48" s="6">
        <f>F46+1</f>
        <v>46091</v>
      </c>
      <c r="F48" s="7">
        <f t="shared" si="33"/>
        <v>46092</v>
      </c>
      <c r="G48" s="8">
        <v>2</v>
      </c>
      <c r="H48" s="9">
        <v>0</v>
      </c>
      <c r="I48" s="10">
        <f t="shared" si="34"/>
        <v>2</v>
      </c>
      <c r="J48" s="11"/>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row>
    <row r="49" spans="1:66" s="1" customFormat="1" ht="18">
      <c r="A49" s="4" t="str">
        <f t="shared" si="14"/>
        <v>1.41</v>
      </c>
      <c r="B49" s="132" t="s">
        <v>58</v>
      </c>
      <c r="C49" s="1" t="s">
        <v>28</v>
      </c>
      <c r="D49" s="5"/>
      <c r="E49" s="6">
        <f>F47+1</f>
        <v>46091</v>
      </c>
      <c r="F49" s="7">
        <f t="shared" si="33"/>
        <v>46092</v>
      </c>
      <c r="G49" s="8">
        <v>2</v>
      </c>
      <c r="H49" s="9">
        <v>0</v>
      </c>
      <c r="I49" s="10">
        <f t="shared" si="34"/>
        <v>2</v>
      </c>
      <c r="J49" s="11"/>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row>
    <row r="50" spans="1:66" s="1" customFormat="1" ht="18">
      <c r="A50" s="4" t="str">
        <f t="shared" si="14"/>
        <v>1.42</v>
      </c>
      <c r="B50" s="132" t="s">
        <v>59</v>
      </c>
      <c r="C50" s="1" t="s">
        <v>28</v>
      </c>
      <c r="D50" s="5"/>
      <c r="E50" s="6">
        <f t="shared" ref="E50:E53" si="37">F48+1</f>
        <v>46093</v>
      </c>
      <c r="F50" s="7">
        <f t="shared" si="33"/>
        <v>46094</v>
      </c>
      <c r="G50" s="8">
        <v>2</v>
      </c>
      <c r="H50" s="9">
        <v>0</v>
      </c>
      <c r="I50" s="10">
        <f t="shared" si="34"/>
        <v>2</v>
      </c>
      <c r="J50" s="11"/>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row>
    <row r="51" spans="1:66" s="1" customFormat="1" ht="18">
      <c r="A51" s="4" t="str">
        <f t="shared" si="14"/>
        <v>1.43</v>
      </c>
      <c r="B51" s="132" t="s">
        <v>60</v>
      </c>
      <c r="C51" s="1" t="s">
        <v>28</v>
      </c>
      <c r="D51" s="5"/>
      <c r="E51" s="6">
        <f t="shared" si="37"/>
        <v>46093</v>
      </c>
      <c r="F51" s="7">
        <f t="shared" si="33"/>
        <v>46094</v>
      </c>
      <c r="G51" s="8">
        <v>2</v>
      </c>
      <c r="H51" s="9">
        <v>0</v>
      </c>
      <c r="I51" s="10">
        <f t="shared" si="34"/>
        <v>2</v>
      </c>
      <c r="J51" s="11"/>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row>
    <row r="52" spans="1:66" s="1" customFormat="1" ht="18">
      <c r="A52" s="4" t="str">
        <f t="shared" si="14"/>
        <v>1.44</v>
      </c>
      <c r="B52" s="120" t="s">
        <v>61</v>
      </c>
      <c r="C52" s="1" t="s">
        <v>28</v>
      </c>
      <c r="D52" s="5"/>
      <c r="E52" s="6">
        <f t="shared" si="37"/>
        <v>46095</v>
      </c>
      <c r="F52" s="7">
        <f t="shared" si="33"/>
        <v>46098</v>
      </c>
      <c r="G52" s="8">
        <v>4</v>
      </c>
      <c r="H52" s="9">
        <v>1</v>
      </c>
      <c r="I52" s="10">
        <f t="shared" si="34"/>
        <v>2</v>
      </c>
      <c r="J52" s="11"/>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row>
    <row r="53" spans="1:66" s="1" customFormat="1" ht="18">
      <c r="A53" s="4" t="str">
        <f t="shared" si="14"/>
        <v>1.45</v>
      </c>
      <c r="B53" s="120" t="s">
        <v>62</v>
      </c>
      <c r="C53" s="1" t="s">
        <v>51</v>
      </c>
      <c r="D53" s="5"/>
      <c r="E53" s="6">
        <f t="shared" si="37"/>
        <v>46095</v>
      </c>
      <c r="F53" s="7">
        <f t="shared" si="33"/>
        <v>46098</v>
      </c>
      <c r="G53" s="8">
        <v>4</v>
      </c>
      <c r="H53" s="9">
        <v>1</v>
      </c>
      <c r="I53" s="10">
        <f t="shared" si="34"/>
        <v>2</v>
      </c>
      <c r="J53" s="11"/>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row>
    <row r="54" spans="1:66" s="1" customFormat="1" ht="18">
      <c r="A54" s="4" t="str">
        <f t="shared" si="14"/>
        <v>1.46</v>
      </c>
      <c r="B54" s="120" t="s">
        <v>63</v>
      </c>
      <c r="C54" s="1" t="s">
        <v>28</v>
      </c>
      <c r="D54" s="5"/>
      <c r="E54" s="6">
        <f>F52+10</f>
        <v>46108</v>
      </c>
      <c r="F54" s="7">
        <f t="shared" si="33"/>
        <v>46111</v>
      </c>
      <c r="G54" s="8">
        <v>4</v>
      </c>
      <c r="H54" s="9">
        <v>1</v>
      </c>
      <c r="I54" s="10">
        <f t="shared" si="34"/>
        <v>2</v>
      </c>
      <c r="J54" s="11"/>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row>
    <row r="55" spans="1:66" s="1" customFormat="1" ht="18">
      <c r="A55" s="4" t="str">
        <f t="shared" si="14"/>
        <v>1.47</v>
      </c>
      <c r="B55" s="120" t="s">
        <v>64</v>
      </c>
      <c r="C55" s="1" t="s">
        <v>51</v>
      </c>
      <c r="D55" s="5"/>
      <c r="E55" s="6">
        <f>F53+10</f>
        <v>46108</v>
      </c>
      <c r="F55" s="7">
        <f t="shared" si="33"/>
        <v>46111</v>
      </c>
      <c r="G55" s="8">
        <v>4</v>
      </c>
      <c r="H55" s="9">
        <v>1</v>
      </c>
      <c r="I55" s="10">
        <f t="shared" si="34"/>
        <v>2</v>
      </c>
      <c r="J55" s="11"/>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row>
    <row r="56" spans="1:66" s="1" customFormat="1" ht="18">
      <c r="A56" s="4" t="str">
        <f t="shared" si="14"/>
        <v>1.48</v>
      </c>
      <c r="B56" s="120" t="s">
        <v>65</v>
      </c>
      <c r="C56" s="1" t="s">
        <v>28</v>
      </c>
      <c r="D56" s="5"/>
      <c r="E56" s="6">
        <f>F54+1</f>
        <v>46112</v>
      </c>
      <c r="F56" s="7">
        <f t="shared" si="33"/>
        <v>46113</v>
      </c>
      <c r="G56" s="8">
        <v>2</v>
      </c>
      <c r="H56" s="9">
        <v>1</v>
      </c>
      <c r="I56" s="10">
        <f t="shared" si="34"/>
        <v>2</v>
      </c>
      <c r="J56" s="11"/>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row>
    <row r="57" spans="1:66" s="1" customFormat="1" ht="18">
      <c r="A57" s="4" t="str">
        <f t="shared" si="14"/>
        <v>1.49</v>
      </c>
      <c r="B57" s="132" t="s">
        <v>66</v>
      </c>
      <c r="C57" s="1" t="s">
        <v>28</v>
      </c>
      <c r="D57" s="5"/>
      <c r="E57" s="6">
        <f>F55+1</f>
        <v>46112</v>
      </c>
      <c r="F57" s="7">
        <f t="shared" si="33"/>
        <v>46113</v>
      </c>
      <c r="G57" s="8">
        <v>2</v>
      </c>
      <c r="H57" s="9">
        <v>0</v>
      </c>
      <c r="I57" s="10">
        <f t="shared" si="34"/>
        <v>2</v>
      </c>
      <c r="J57" s="11"/>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row>
    <row r="58" spans="1:66" s="1" customFormat="1" ht="18">
      <c r="A58" s="4" t="str">
        <f t="shared" si="14"/>
        <v>1.50</v>
      </c>
      <c r="B58" s="120" t="s">
        <v>67</v>
      </c>
      <c r="C58" s="1" t="s">
        <v>51</v>
      </c>
      <c r="D58" s="5"/>
      <c r="E58" s="6">
        <f>F56+1</f>
        <v>46114</v>
      </c>
      <c r="F58" s="7">
        <f t="shared" si="33"/>
        <v>46115</v>
      </c>
      <c r="G58" s="8">
        <v>2</v>
      </c>
      <c r="H58" s="9">
        <v>1</v>
      </c>
      <c r="I58" s="10">
        <f t="shared" si="34"/>
        <v>2</v>
      </c>
      <c r="J58" s="11"/>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row>
    <row r="59" spans="1:66" s="1" customFormat="1" ht="18">
      <c r="A59" s="4" t="str">
        <f t="shared" si="14"/>
        <v>1.51</v>
      </c>
      <c r="B59" s="120" t="s">
        <v>68</v>
      </c>
      <c r="C59" s="92" t="s">
        <v>54</v>
      </c>
      <c r="D59" s="5"/>
      <c r="E59" s="6">
        <f>F57+1</f>
        <v>46114</v>
      </c>
      <c r="F59" s="7">
        <f t="shared" si="33"/>
        <v>46115</v>
      </c>
      <c r="G59" s="8">
        <v>2</v>
      </c>
      <c r="H59" s="9">
        <v>1</v>
      </c>
      <c r="I59" s="10">
        <f t="shared" si="34"/>
        <v>2</v>
      </c>
      <c r="J59" s="11"/>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row>
    <row r="60" spans="1:66" s="1" customFormat="1" ht="18">
      <c r="A60" s="4" t="str">
        <f t="shared" si="14"/>
        <v>1.52</v>
      </c>
      <c r="B60" s="132" t="s">
        <v>69</v>
      </c>
      <c r="C60" s="1" t="s">
        <v>28</v>
      </c>
      <c r="D60" s="5"/>
      <c r="E60" s="6">
        <f>F58+1</f>
        <v>46116</v>
      </c>
      <c r="F60" s="7">
        <f t="shared" si="33"/>
        <v>46119</v>
      </c>
      <c r="G60" s="8">
        <v>4</v>
      </c>
      <c r="H60" s="9">
        <v>0</v>
      </c>
      <c r="I60" s="10">
        <f t="shared" si="34"/>
        <v>2</v>
      </c>
      <c r="J60" s="11"/>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row>
    <row r="61" spans="1:66" s="1" customFormat="1" ht="18">
      <c r="A61" s="4" t="str">
        <f t="shared" si="14"/>
        <v>1.53</v>
      </c>
      <c r="B61" s="132" t="s">
        <v>104</v>
      </c>
      <c r="C61" s="1" t="s">
        <v>19</v>
      </c>
      <c r="D61" s="5"/>
      <c r="E61" s="6">
        <f>F59+1</f>
        <v>46116</v>
      </c>
      <c r="F61" s="7">
        <f t="shared" ref="F61" si="38">IF(ISBLANK(E61)," - ",IF(G61=0,E61,E61+G61-1))</f>
        <v>46119</v>
      </c>
      <c r="G61" s="8">
        <v>4</v>
      </c>
      <c r="H61" s="9">
        <v>0</v>
      </c>
      <c r="I61" s="10">
        <f t="shared" ref="I61" si="39">IF(OR(F61=0,E61=0)," - ",NETWORKDAYS(E61,F61))</f>
        <v>2</v>
      </c>
      <c r="J61" s="11"/>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row>
    <row r="62" spans="1:66" s="1" customFormat="1" ht="18">
      <c r="A62" s="4"/>
      <c r="B62" s="91"/>
      <c r="D62" s="5"/>
      <c r="E62" s="106"/>
      <c r="F62" s="107"/>
      <c r="G62" s="108"/>
      <c r="H62" s="109"/>
      <c r="I62" s="10"/>
      <c r="J62" s="11"/>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row>
    <row r="63" spans="1:66" s="1" customFormat="1" ht="18">
      <c r="A63" s="4"/>
      <c r="B63" s="91"/>
      <c r="D63" s="5"/>
      <c r="E63" s="106"/>
      <c r="F63" s="107"/>
      <c r="G63" s="108"/>
      <c r="H63" s="109"/>
      <c r="I63" s="10"/>
      <c r="J63" s="11"/>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row>
    <row r="64" spans="1:66" s="1" customFormat="1" ht="18">
      <c r="A64" s="4"/>
      <c r="B64" s="91"/>
      <c r="D64" s="5"/>
      <c r="E64" s="106"/>
      <c r="F64" s="107"/>
      <c r="G64" s="108"/>
      <c r="H64" s="109"/>
      <c r="I64" s="10"/>
      <c r="J64" s="11"/>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row>
    <row r="65" spans="1:66" s="1" customFormat="1" ht="18">
      <c r="A65" s="4"/>
      <c r="B65" s="91"/>
      <c r="D65" s="5"/>
      <c r="E65" s="106"/>
      <c r="F65" s="107"/>
      <c r="G65" s="108"/>
      <c r="H65" s="109"/>
      <c r="I65" s="10"/>
      <c r="J65" s="11"/>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row>
    <row r="66" spans="1:66" s="1" customFormat="1" ht="18">
      <c r="A66" s="4"/>
      <c r="B66" s="91"/>
      <c r="D66" s="5"/>
      <c r="E66" s="106"/>
      <c r="F66" s="107"/>
      <c r="G66" s="108"/>
      <c r="H66" s="109"/>
      <c r="I66" s="10"/>
      <c r="J66" s="11"/>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row>
    <row r="67" spans="1:66" s="1" customFormat="1" ht="18">
      <c r="A67" s="4"/>
      <c r="B67" s="91"/>
      <c r="D67" s="5"/>
      <c r="E67" s="106"/>
      <c r="F67" s="107"/>
      <c r="G67" s="108"/>
      <c r="H67" s="109"/>
      <c r="I67" s="10"/>
      <c r="J67" s="11"/>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row>
    <row r="68" spans="1:66" s="1" customFormat="1" ht="18">
      <c r="A68" s="4"/>
      <c r="B68" s="91"/>
      <c r="D68" s="5"/>
      <c r="E68" s="106"/>
      <c r="F68" s="107"/>
      <c r="G68" s="108"/>
      <c r="H68" s="109"/>
      <c r="I68" s="10"/>
      <c r="J68" s="11"/>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row>
    <row r="69" spans="1:66" s="1" customFormat="1" ht="18">
      <c r="A69" s="4"/>
      <c r="B69" s="91"/>
      <c r="D69" s="5"/>
      <c r="E69" s="106"/>
      <c r="F69" s="107"/>
      <c r="G69" s="108"/>
      <c r="H69" s="109"/>
      <c r="I69" s="10"/>
      <c r="J69" s="11"/>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row>
    <row r="70" spans="1:66" s="1" customFormat="1" ht="18">
      <c r="A70" s="4"/>
      <c r="B70" s="91"/>
      <c r="D70" s="5"/>
      <c r="E70" s="106"/>
      <c r="F70" s="107"/>
      <c r="G70" s="108"/>
      <c r="H70" s="109"/>
      <c r="I70" s="10"/>
      <c r="J70" s="11"/>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row>
    <row r="71" spans="1:66" s="1" customFormat="1" ht="18">
      <c r="A71" s="4"/>
      <c r="B71" s="91"/>
      <c r="D71" s="5"/>
      <c r="E71" s="106"/>
      <c r="F71" s="107"/>
      <c r="G71" s="108"/>
      <c r="H71" s="109"/>
      <c r="I71" s="10"/>
      <c r="J71" s="11"/>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row>
    <row r="72" spans="1:66" s="1" customFormat="1" ht="18">
      <c r="A72" s="4"/>
      <c r="B72" s="91"/>
      <c r="D72" s="5"/>
      <c r="E72" s="106"/>
      <c r="F72" s="107"/>
      <c r="G72" s="108"/>
      <c r="H72" s="109"/>
      <c r="I72" s="10"/>
      <c r="J72" s="11"/>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row>
    <row r="73" spans="1:66" s="1" customFormat="1" ht="18">
      <c r="A73" s="4"/>
      <c r="B73" s="91"/>
      <c r="D73" s="5"/>
      <c r="E73" s="106"/>
      <c r="F73" s="107"/>
      <c r="G73" s="108"/>
      <c r="H73" s="109"/>
      <c r="I73" s="10"/>
      <c r="J73" s="11"/>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row>
    <row r="74" spans="1:66" s="1" customFormat="1" ht="18">
      <c r="A74" s="4"/>
      <c r="B74" s="91"/>
      <c r="D74" s="5"/>
      <c r="E74" s="106"/>
      <c r="F74" s="107"/>
      <c r="G74" s="108"/>
      <c r="H74" s="109"/>
      <c r="I74" s="10"/>
      <c r="J74" s="11"/>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row>
    <row r="75" spans="1:66" s="1" customFormat="1" ht="18">
      <c r="A75" s="4"/>
      <c r="B75" s="91"/>
      <c r="D75" s="5"/>
      <c r="E75" s="106"/>
      <c r="F75" s="107"/>
      <c r="G75" s="108"/>
      <c r="H75" s="109"/>
      <c r="I75" s="10"/>
      <c r="J75" s="11"/>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row>
    <row r="76" spans="1:66" s="55" customFormat="1" ht="18" hidden="1">
      <c r="A76" s="95" t="str">
        <f>IF(ISERROR(VALUE(SUBSTITUTE(prevWBS,".",""))),"1",IF(ISERROR(FIND("`",SUBSTITUTE(prevWBS,".","`",1))),TEXT(VALUE(prevWBS)+1,"#"),TEXT(VALUE(LEFT(prevWBS,FIND("`",SUBSTITUTE(prevWBS,".","`",1))-1))+1,"#")))</f>
        <v>1</v>
      </c>
      <c r="B76" s="96" t="s">
        <v>70</v>
      </c>
      <c r="D76" s="97"/>
      <c r="E76" s="98"/>
      <c r="F76" s="98" t="str">
        <f t="shared" ref="F76:F81" si="40">IF(ISBLANK(E76)," - ",IF(G76=0,E76,E76+G76-1))</f>
        <v xml:space="preserve"> - </v>
      </c>
      <c r="G76" s="99"/>
      <c r="H76" s="100"/>
      <c r="I76" s="101" t="str">
        <f t="shared" ref="I76:I81" si="41">IF(OR(F76=0,E76=0)," - ",NETWORKDAYS(E76,F76))</f>
        <v xml:space="preserve"> - </v>
      </c>
      <c r="J76" s="102"/>
      <c r="K76" s="103"/>
      <c r="L76" s="103"/>
      <c r="M76" s="103"/>
      <c r="N76" s="103"/>
      <c r="O76" s="103"/>
      <c r="P76" s="103"/>
      <c r="Q76" s="103"/>
      <c r="R76" s="103"/>
      <c r="S76" s="103"/>
      <c r="T76" s="103"/>
      <c r="U76" s="103"/>
      <c r="V76" s="103"/>
      <c r="W76" s="103"/>
      <c r="X76" s="103"/>
      <c r="Y76" s="103"/>
      <c r="Z76" s="103"/>
      <c r="AA76" s="103"/>
      <c r="AB76" s="103"/>
      <c r="AC76" s="103"/>
      <c r="AD76" s="103"/>
      <c r="AE76" s="103"/>
      <c r="AF76" s="103"/>
      <c r="AG76" s="103"/>
      <c r="AH76" s="103"/>
      <c r="AI76" s="103"/>
      <c r="AJ76" s="103"/>
      <c r="AK76" s="103"/>
      <c r="AL76" s="103"/>
      <c r="AM76" s="103"/>
      <c r="AN76" s="103"/>
      <c r="AO76" s="103"/>
      <c r="AP76" s="103"/>
      <c r="AQ76" s="103"/>
      <c r="AR76" s="103"/>
      <c r="AS76" s="103"/>
      <c r="AT76" s="103"/>
      <c r="AU76" s="103"/>
      <c r="AV76" s="103"/>
      <c r="AW76" s="103"/>
      <c r="AX76" s="103"/>
      <c r="AY76" s="103"/>
      <c r="AZ76" s="103"/>
      <c r="BA76" s="103"/>
      <c r="BB76" s="103"/>
      <c r="BC76" s="103"/>
      <c r="BD76" s="103"/>
      <c r="BE76" s="103"/>
      <c r="BF76" s="103"/>
      <c r="BG76" s="103"/>
      <c r="BH76" s="103"/>
      <c r="BI76" s="103"/>
      <c r="BJ76" s="103"/>
      <c r="BK76" s="103"/>
      <c r="BL76" s="103"/>
      <c r="BM76" s="103"/>
      <c r="BN76" s="103"/>
    </row>
    <row r="77" spans="1:66" s="1" customFormat="1" ht="18" hidden="1">
      <c r="A77" s="4" t="str">
        <f t="shared" ref="A77:A115" si="42">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77" s="91" t="s">
        <v>71</v>
      </c>
      <c r="C77" s="1" t="s">
        <v>72</v>
      </c>
      <c r="D77" s="5"/>
      <c r="E77" s="6">
        <v>46057</v>
      </c>
      <c r="F77" s="7">
        <f t="shared" si="40"/>
        <v>46063</v>
      </c>
      <c r="G77" s="8">
        <v>7</v>
      </c>
      <c r="H77" s="9">
        <v>0</v>
      </c>
      <c r="I77" s="10">
        <f t="shared" si="41"/>
        <v>5</v>
      </c>
      <c r="J77" s="11"/>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row>
    <row r="78" spans="1:66" s="1" customFormat="1" ht="18" hidden="1">
      <c r="A78" s="4" t="str">
        <f t="shared" si="42"/>
        <v>1.2</v>
      </c>
      <c r="B78" s="91" t="s">
        <v>73</v>
      </c>
      <c r="C78" s="1" t="s">
        <v>19</v>
      </c>
      <c r="D78" s="5"/>
      <c r="E78" s="6">
        <v>46064</v>
      </c>
      <c r="F78" s="7">
        <f t="shared" si="40"/>
        <v>46070</v>
      </c>
      <c r="G78" s="8">
        <v>7</v>
      </c>
      <c r="H78" s="9">
        <v>0</v>
      </c>
      <c r="I78" s="10">
        <f t="shared" si="41"/>
        <v>5</v>
      </c>
      <c r="J78" s="11"/>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row>
    <row r="79" spans="1:66" s="1" customFormat="1" ht="44.25" hidden="1" customHeight="1">
      <c r="A79" s="4" t="str">
        <f t="shared" si="42"/>
        <v>1.3</v>
      </c>
      <c r="B79" s="91" t="s">
        <v>74</v>
      </c>
      <c r="C79" s="1" t="s">
        <v>28</v>
      </c>
      <c r="D79" s="5"/>
      <c r="E79" s="6">
        <v>46064</v>
      </c>
      <c r="F79" s="7">
        <f t="shared" si="40"/>
        <v>46070</v>
      </c>
      <c r="G79" s="8">
        <v>7</v>
      </c>
      <c r="H79" s="9">
        <v>0</v>
      </c>
      <c r="I79" s="10">
        <f t="shared" si="41"/>
        <v>5</v>
      </c>
      <c r="J79" s="11"/>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row>
    <row r="80" spans="1:66" s="1" customFormat="1" ht="18" hidden="1">
      <c r="A80" s="4" t="str">
        <f t="shared" si="42"/>
        <v>1.4</v>
      </c>
      <c r="B80" s="91" t="s">
        <v>75</v>
      </c>
      <c r="C80" s="1" t="s">
        <v>19</v>
      </c>
      <c r="D80" s="5"/>
      <c r="E80" s="6">
        <v>46071</v>
      </c>
      <c r="F80" s="7">
        <f t="shared" si="40"/>
        <v>46077</v>
      </c>
      <c r="G80" s="8">
        <v>7</v>
      </c>
      <c r="H80" s="9">
        <v>0</v>
      </c>
      <c r="I80" s="10">
        <f t="shared" si="41"/>
        <v>5</v>
      </c>
      <c r="J80" s="11"/>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row>
    <row r="81" spans="1:66" s="1" customFormat="1" ht="18" hidden="1">
      <c r="A81" s="4" t="str">
        <f t="shared" si="42"/>
        <v>1.5</v>
      </c>
      <c r="B81" s="91" t="s">
        <v>76</v>
      </c>
      <c r="C81" s="1" t="s">
        <v>28</v>
      </c>
      <c r="D81" s="5"/>
      <c r="E81" s="6">
        <v>46071</v>
      </c>
      <c r="F81" s="7">
        <f t="shared" si="40"/>
        <v>46077</v>
      </c>
      <c r="G81" s="8">
        <v>7</v>
      </c>
      <c r="H81" s="9">
        <v>0</v>
      </c>
      <c r="I81" s="10">
        <f t="shared" si="41"/>
        <v>5</v>
      </c>
      <c r="J81" s="11"/>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row>
    <row r="82" spans="1:66" s="1" customFormat="1" ht="18" hidden="1">
      <c r="A82" s="4" t="str">
        <f t="shared" si="42"/>
        <v>1.6</v>
      </c>
      <c r="B82" s="91" t="s">
        <v>77</v>
      </c>
      <c r="C82" s="1" t="s">
        <v>19</v>
      </c>
      <c r="D82" s="5"/>
      <c r="E82" s="6">
        <v>46078</v>
      </c>
      <c r="F82" s="7">
        <f t="shared" ref="F82:F96" si="43">IF(ISBLANK(E82)," - ",IF(G82=0,E82,E82+G82-1))</f>
        <v>46084</v>
      </c>
      <c r="G82" s="8">
        <v>7</v>
      </c>
      <c r="H82" s="9">
        <v>0</v>
      </c>
      <c r="I82" s="10">
        <f t="shared" ref="I82:I96" si="44">IF(OR(F82=0,E82=0)," - ",NETWORKDAYS(E82,F82))</f>
        <v>5</v>
      </c>
      <c r="J82" s="11"/>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row>
    <row r="83" spans="1:66" s="1" customFormat="1" ht="18" hidden="1">
      <c r="A83" s="4" t="str">
        <f t="shared" si="42"/>
        <v>1.7</v>
      </c>
      <c r="B83" s="91" t="s">
        <v>78</v>
      </c>
      <c r="C83" s="1" t="s">
        <v>28</v>
      </c>
      <c r="D83" s="5"/>
      <c r="E83" s="6">
        <v>46078</v>
      </c>
      <c r="F83" s="7">
        <f t="shared" si="43"/>
        <v>46084</v>
      </c>
      <c r="G83" s="8">
        <v>7</v>
      </c>
      <c r="H83" s="9">
        <v>0</v>
      </c>
      <c r="I83" s="10">
        <f t="shared" si="44"/>
        <v>5</v>
      </c>
      <c r="J83" s="11"/>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row>
    <row r="84" spans="1:66" s="1" customFormat="1" ht="18" hidden="1">
      <c r="A84" s="4" t="str">
        <f t="shared" si="42"/>
        <v>1.8</v>
      </c>
      <c r="B84" s="91" t="s">
        <v>79</v>
      </c>
      <c r="C84" s="1" t="s">
        <v>80</v>
      </c>
      <c r="D84" s="5"/>
      <c r="E84" s="6">
        <v>46057</v>
      </c>
      <c r="F84" s="7">
        <f t="shared" si="43"/>
        <v>46063</v>
      </c>
      <c r="G84" s="8">
        <v>7</v>
      </c>
      <c r="H84" s="9">
        <v>0</v>
      </c>
      <c r="I84" s="10">
        <f t="shared" si="44"/>
        <v>5</v>
      </c>
      <c r="J84" s="11"/>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spans="1:66" s="1" customFormat="1" ht="18" hidden="1">
      <c r="A85" s="4" t="str">
        <f t="shared" si="42"/>
        <v>1.9</v>
      </c>
      <c r="B85" s="91" t="s">
        <v>81</v>
      </c>
      <c r="C85" s="1" t="s">
        <v>19</v>
      </c>
      <c r="D85" s="5"/>
      <c r="E85" s="6">
        <v>46085</v>
      </c>
      <c r="F85" s="7">
        <f t="shared" si="43"/>
        <v>46091</v>
      </c>
      <c r="G85" s="8">
        <v>7</v>
      </c>
      <c r="H85" s="9">
        <v>0</v>
      </c>
      <c r="I85" s="10">
        <f t="shared" si="44"/>
        <v>5</v>
      </c>
      <c r="J85" s="11"/>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spans="1:66" s="1" customFormat="1" ht="18" hidden="1">
      <c r="A86" s="4" t="str">
        <f t="shared" si="42"/>
        <v>1.10</v>
      </c>
      <c r="B86" s="91" t="s">
        <v>82</v>
      </c>
      <c r="C86" s="1" t="s">
        <v>28</v>
      </c>
      <c r="D86" s="5"/>
      <c r="E86" s="6">
        <v>46085</v>
      </c>
      <c r="F86" s="7">
        <f t="shared" si="43"/>
        <v>46091</v>
      </c>
      <c r="G86" s="8">
        <v>7</v>
      </c>
      <c r="H86" s="9">
        <v>0</v>
      </c>
      <c r="I86" s="10">
        <f t="shared" si="44"/>
        <v>5</v>
      </c>
      <c r="J86" s="11"/>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spans="1:66" s="1" customFormat="1" ht="18" hidden="1">
      <c r="A87" s="4" t="str">
        <f t="shared" si="42"/>
        <v>1.11</v>
      </c>
      <c r="B87" s="91" t="s">
        <v>83</v>
      </c>
      <c r="C87" s="1" t="s">
        <v>28</v>
      </c>
      <c r="D87" s="5"/>
      <c r="E87" s="6">
        <v>46092</v>
      </c>
      <c r="F87" s="7">
        <f t="shared" si="43"/>
        <v>46098</v>
      </c>
      <c r="G87" s="8">
        <v>7</v>
      </c>
      <c r="H87" s="9">
        <v>0</v>
      </c>
      <c r="I87" s="10">
        <f t="shared" si="44"/>
        <v>5</v>
      </c>
      <c r="J87" s="11"/>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spans="1:66" s="1" customFormat="1" ht="18" hidden="1">
      <c r="A88" s="4" t="str">
        <f t="shared" si="42"/>
        <v>1.12</v>
      </c>
      <c r="B88" s="91" t="s">
        <v>84</v>
      </c>
      <c r="C88" s="1" t="s">
        <v>19</v>
      </c>
      <c r="D88" s="5"/>
      <c r="E88" s="6">
        <v>46092</v>
      </c>
      <c r="F88" s="7">
        <f t="shared" si="43"/>
        <v>46098</v>
      </c>
      <c r="G88" s="8">
        <v>7</v>
      </c>
      <c r="H88" s="9">
        <v>0</v>
      </c>
      <c r="I88" s="10">
        <f t="shared" si="44"/>
        <v>5</v>
      </c>
      <c r="J88" s="11"/>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spans="1:66" s="1" customFormat="1" ht="18" hidden="1">
      <c r="A89" s="4" t="str">
        <f t="shared" si="42"/>
        <v>1.13</v>
      </c>
      <c r="B89" s="91" t="s">
        <v>85</v>
      </c>
      <c r="C89" s="1" t="s">
        <v>28</v>
      </c>
      <c r="D89" s="5"/>
      <c r="E89" s="6">
        <v>46099</v>
      </c>
      <c r="F89" s="7">
        <f t="shared" si="43"/>
        <v>46105</v>
      </c>
      <c r="G89" s="8">
        <v>7</v>
      </c>
      <c r="H89" s="9">
        <v>0</v>
      </c>
      <c r="I89" s="10">
        <f t="shared" si="44"/>
        <v>5</v>
      </c>
      <c r="J89" s="11"/>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spans="1:66" s="1" customFormat="1" ht="18" hidden="1">
      <c r="A90" s="4" t="str">
        <f t="shared" si="42"/>
        <v>1.14</v>
      </c>
      <c r="B90" s="91" t="s">
        <v>86</v>
      </c>
      <c r="C90" s="1" t="s">
        <v>28</v>
      </c>
      <c r="D90" s="5"/>
      <c r="E90" s="6">
        <v>46106</v>
      </c>
      <c r="F90" s="7">
        <f t="shared" ref="F90" si="45">IF(ISBLANK(E90)," - ",IF(G90=0,E90,E90+G90-1))</f>
        <v>46112</v>
      </c>
      <c r="G90" s="8">
        <v>7</v>
      </c>
      <c r="H90" s="9">
        <v>0</v>
      </c>
      <c r="I90" s="10">
        <f t="shared" ref="I90" si="46">IF(OR(F90=0,E90=0)," - ",NETWORKDAYS(E90,F90))</f>
        <v>5</v>
      </c>
      <c r="J90" s="11"/>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spans="1:66" s="1" customFormat="1" ht="18" hidden="1">
      <c r="A91" s="4" t="str">
        <f t="shared" si="42"/>
        <v>1.15</v>
      </c>
      <c r="B91" s="91" t="s">
        <v>87</v>
      </c>
      <c r="C91" s="1" t="s">
        <v>28</v>
      </c>
      <c r="D91" s="5"/>
      <c r="E91" s="6">
        <v>46106</v>
      </c>
      <c r="F91" s="7">
        <f t="shared" ref="F91" si="47">IF(ISBLANK(E91)," - ",IF(G91=0,E91,E91+G91-1))</f>
        <v>46112</v>
      </c>
      <c r="G91" s="8">
        <v>7</v>
      </c>
      <c r="H91" s="9">
        <v>0</v>
      </c>
      <c r="I91" s="10">
        <f t="shared" ref="I91" si="48">IF(OR(F91=0,E91=0)," - ",NETWORKDAYS(E91,F91))</f>
        <v>5</v>
      </c>
      <c r="J91" s="11"/>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spans="1:66" s="1" customFormat="1" ht="18" hidden="1">
      <c r="A92" s="4" t="str">
        <f t="shared" si="42"/>
        <v>1.16</v>
      </c>
      <c r="B92" s="91" t="s">
        <v>88</v>
      </c>
      <c r="C92" s="1" t="s">
        <v>28</v>
      </c>
      <c r="D92" s="5"/>
      <c r="E92" s="6">
        <v>46113</v>
      </c>
      <c r="F92" s="7">
        <f t="shared" si="43"/>
        <v>46119</v>
      </c>
      <c r="G92" s="8">
        <v>7</v>
      </c>
      <c r="H92" s="9">
        <v>0</v>
      </c>
      <c r="I92" s="10">
        <f t="shared" si="44"/>
        <v>5</v>
      </c>
      <c r="J92" s="11"/>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spans="1:66" s="1" customFormat="1" ht="18" hidden="1">
      <c r="A93" s="4" t="str">
        <f t="shared" si="42"/>
        <v>1.17</v>
      </c>
      <c r="B93" s="91" t="s">
        <v>89</v>
      </c>
      <c r="C93" s="1" t="s">
        <v>19</v>
      </c>
      <c r="D93" s="5"/>
      <c r="E93" s="6">
        <v>46113</v>
      </c>
      <c r="F93" s="7">
        <f t="shared" si="43"/>
        <v>46119</v>
      </c>
      <c r="G93" s="8">
        <v>7</v>
      </c>
      <c r="H93" s="9">
        <v>0</v>
      </c>
      <c r="I93" s="10">
        <f t="shared" si="44"/>
        <v>5</v>
      </c>
      <c r="J93" s="11"/>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spans="1:66" s="1" customFormat="1" ht="18" hidden="1">
      <c r="A94" s="4" t="str">
        <f t="shared" si="42"/>
        <v>1.18</v>
      </c>
      <c r="B94" s="91" t="s">
        <v>90</v>
      </c>
      <c r="C94" s="1" t="s">
        <v>28</v>
      </c>
      <c r="D94" s="5"/>
      <c r="E94" s="6">
        <v>46120</v>
      </c>
      <c r="F94" s="7">
        <f t="shared" si="43"/>
        <v>46126</v>
      </c>
      <c r="G94" s="8">
        <v>7</v>
      </c>
      <c r="H94" s="9">
        <v>0</v>
      </c>
      <c r="I94" s="10">
        <f t="shared" si="44"/>
        <v>5</v>
      </c>
      <c r="J94" s="11"/>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spans="1:66" s="1" customFormat="1" ht="18" hidden="1">
      <c r="A95" s="4" t="str">
        <f t="shared" si="42"/>
        <v>1.19</v>
      </c>
      <c r="B95" s="91" t="s">
        <v>91</v>
      </c>
      <c r="C95" s="1" t="s">
        <v>19</v>
      </c>
      <c r="D95" s="5"/>
      <c r="E95" s="6">
        <v>46120</v>
      </c>
      <c r="F95" s="7">
        <f t="shared" si="43"/>
        <v>46126</v>
      </c>
      <c r="G95" s="8">
        <v>7</v>
      </c>
      <c r="H95" s="9">
        <v>0</v>
      </c>
      <c r="I95" s="10">
        <f t="shared" si="44"/>
        <v>5</v>
      </c>
      <c r="J95" s="11"/>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spans="1:66" s="1" customFormat="1" ht="18" hidden="1">
      <c r="A96" s="4" t="str">
        <f t="shared" si="42"/>
        <v>1.20</v>
      </c>
      <c r="B96" s="91" t="s">
        <v>92</v>
      </c>
      <c r="C96" s="1" t="s">
        <v>28</v>
      </c>
      <c r="D96" s="5"/>
      <c r="E96" s="6">
        <v>46127</v>
      </c>
      <c r="F96" s="7">
        <f t="shared" si="43"/>
        <v>46133</v>
      </c>
      <c r="G96" s="8">
        <v>7</v>
      </c>
      <c r="H96" s="9">
        <v>0</v>
      </c>
      <c r="I96" s="10">
        <f t="shared" si="44"/>
        <v>5</v>
      </c>
      <c r="J96" s="11"/>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spans="1:66" s="1" customFormat="1" ht="18" hidden="1">
      <c r="A97" s="4" t="str">
        <f t="shared" si="42"/>
        <v>1.21</v>
      </c>
      <c r="B97" s="91" t="s">
        <v>93</v>
      </c>
      <c r="C97" s="1" t="s">
        <v>19</v>
      </c>
      <c r="D97" s="5"/>
      <c r="E97" s="6">
        <v>46127</v>
      </c>
      <c r="F97" s="7">
        <f t="shared" ref="F97:F107" si="49">IF(ISBLANK(E97)," - ",IF(G97=0,E97,E97+G97-1))</f>
        <v>46133</v>
      </c>
      <c r="G97" s="8">
        <v>7</v>
      </c>
      <c r="H97" s="9">
        <v>0</v>
      </c>
      <c r="I97" s="10">
        <f t="shared" ref="I97:I105" si="50">IF(OR(F97=0,E97=0)," - ",NETWORKDAYS(E97,F97))</f>
        <v>5</v>
      </c>
      <c r="J97" s="11"/>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spans="1:66" s="1" customFormat="1" ht="18" hidden="1">
      <c r="A98" s="4" t="str">
        <f t="shared" si="42"/>
        <v>1.22</v>
      </c>
      <c r="B98" s="91" t="s">
        <v>94</v>
      </c>
      <c r="C98" s="1" t="s">
        <v>28</v>
      </c>
      <c r="D98" s="5"/>
      <c r="E98" s="6">
        <v>46134</v>
      </c>
      <c r="F98" s="7">
        <f t="shared" si="49"/>
        <v>46140</v>
      </c>
      <c r="G98" s="8">
        <v>7</v>
      </c>
      <c r="H98" s="9">
        <v>0</v>
      </c>
      <c r="I98" s="10">
        <f t="shared" si="50"/>
        <v>5</v>
      </c>
      <c r="J98" s="11"/>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spans="1:66" s="1" customFormat="1" ht="18" hidden="1">
      <c r="A99" s="4" t="str">
        <f t="shared" si="42"/>
        <v>1.23</v>
      </c>
      <c r="B99" s="91" t="s">
        <v>95</v>
      </c>
      <c r="C99" s="1" t="s">
        <v>19</v>
      </c>
      <c r="D99" s="5"/>
      <c r="E99" s="6">
        <v>46134</v>
      </c>
      <c r="F99" s="7">
        <f t="shared" ref="F99:F100" si="51">IF(ISBLANK(E99)," - ",IF(G99=0,E99,E99+G99-1))</f>
        <v>46140</v>
      </c>
      <c r="G99" s="8">
        <v>7</v>
      </c>
      <c r="H99" s="9">
        <v>0</v>
      </c>
      <c r="I99" s="10">
        <f t="shared" ref="I99:I100" si="52">IF(OR(F99=0,E99=0)," - ",NETWORKDAYS(E99,F99))</f>
        <v>5</v>
      </c>
      <c r="J99" s="11"/>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spans="1:66" s="1" customFormat="1" ht="18" hidden="1">
      <c r="A100" s="4" t="str">
        <f t="shared" si="42"/>
        <v>1.24</v>
      </c>
      <c r="B100" s="91" t="s">
        <v>96</v>
      </c>
      <c r="C100" s="1" t="s">
        <v>28</v>
      </c>
      <c r="D100" s="5"/>
      <c r="E100" s="6">
        <v>46141</v>
      </c>
      <c r="F100" s="7">
        <f t="shared" si="51"/>
        <v>46147</v>
      </c>
      <c r="G100" s="8">
        <v>7</v>
      </c>
      <c r="H100" s="9">
        <v>0</v>
      </c>
      <c r="I100" s="10">
        <f t="shared" si="52"/>
        <v>5</v>
      </c>
      <c r="J100" s="11"/>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spans="1:66" s="1" customFormat="1" ht="18" hidden="1">
      <c r="A101" s="4" t="str">
        <f t="shared" si="42"/>
        <v>1.25</v>
      </c>
      <c r="B101" s="91" t="s">
        <v>97</v>
      </c>
      <c r="C101" s="1" t="s">
        <v>28</v>
      </c>
      <c r="D101" s="5"/>
      <c r="E101" s="6">
        <v>46141</v>
      </c>
      <c r="F101" s="7">
        <f t="shared" ref="F101:F103" si="53">IF(ISBLANK(E101)," - ",IF(G101=0,E101,E101+G101-1))</f>
        <v>46147</v>
      </c>
      <c r="G101" s="8">
        <v>7</v>
      </c>
      <c r="H101" s="9">
        <v>0</v>
      </c>
      <c r="I101" s="10">
        <f t="shared" ref="I101:I103" si="54">IF(OR(F101=0,E101=0)," - ",NETWORKDAYS(E101,F101))</f>
        <v>5</v>
      </c>
      <c r="J101" s="11"/>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spans="1:66" s="1" customFormat="1" ht="18" hidden="1">
      <c r="A102" s="4" t="str">
        <f t="shared" si="42"/>
        <v>1.26</v>
      </c>
      <c r="B102" s="91" t="s">
        <v>98</v>
      </c>
      <c r="C102" s="1" t="s">
        <v>28</v>
      </c>
      <c r="D102" s="5"/>
      <c r="E102" s="6">
        <v>46148</v>
      </c>
      <c r="F102" s="7">
        <f t="shared" si="53"/>
        <v>46154</v>
      </c>
      <c r="G102" s="8">
        <v>7</v>
      </c>
      <c r="H102" s="9">
        <v>0</v>
      </c>
      <c r="I102" s="10">
        <f t="shared" si="54"/>
        <v>5</v>
      </c>
      <c r="J102" s="11"/>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spans="1:66" s="1" customFormat="1" ht="18" hidden="1">
      <c r="A103" s="4" t="str">
        <f t="shared" si="42"/>
        <v>1.27</v>
      </c>
      <c r="B103" s="91" t="s">
        <v>99</v>
      </c>
      <c r="C103" s="1" t="s">
        <v>28</v>
      </c>
      <c r="D103" s="5"/>
      <c r="E103" s="6">
        <v>46148</v>
      </c>
      <c r="F103" s="7">
        <f t="shared" si="53"/>
        <v>46154</v>
      </c>
      <c r="G103" s="8">
        <v>7</v>
      </c>
      <c r="H103" s="9">
        <v>0</v>
      </c>
      <c r="I103" s="10">
        <f t="shared" si="54"/>
        <v>5</v>
      </c>
      <c r="J103" s="11"/>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spans="1:66" s="55" customFormat="1" ht="18" hidden="1">
      <c r="A104" s="95" t="str">
        <f>IF(ISERROR(VALUE(SUBSTITUTE(prevWBS,".",""))),"1",IF(ISERROR(FIND("`",SUBSTITUTE(prevWBS,".","`",1))),TEXT(VALUE(prevWBS)+1,"#"),TEXT(VALUE(LEFT(prevWBS,FIND("`",SUBSTITUTE(prevWBS,".","`",1))-1))+1,"#")))</f>
        <v>2</v>
      </c>
      <c r="B104" s="96" t="s">
        <v>100</v>
      </c>
      <c r="D104" s="97"/>
      <c r="E104" s="98"/>
      <c r="F104" s="98" t="str">
        <f t="shared" si="49"/>
        <v xml:space="preserve"> - </v>
      </c>
      <c r="G104" s="99"/>
      <c r="H104" s="100"/>
      <c r="I104" s="101" t="str">
        <f t="shared" si="50"/>
        <v xml:space="preserve"> - </v>
      </c>
      <c r="J104" s="102"/>
      <c r="K104" s="103"/>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row>
    <row r="105" spans="1:66" s="1" customFormat="1" ht="18" hidden="1">
      <c r="A105" s="4" t="str">
        <f t="shared" si="42"/>
        <v>2.1</v>
      </c>
      <c r="B105" s="3" t="s">
        <v>101</v>
      </c>
      <c r="C105" s="1" t="s">
        <v>80</v>
      </c>
      <c r="D105" s="5"/>
      <c r="E105" s="6">
        <v>46034</v>
      </c>
      <c r="F105" s="7">
        <f t="shared" si="49"/>
        <v>46038</v>
      </c>
      <c r="G105" s="8">
        <v>5</v>
      </c>
      <c r="H105" s="9">
        <v>0</v>
      </c>
      <c r="I105" s="10">
        <f t="shared" si="50"/>
        <v>5</v>
      </c>
      <c r="J105" s="11"/>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spans="1:66" s="1" customFormat="1" ht="18" hidden="1">
      <c r="A106" s="4" t="str">
        <f t="shared" si="42"/>
        <v>2.2</v>
      </c>
      <c r="B106" s="3" t="s">
        <v>102</v>
      </c>
      <c r="C106" s="1" t="s">
        <v>103</v>
      </c>
      <c r="D106" s="5"/>
      <c r="E106" s="6">
        <v>46023</v>
      </c>
      <c r="F106" s="7">
        <f t="shared" si="49"/>
        <v>46032</v>
      </c>
      <c r="G106" s="8">
        <v>10</v>
      </c>
      <c r="H106" s="9">
        <v>0</v>
      </c>
      <c r="I106" s="10">
        <v>6</v>
      </c>
      <c r="J106" s="11"/>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spans="1:66" s="1" customFormat="1" ht="45" hidden="1" customHeight="1">
      <c r="A107" s="4" t="str">
        <f t="shared" si="42"/>
        <v>2.3</v>
      </c>
      <c r="B107" s="3" t="s">
        <v>104</v>
      </c>
      <c r="C107" s="1" t="s">
        <v>72</v>
      </c>
      <c r="D107" s="5"/>
      <c r="E107" s="6">
        <v>46034</v>
      </c>
      <c r="F107" s="7">
        <f t="shared" si="49"/>
        <v>46038</v>
      </c>
      <c r="G107" s="8">
        <v>5</v>
      </c>
      <c r="H107" s="9">
        <v>0</v>
      </c>
      <c r="I107" s="10">
        <v>5</v>
      </c>
      <c r="J107" s="11"/>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spans="1:66" s="55" customFormat="1" ht="18" hidden="1">
      <c r="A108" s="95" t="str">
        <f>IF(ISERROR(VALUE(SUBSTITUTE(prevWBS,".",""))),"1",IF(ISERROR(FIND("`",SUBSTITUTE(prevWBS,".","`",1))),TEXT(VALUE(prevWBS)+1,"#"),TEXT(VALUE(LEFT(prevWBS,FIND("`",SUBSTITUTE(prevWBS,".","`",1))-1))+1,"#")))</f>
        <v>3</v>
      </c>
      <c r="B108" s="96" t="s">
        <v>105</v>
      </c>
      <c r="D108" s="97"/>
      <c r="E108" s="98"/>
      <c r="F108" s="98" t="str">
        <f t="shared" ref="F108:F113" si="55">IF(ISBLANK(E108)," - ",IF(G108=0,E108,E108+G108-1))</f>
        <v xml:space="preserve"> - </v>
      </c>
      <c r="G108" s="99"/>
      <c r="H108" s="100"/>
      <c r="I108" s="101" t="str">
        <f t="shared" ref="I108" si="56">IF(OR(F108=0,E108=0)," - ",NETWORKDAYS(E108,F108))</f>
        <v xml:space="preserve"> - </v>
      </c>
      <c r="J108" s="102"/>
      <c r="K108" s="103"/>
      <c r="L108" s="103"/>
      <c r="M108" s="103"/>
      <c r="N108" s="103"/>
      <c r="O108" s="103"/>
      <c r="P108" s="103"/>
      <c r="Q108" s="103"/>
      <c r="R108" s="103"/>
      <c r="S108" s="103"/>
      <c r="T108" s="103"/>
      <c r="U108" s="103"/>
      <c r="V108" s="103"/>
      <c r="W108" s="103"/>
      <c r="X108" s="103"/>
      <c r="Y108" s="103"/>
      <c r="Z108" s="103"/>
      <c r="AA108" s="103"/>
      <c r="AB108" s="103"/>
      <c r="AC108" s="103"/>
      <c r="AD108" s="103"/>
      <c r="AE108" s="103"/>
      <c r="AF108" s="103"/>
      <c r="AG108" s="103"/>
      <c r="AH108" s="103"/>
      <c r="AI108" s="103"/>
      <c r="AJ108" s="103"/>
      <c r="AK108" s="103"/>
      <c r="AL108" s="103"/>
      <c r="AM108" s="103"/>
      <c r="AN108" s="103"/>
      <c r="AO108" s="103"/>
      <c r="AP108" s="103"/>
      <c r="AQ108" s="103"/>
      <c r="AR108" s="103"/>
      <c r="AS108" s="103"/>
      <c r="AT108" s="103"/>
      <c r="AU108" s="103"/>
      <c r="AV108" s="103"/>
      <c r="AW108" s="103"/>
      <c r="AX108" s="103"/>
      <c r="AY108" s="103"/>
      <c r="AZ108" s="103"/>
      <c r="BA108" s="103"/>
      <c r="BB108" s="103"/>
      <c r="BC108" s="103"/>
      <c r="BD108" s="103"/>
      <c r="BE108" s="103"/>
      <c r="BF108" s="103"/>
      <c r="BG108" s="103"/>
      <c r="BH108" s="103"/>
      <c r="BI108" s="103"/>
      <c r="BJ108" s="103"/>
      <c r="BK108" s="103"/>
      <c r="BL108" s="103"/>
      <c r="BM108" s="103"/>
      <c r="BN108" s="103"/>
    </row>
    <row r="109" spans="1:66" s="1" customFormat="1" ht="18" hidden="1">
      <c r="A109" s="4" t="str">
        <f t="shared" si="42"/>
        <v>3.1</v>
      </c>
      <c r="B109" s="3" t="s">
        <v>106</v>
      </c>
      <c r="C109" s="1" t="s">
        <v>80</v>
      </c>
      <c r="D109" s="5"/>
      <c r="E109" s="6">
        <v>46041</v>
      </c>
      <c r="F109" s="7">
        <f t="shared" si="55"/>
        <v>46044</v>
      </c>
      <c r="G109" s="8">
        <v>4</v>
      </c>
      <c r="H109" s="9">
        <v>0</v>
      </c>
      <c r="I109" s="10">
        <v>4</v>
      </c>
      <c r="J109" s="11"/>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spans="1:66" s="1" customFormat="1" ht="18" hidden="1">
      <c r="A110" s="4" t="str">
        <f t="shared" si="42"/>
        <v>3.2</v>
      </c>
      <c r="B110" s="3" t="s">
        <v>107</v>
      </c>
      <c r="C110" s="1" t="s">
        <v>72</v>
      </c>
      <c r="D110" s="5"/>
      <c r="E110" s="6">
        <v>46041</v>
      </c>
      <c r="F110" s="7">
        <f t="shared" si="55"/>
        <v>46044</v>
      </c>
      <c r="G110" s="8">
        <v>4</v>
      </c>
      <c r="H110" s="9">
        <v>0</v>
      </c>
      <c r="I110" s="10">
        <v>4</v>
      </c>
      <c r="J110" s="11"/>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spans="1:66" s="1" customFormat="1" ht="18" hidden="1">
      <c r="A111" s="4" t="str">
        <f t="shared" si="42"/>
        <v>3.3</v>
      </c>
      <c r="B111" s="3" t="s">
        <v>108</v>
      </c>
      <c r="C111" s="1" t="s">
        <v>19</v>
      </c>
      <c r="D111" s="5"/>
      <c r="E111" s="6">
        <v>46045</v>
      </c>
      <c r="F111" s="7">
        <f t="shared" si="55"/>
        <v>46050</v>
      </c>
      <c r="G111" s="8">
        <v>6</v>
      </c>
      <c r="H111" s="9">
        <v>0</v>
      </c>
      <c r="I111" s="10">
        <v>4</v>
      </c>
      <c r="J111" s="11"/>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spans="1:66" s="1" customFormat="1" ht="18" hidden="1">
      <c r="A112" s="4" t="str">
        <f t="shared" si="42"/>
        <v>3.4</v>
      </c>
      <c r="B112" s="3" t="s">
        <v>109</v>
      </c>
      <c r="C112" s="1" t="s">
        <v>19</v>
      </c>
      <c r="D112" s="5"/>
      <c r="E112" s="6">
        <v>46051</v>
      </c>
      <c r="F112" s="7">
        <f t="shared" si="55"/>
        <v>46056</v>
      </c>
      <c r="G112" s="8">
        <v>6</v>
      </c>
      <c r="H112" s="9">
        <v>0</v>
      </c>
      <c r="I112" s="10">
        <v>4</v>
      </c>
      <c r="J112" s="11"/>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spans="1:66" s="1" customFormat="1" ht="18" hidden="1">
      <c r="A113" s="4" t="str">
        <f t="shared" si="42"/>
        <v>3.5</v>
      </c>
      <c r="B113" s="3" t="s">
        <v>110</v>
      </c>
      <c r="C113" s="1" t="s">
        <v>28</v>
      </c>
      <c r="D113" s="5"/>
      <c r="E113" s="6">
        <v>46045</v>
      </c>
      <c r="F113" s="7">
        <f t="shared" si="55"/>
        <v>46050</v>
      </c>
      <c r="G113" s="8">
        <v>6</v>
      </c>
      <c r="H113" s="9">
        <v>0</v>
      </c>
      <c r="I113" s="10">
        <v>4</v>
      </c>
      <c r="J113" s="11"/>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spans="1:66" s="55" customFormat="1" ht="18" hidden="1">
      <c r="A114" s="95" t="str">
        <f>IF(ISERROR(VALUE(SUBSTITUTE(prevWBS,".",""))),"1",IF(ISERROR(FIND("`",SUBSTITUTE(prevWBS,".","`",1))),TEXT(VALUE(prevWBS)+1,"#"),TEXT(VALUE(LEFT(prevWBS,FIND("`",SUBSTITUTE(prevWBS,".","`",1))-1))+1,"#")))</f>
        <v>4</v>
      </c>
      <c r="B114" s="96" t="s">
        <v>111</v>
      </c>
      <c r="D114" s="97"/>
      <c r="E114" s="98"/>
      <c r="F114" s="98" t="str">
        <f t="shared" ref="F114:F115" si="57">IF(ISBLANK(E114)," - ",IF(G114=0,E114,E114+G114-1))</f>
        <v xml:space="preserve"> - </v>
      </c>
      <c r="G114" s="99"/>
      <c r="H114" s="100"/>
      <c r="I114" s="101" t="str">
        <f t="shared" ref="I114" si="58">IF(OR(F114=0,E114=0)," - ",NETWORKDAYS(E114,F114))</f>
        <v xml:space="preserve"> - </v>
      </c>
      <c r="J114" s="102"/>
      <c r="K114" s="103"/>
      <c r="L114" s="103"/>
      <c r="M114" s="103"/>
      <c r="N114" s="103"/>
      <c r="O114" s="103"/>
      <c r="P114" s="103"/>
      <c r="Q114" s="103"/>
      <c r="R114" s="103"/>
      <c r="S114" s="103"/>
      <c r="T114" s="103"/>
      <c r="U114" s="103"/>
      <c r="V114" s="103"/>
      <c r="W114" s="103"/>
      <c r="X114" s="103"/>
      <c r="Y114" s="103"/>
      <c r="Z114" s="103"/>
      <c r="AA114" s="103"/>
      <c r="AB114" s="103"/>
      <c r="AC114" s="103"/>
      <c r="AD114" s="103"/>
      <c r="AE114" s="103"/>
      <c r="AF114" s="103"/>
      <c r="AG114" s="103"/>
      <c r="AH114" s="103"/>
      <c r="AI114" s="103"/>
      <c r="AJ114" s="103"/>
      <c r="AK114" s="103"/>
      <c r="AL114" s="103"/>
      <c r="AM114" s="103"/>
      <c r="AN114" s="103"/>
      <c r="AO114" s="103"/>
      <c r="AP114" s="103"/>
      <c r="AQ114" s="103"/>
      <c r="AR114" s="103"/>
      <c r="AS114" s="103"/>
      <c r="AT114" s="103"/>
      <c r="AU114" s="103"/>
      <c r="AV114" s="103"/>
      <c r="AW114" s="103"/>
      <c r="AX114" s="103"/>
      <c r="AY114" s="103"/>
      <c r="AZ114" s="103"/>
      <c r="BA114" s="103"/>
      <c r="BB114" s="103"/>
      <c r="BC114" s="103"/>
      <c r="BD114" s="103"/>
      <c r="BE114" s="103"/>
      <c r="BF114" s="103"/>
      <c r="BG114" s="103"/>
      <c r="BH114" s="103"/>
      <c r="BI114" s="103"/>
      <c r="BJ114" s="103"/>
      <c r="BK114" s="103"/>
      <c r="BL114" s="103"/>
      <c r="BM114" s="103"/>
      <c r="BN114" s="103"/>
    </row>
    <row r="115" spans="1:66" s="1" customFormat="1" ht="18" hidden="1">
      <c r="A115" s="4" t="str">
        <f t="shared" si="42"/>
        <v>4.1</v>
      </c>
      <c r="B115" s="3" t="s">
        <v>112</v>
      </c>
      <c r="C115" s="1" t="s">
        <v>80</v>
      </c>
      <c r="D115" s="5"/>
      <c r="E115" s="6">
        <v>46051</v>
      </c>
      <c r="F115" s="7">
        <f t="shared" si="57"/>
        <v>46056</v>
      </c>
      <c r="G115" s="8">
        <v>6</v>
      </c>
      <c r="H115" s="9">
        <v>0</v>
      </c>
      <c r="I115" s="10">
        <v>4</v>
      </c>
      <c r="J115" s="11"/>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row>
  </sheetData>
  <sheetProtection formatCells="0" formatColumns="0" formatRows="0" insertRows="0" deleteRows="0"/>
  <autoFilter ref="A7:I60"/>
  <mergeCells count="19">
    <mergeCell ref="K1:AE1"/>
    <mergeCell ref="C4:E4"/>
    <mergeCell ref="K4:Q4"/>
    <mergeCell ref="R4:X4"/>
    <mergeCell ref="Y4:AE4"/>
    <mergeCell ref="AF4:AL4"/>
    <mergeCell ref="AM4:AS4"/>
    <mergeCell ref="AT4:AZ4"/>
    <mergeCell ref="BA4:BG4"/>
    <mergeCell ref="BH4:BN4"/>
    <mergeCell ref="AM5:AS5"/>
    <mergeCell ref="AT5:AZ5"/>
    <mergeCell ref="BA5:BG5"/>
    <mergeCell ref="BH5:BN5"/>
    <mergeCell ref="C5:E5"/>
    <mergeCell ref="K5:Q5"/>
    <mergeCell ref="R5:X5"/>
    <mergeCell ref="Y5:AE5"/>
    <mergeCell ref="AF5:AL5"/>
  </mergeCells>
  <conditionalFormatting sqref="H11">
    <cfRule type="dataBar" priority="161">
      <dataBar>
        <cfvo type="num" val="0"/>
        <cfvo type="num" val="1"/>
        <color theme="0" tint="-0.34998626667073579"/>
      </dataBar>
      <extLst>
        <ext xmlns:x14="http://schemas.microsoft.com/office/spreadsheetml/2009/9/main" uri="{B025F937-C7B1-47D3-B67F-A62EFF666E3E}">
          <x14:id>{5D411FD4-3E54-4BD1-8532-6C23EBBD552E}</x14:id>
        </ext>
      </extLst>
    </cfRule>
  </conditionalFormatting>
  <conditionalFormatting sqref="H18">
    <cfRule type="dataBar" priority="105">
      <dataBar>
        <cfvo type="num" val="0"/>
        <cfvo type="num" val="1"/>
        <color theme="0" tint="-0.34998626667073579"/>
      </dataBar>
      <extLst>
        <ext xmlns:x14="http://schemas.microsoft.com/office/spreadsheetml/2009/9/main" uri="{B025F937-C7B1-47D3-B67F-A62EFF666E3E}">
          <x14:id>{A496E16E-E84B-4E22-B781-7A016AAC9A6D}</x14:id>
        </ext>
      </extLst>
    </cfRule>
  </conditionalFormatting>
  <conditionalFormatting sqref="H19">
    <cfRule type="dataBar" priority="101">
      <dataBar>
        <cfvo type="num" val="0"/>
        <cfvo type="num" val="1"/>
        <color theme="0" tint="-0.34998626667073579"/>
      </dataBar>
      <extLst>
        <ext xmlns:x14="http://schemas.microsoft.com/office/spreadsheetml/2009/9/main" uri="{B025F937-C7B1-47D3-B67F-A62EFF666E3E}">
          <x14:id>{77833048-568D-4394-81C6-5BD49732C40B}</x14:id>
        </ext>
      </extLst>
    </cfRule>
  </conditionalFormatting>
  <conditionalFormatting sqref="H32">
    <cfRule type="dataBar" priority="96">
      <dataBar>
        <cfvo type="num" val="0"/>
        <cfvo type="num" val="1"/>
        <color theme="0" tint="-0.34998626667073579"/>
      </dataBar>
      <extLst>
        <ext xmlns:x14="http://schemas.microsoft.com/office/spreadsheetml/2009/9/main" uri="{B025F937-C7B1-47D3-B67F-A62EFF666E3E}">
          <x14:id>{64DE3F20-31B0-43D1-B0B2-3FA0FAB992EB}</x14:id>
        </ext>
      </extLst>
    </cfRule>
  </conditionalFormatting>
  <conditionalFormatting sqref="H33">
    <cfRule type="dataBar" priority="141">
      <dataBar>
        <cfvo type="num" val="0"/>
        <cfvo type="num" val="1"/>
        <color theme="0" tint="-0.34998626667073579"/>
      </dataBar>
      <extLst>
        <ext xmlns:x14="http://schemas.microsoft.com/office/spreadsheetml/2009/9/main" uri="{B025F937-C7B1-47D3-B67F-A62EFF666E3E}">
          <x14:id>{3D7DA7F9-34EF-413C-97FE-5C685264E782}</x14:id>
        </ext>
      </extLst>
    </cfRule>
  </conditionalFormatting>
  <conditionalFormatting sqref="H34">
    <cfRule type="dataBar" priority="137">
      <dataBar>
        <cfvo type="num" val="0"/>
        <cfvo type="num" val="1"/>
        <color theme="0" tint="-0.34998626667073579"/>
      </dataBar>
      <extLst>
        <ext xmlns:x14="http://schemas.microsoft.com/office/spreadsheetml/2009/9/main" uri="{B025F937-C7B1-47D3-B67F-A62EFF666E3E}">
          <x14:id>{2E4BEE17-1AD8-4EE1-ABFA-CE8DBB66F5B9}</x14:id>
        </ext>
      </extLst>
    </cfRule>
  </conditionalFormatting>
  <conditionalFormatting sqref="H35">
    <cfRule type="dataBar" priority="133">
      <dataBar>
        <cfvo type="num" val="0"/>
        <cfvo type="num" val="1"/>
        <color theme="0" tint="-0.34998626667073579"/>
      </dataBar>
      <extLst>
        <ext xmlns:x14="http://schemas.microsoft.com/office/spreadsheetml/2009/9/main" uri="{B025F937-C7B1-47D3-B67F-A62EFF666E3E}">
          <x14:id>{C34C3A4A-B2F1-4A99-BAAD-377AA832D261}</x14:id>
        </ext>
      </extLst>
    </cfRule>
  </conditionalFormatting>
  <conditionalFormatting sqref="H36">
    <cfRule type="dataBar" priority="129">
      <dataBar>
        <cfvo type="num" val="0"/>
        <cfvo type="num" val="1"/>
        <color theme="0" tint="-0.34998626667073579"/>
      </dataBar>
      <extLst>
        <ext xmlns:x14="http://schemas.microsoft.com/office/spreadsheetml/2009/9/main" uri="{B025F937-C7B1-47D3-B67F-A62EFF666E3E}">
          <x14:id>{E5CC2AB0-9781-47A5-83E2-8BB2D8186002}</x14:id>
        </ext>
      </extLst>
    </cfRule>
  </conditionalFormatting>
  <conditionalFormatting sqref="H37">
    <cfRule type="dataBar" priority="125">
      <dataBar>
        <cfvo type="num" val="0"/>
        <cfvo type="num" val="1"/>
        <color theme="0" tint="-0.34998626667073579"/>
      </dataBar>
      <extLst>
        <ext xmlns:x14="http://schemas.microsoft.com/office/spreadsheetml/2009/9/main" uri="{B025F937-C7B1-47D3-B67F-A62EFF666E3E}">
          <x14:id>{CE678E65-4430-4631-8C47-0FF523236192}</x14:id>
        </ext>
      </extLst>
    </cfRule>
  </conditionalFormatting>
  <conditionalFormatting sqref="H38">
    <cfRule type="dataBar" priority="117">
      <dataBar>
        <cfvo type="num" val="0"/>
        <cfvo type="num" val="1"/>
        <color theme="0" tint="-0.34998626667073579"/>
      </dataBar>
      <extLst>
        <ext xmlns:x14="http://schemas.microsoft.com/office/spreadsheetml/2009/9/main" uri="{B025F937-C7B1-47D3-B67F-A62EFF666E3E}">
          <x14:id>{51568B3E-4D28-4E71-862F-E0478DB892D9}</x14:id>
        </ext>
      </extLst>
    </cfRule>
  </conditionalFormatting>
  <conditionalFormatting sqref="H39">
    <cfRule type="dataBar" priority="113">
      <dataBar>
        <cfvo type="num" val="0"/>
        <cfvo type="num" val="1"/>
        <color theme="0" tint="-0.34998626667073579"/>
      </dataBar>
      <extLst>
        <ext xmlns:x14="http://schemas.microsoft.com/office/spreadsheetml/2009/9/main" uri="{B025F937-C7B1-47D3-B67F-A62EFF666E3E}">
          <x14:id>{4C8AB46A-D580-445F-8550-BA3B7D59E2CC}</x14:id>
        </ext>
      </extLst>
    </cfRule>
  </conditionalFormatting>
  <conditionalFormatting sqref="H45">
    <cfRule type="dataBar" priority="8">
      <dataBar>
        <cfvo type="num" val="0"/>
        <cfvo type="num" val="1"/>
        <color theme="0" tint="-0.34998626667073579"/>
      </dataBar>
      <extLst>
        <ext xmlns:x14="http://schemas.microsoft.com/office/spreadsheetml/2009/9/main" uri="{B025F937-C7B1-47D3-B67F-A62EFF666E3E}">
          <x14:id>{D04EE583-134D-478E-8AB2-5C89C9F8DA03}</x14:id>
        </ext>
      </extLst>
    </cfRule>
  </conditionalFormatting>
  <conditionalFormatting sqref="K45:BN45">
    <cfRule type="expression" dxfId="16" priority="5">
      <formula>K$6=TODAY()</formula>
    </cfRule>
  </conditionalFormatting>
  <conditionalFormatting sqref="H90">
    <cfRule type="dataBar" priority="201">
      <dataBar>
        <cfvo type="num" val="0"/>
        <cfvo type="num" val="1"/>
        <color theme="0" tint="-0.34998626667073579"/>
      </dataBar>
      <extLst>
        <ext xmlns:x14="http://schemas.microsoft.com/office/spreadsheetml/2009/9/main" uri="{B025F937-C7B1-47D3-B67F-A62EFF666E3E}">
          <x14:id>{3E29C452-C19C-45AA-819A-55686B848AA2}</x14:id>
        </ext>
      </extLst>
    </cfRule>
  </conditionalFormatting>
  <conditionalFormatting sqref="H91">
    <cfRule type="dataBar" priority="197">
      <dataBar>
        <cfvo type="num" val="0"/>
        <cfvo type="num" val="1"/>
        <color theme="0" tint="-0.34998626667073579"/>
      </dataBar>
      <extLst>
        <ext xmlns:x14="http://schemas.microsoft.com/office/spreadsheetml/2009/9/main" uri="{B025F937-C7B1-47D3-B67F-A62EFF666E3E}">
          <x14:id>{61761229-4066-4A43-ABBE-C3C05D55411E}</x14:id>
        </ext>
      </extLst>
    </cfRule>
  </conditionalFormatting>
  <conditionalFormatting sqref="H99">
    <cfRule type="dataBar" priority="193">
      <dataBar>
        <cfvo type="num" val="0"/>
        <cfvo type="num" val="1"/>
        <color theme="0" tint="-0.34998626667073579"/>
      </dataBar>
      <extLst>
        <ext xmlns:x14="http://schemas.microsoft.com/office/spreadsheetml/2009/9/main" uri="{B025F937-C7B1-47D3-B67F-A62EFF666E3E}">
          <x14:id>{4BD8555B-F8EF-4DEF-A90C-742D657B31B8}</x14:id>
        </ext>
      </extLst>
    </cfRule>
  </conditionalFormatting>
  <conditionalFormatting sqref="H100">
    <cfRule type="dataBar" priority="185">
      <dataBar>
        <cfvo type="num" val="0"/>
        <cfvo type="num" val="1"/>
        <color theme="0" tint="-0.34998626667073579"/>
      </dataBar>
      <extLst>
        <ext xmlns:x14="http://schemas.microsoft.com/office/spreadsheetml/2009/9/main" uri="{B025F937-C7B1-47D3-B67F-A62EFF666E3E}">
          <x14:id>{94D7114F-D901-499B-853B-A9D3F8D72229}</x14:id>
        </ext>
      </extLst>
    </cfRule>
  </conditionalFormatting>
  <conditionalFormatting sqref="H101">
    <cfRule type="dataBar" priority="181">
      <dataBar>
        <cfvo type="num" val="0"/>
        <cfvo type="num" val="1"/>
        <color theme="0" tint="-0.34998626667073579"/>
      </dataBar>
      <extLst>
        <ext xmlns:x14="http://schemas.microsoft.com/office/spreadsheetml/2009/9/main" uri="{B025F937-C7B1-47D3-B67F-A62EFF666E3E}">
          <x14:id>{28FE73B8-970E-4B74-B1CC-3AA74DA97C53}</x14:id>
        </ext>
      </extLst>
    </cfRule>
  </conditionalFormatting>
  <conditionalFormatting sqref="H102">
    <cfRule type="dataBar" priority="173">
      <dataBar>
        <cfvo type="num" val="0"/>
        <cfvo type="num" val="1"/>
        <color theme="0" tint="-0.34998626667073579"/>
      </dataBar>
      <extLst>
        <ext xmlns:x14="http://schemas.microsoft.com/office/spreadsheetml/2009/9/main" uri="{B025F937-C7B1-47D3-B67F-A62EFF666E3E}">
          <x14:id>{D563C6E6-3F8A-427E-9281-DCCE7BA88388}</x14:id>
        </ext>
      </extLst>
    </cfRule>
  </conditionalFormatting>
  <conditionalFormatting sqref="H103">
    <cfRule type="dataBar" priority="169">
      <dataBar>
        <cfvo type="num" val="0"/>
        <cfvo type="num" val="1"/>
        <color theme="0" tint="-0.34998626667073579"/>
      </dataBar>
      <extLst>
        <ext xmlns:x14="http://schemas.microsoft.com/office/spreadsheetml/2009/9/main" uri="{B025F937-C7B1-47D3-B67F-A62EFF666E3E}">
          <x14:id>{A26BCB48-3981-4275-86C9-8F9CCB05A23E}</x14:id>
        </ext>
      </extLst>
    </cfRule>
  </conditionalFormatting>
  <conditionalFormatting sqref="H104">
    <cfRule type="dataBar" priority="241">
      <dataBar>
        <cfvo type="num" val="0"/>
        <cfvo type="num" val="1"/>
        <color theme="0" tint="-0.34998626667073579"/>
      </dataBar>
      <extLst>
        <ext xmlns:x14="http://schemas.microsoft.com/office/spreadsheetml/2009/9/main" uri="{B025F937-C7B1-47D3-B67F-A62EFF666E3E}">
          <x14:id>{86DF5821-015A-4484-9B4F-444D478234BB}</x14:id>
        </ext>
      </extLst>
    </cfRule>
  </conditionalFormatting>
  <conditionalFormatting sqref="H108">
    <cfRule type="dataBar" priority="229">
      <dataBar>
        <cfvo type="num" val="0"/>
        <cfvo type="num" val="1"/>
        <color theme="0" tint="-0.34998626667073579"/>
      </dataBar>
      <extLst>
        <ext xmlns:x14="http://schemas.microsoft.com/office/spreadsheetml/2009/9/main" uri="{B025F937-C7B1-47D3-B67F-A62EFF666E3E}">
          <x14:id>{B3794FFA-68F2-4E38-B13B-C3A74F4F71CF}</x14:id>
        </ext>
      </extLst>
    </cfRule>
  </conditionalFormatting>
  <conditionalFormatting sqref="H114">
    <cfRule type="dataBar" priority="209">
      <dataBar>
        <cfvo type="num" val="0"/>
        <cfvo type="num" val="1"/>
        <color theme="0" tint="-0.34998626667073579"/>
      </dataBar>
      <extLst>
        <ext xmlns:x14="http://schemas.microsoft.com/office/spreadsheetml/2009/9/main" uri="{B025F937-C7B1-47D3-B67F-A62EFF666E3E}">
          <x14:id>{5F5C5C2F-C25C-4ED4-BA16-EDD220E27648}</x14:id>
        </ext>
      </extLst>
    </cfRule>
  </conditionalFormatting>
  <conditionalFormatting sqref="H115">
    <cfRule type="dataBar" priority="205">
      <dataBar>
        <cfvo type="num" val="0"/>
        <cfvo type="num" val="1"/>
        <color theme="0" tint="-0.34998626667073579"/>
      </dataBar>
      <extLst>
        <ext xmlns:x14="http://schemas.microsoft.com/office/spreadsheetml/2009/9/main" uri="{B025F937-C7B1-47D3-B67F-A62EFF666E3E}">
          <x14:id>{6523BA1B-CFC8-405A-93E8-D131011E3F73}</x14:id>
        </ext>
      </extLst>
    </cfRule>
  </conditionalFormatting>
  <conditionalFormatting sqref="H12:H15">
    <cfRule type="dataBar" priority="157">
      <dataBar>
        <cfvo type="num" val="0"/>
        <cfvo type="num" val="1"/>
        <color theme="0" tint="-0.34998626667073579"/>
      </dataBar>
      <extLst>
        <ext xmlns:x14="http://schemas.microsoft.com/office/spreadsheetml/2009/9/main" uri="{B025F937-C7B1-47D3-B67F-A62EFF666E3E}">
          <x14:id>{2BE7505A-DD50-49F2-A8B9-38EDD684022B}</x14:id>
        </ext>
      </extLst>
    </cfRule>
  </conditionalFormatting>
  <conditionalFormatting sqref="H16:H17">
    <cfRule type="dataBar" priority="153">
      <dataBar>
        <cfvo type="num" val="0"/>
        <cfvo type="num" val="1"/>
        <color theme="0" tint="-0.34998626667073579"/>
      </dataBar>
      <extLst>
        <ext xmlns:x14="http://schemas.microsoft.com/office/spreadsheetml/2009/9/main" uri="{B025F937-C7B1-47D3-B67F-A62EFF666E3E}">
          <x14:id>{540E5C62-18E7-47A5-8A80-93B435CFD9E0}</x14:id>
        </ext>
      </extLst>
    </cfRule>
  </conditionalFormatting>
  <conditionalFormatting sqref="H82:H86">
    <cfRule type="dataBar" priority="261">
      <dataBar>
        <cfvo type="num" val="0"/>
        <cfvo type="num" val="1"/>
        <color theme="0" tint="-0.34998626667073579"/>
      </dataBar>
      <extLst>
        <ext xmlns:x14="http://schemas.microsoft.com/office/spreadsheetml/2009/9/main" uri="{B025F937-C7B1-47D3-B67F-A62EFF666E3E}">
          <x14:id>{E87DE01A-8F41-4462-AF3B-619E8D6B67E5}</x14:id>
        </ext>
      </extLst>
    </cfRule>
  </conditionalFormatting>
  <conditionalFormatting sqref="H87:H89">
    <cfRule type="dataBar" priority="257">
      <dataBar>
        <cfvo type="num" val="0"/>
        <cfvo type="num" val="1"/>
        <color theme="0" tint="-0.34998626667073579"/>
      </dataBar>
      <extLst>
        <ext xmlns:x14="http://schemas.microsoft.com/office/spreadsheetml/2009/9/main" uri="{B025F937-C7B1-47D3-B67F-A62EFF666E3E}">
          <x14:id>{C078E29B-B0EA-4B50-B7F5-6A0A5CBDF788}</x14:id>
        </ext>
      </extLst>
    </cfRule>
  </conditionalFormatting>
  <conditionalFormatting sqref="H92:H96">
    <cfRule type="dataBar" priority="253">
      <dataBar>
        <cfvo type="num" val="0"/>
        <cfvo type="num" val="1"/>
        <color theme="0" tint="-0.34998626667073579"/>
      </dataBar>
      <extLst>
        <ext xmlns:x14="http://schemas.microsoft.com/office/spreadsheetml/2009/9/main" uri="{B025F937-C7B1-47D3-B67F-A62EFF666E3E}">
          <x14:id>{EC64BEEE-3E2C-4ED8-8C0A-82E233A8B6F3}</x14:id>
        </ext>
      </extLst>
    </cfRule>
  </conditionalFormatting>
  <conditionalFormatting sqref="H97:H98">
    <cfRule type="dataBar" priority="249">
      <dataBar>
        <cfvo type="num" val="0"/>
        <cfvo type="num" val="1"/>
        <color theme="0" tint="-0.34998626667073579"/>
      </dataBar>
      <extLst>
        <ext xmlns:x14="http://schemas.microsoft.com/office/spreadsheetml/2009/9/main" uri="{B025F937-C7B1-47D3-B67F-A62EFF666E3E}">
          <x14:id>{11425AF0-9CFC-42B8-84A7-DFBE45C809E7}</x14:id>
        </ext>
      </extLst>
    </cfRule>
  </conditionalFormatting>
  <conditionalFormatting sqref="H105:H107">
    <cfRule type="dataBar" priority="237">
      <dataBar>
        <cfvo type="num" val="0"/>
        <cfvo type="num" val="1"/>
        <color theme="0" tint="-0.34998626667073579"/>
      </dataBar>
      <extLst>
        <ext xmlns:x14="http://schemas.microsoft.com/office/spreadsheetml/2009/9/main" uri="{B025F937-C7B1-47D3-B67F-A62EFF666E3E}">
          <x14:id>{52AF7A61-F799-44F9-A1AE-629F62F1E696}</x14:id>
        </ext>
      </extLst>
    </cfRule>
  </conditionalFormatting>
  <conditionalFormatting sqref="H109:H113">
    <cfRule type="dataBar" priority="221">
      <dataBar>
        <cfvo type="num" val="0"/>
        <cfvo type="num" val="1"/>
        <color theme="0" tint="-0.34998626667073579"/>
      </dataBar>
      <extLst>
        <ext xmlns:x14="http://schemas.microsoft.com/office/spreadsheetml/2009/9/main" uri="{B025F937-C7B1-47D3-B67F-A62EFF666E3E}">
          <x14:id>{01264BB0-CDEA-485A-80E2-0525F0F2C226}</x14:id>
        </ext>
      </extLst>
    </cfRule>
  </conditionalFormatting>
  <conditionalFormatting sqref="K6:BN7">
    <cfRule type="expression" dxfId="15" priority="317">
      <formula>K$6=TODAY()</formula>
    </cfRule>
  </conditionalFormatting>
  <conditionalFormatting sqref="K6:BN44 K46:BN60">
    <cfRule type="expression" dxfId="14" priority="9">
      <formula>K$6=TODAY()</formula>
    </cfRule>
  </conditionalFormatting>
  <conditionalFormatting sqref="H8:H10 H76:H81 H20:H31">
    <cfRule type="dataBar" priority="274">
      <dataBar>
        <cfvo type="num" val="0"/>
        <cfvo type="num" val="1"/>
        <color theme="0" tint="-0.34998626667073579"/>
      </dataBar>
      <extLst>
        <ext xmlns:x14="http://schemas.microsoft.com/office/spreadsheetml/2009/9/main" uri="{B025F937-C7B1-47D3-B67F-A62EFF666E3E}">
          <x14:id>{5629A077-AC46-4B24-A4FE-AA98EF2453D7}</x14:id>
        </ext>
      </extLst>
    </cfRule>
  </conditionalFormatting>
  <conditionalFormatting sqref="K8:BN60">
    <cfRule type="expression" dxfId="13" priority="10">
      <formula>AND($E8&lt;=K$6,ROUNDDOWN(($F8-$E8+1)*$H8,0)+$E8-1&gt;=K$6)</formula>
    </cfRule>
    <cfRule type="expression" dxfId="12" priority="11">
      <formula>AND(NOT(ISBLANK($E8)),$E8&lt;=K$6,$F8&gt;=K$6)</formula>
    </cfRule>
  </conditionalFormatting>
  <conditionalFormatting sqref="H62:H75 H40:H44 H46:H60">
    <cfRule type="dataBar" priority="109">
      <dataBar>
        <cfvo type="num" val="0"/>
        <cfvo type="num" val="1"/>
        <color theme="0" tint="-0.34998626667073579"/>
      </dataBar>
      <extLst>
        <ext xmlns:x14="http://schemas.microsoft.com/office/spreadsheetml/2009/9/main" uri="{B025F937-C7B1-47D3-B67F-A62EFF666E3E}">
          <x14:id>{03F1B327-66B8-4A98-9EE4-A8FFA1EE7D03}</x14:id>
        </ext>
      </extLst>
    </cfRule>
  </conditionalFormatting>
  <conditionalFormatting sqref="K62:BN115">
    <cfRule type="expression" dxfId="11" priority="102">
      <formula>K$6=TODAY()</formula>
    </cfRule>
    <cfRule type="expression" dxfId="10" priority="103">
      <formula>AND($E62&lt;=K$6,ROUNDDOWN(($F62-$E62+1)*$H62,0)+$E62-1&gt;=K$6)</formula>
    </cfRule>
    <cfRule type="expression" dxfId="9" priority="104">
      <formula>AND(NOT(ISBLANK($E62)),$E62&lt;=K$6,$F62&gt;=K$6)</formula>
    </cfRule>
  </conditionalFormatting>
  <conditionalFormatting sqref="K61:BN61">
    <cfRule type="expression" dxfId="5" priority="1">
      <formula>K$6=TODAY()</formula>
    </cfRule>
  </conditionalFormatting>
  <conditionalFormatting sqref="K61:BN61">
    <cfRule type="expression" dxfId="3" priority="2">
      <formula>AND($E61&lt;=K$6,ROUNDDOWN(($F61-$E61+1)*$H61,0)+$E61-1&gt;=K$6)</formula>
    </cfRule>
    <cfRule type="expression" dxfId="2" priority="3">
      <formula>AND(NOT(ISBLANK($E61)),$E61&lt;=K$6,$F61&gt;=K$6)</formula>
    </cfRule>
  </conditionalFormatting>
  <conditionalFormatting sqref="H61">
    <cfRule type="dataBar" priority="4">
      <dataBar>
        <cfvo type="num" val="0"/>
        <cfvo type="num" val="1"/>
        <color theme="0" tint="-0.34998626667073579"/>
      </dataBar>
      <extLst>
        <ext xmlns:x14="http://schemas.microsoft.com/office/spreadsheetml/2009/9/main" uri="{B025F937-C7B1-47D3-B67F-A62EFF666E3E}">
          <x14:id>{C13B20E4-AE79-412E-95E4-B38A0427E8DA}</x14:id>
        </ext>
      </extLst>
    </cfRule>
  </conditionalFormatting>
  <dataValidations count="1">
    <dataValidation allowBlank="1" showInputMessage="1" promptTitle="Display Week" prompt="Enter the week number to display first in the Gantt Chart. The weeks are numbered starting from the week containing the Project Start Date." sqref="H4"/>
  </dataValidations>
  <pageMargins left="0.25" right="0.25" top="0.75" bottom="0.75" header="0.3" footer="0.3"/>
  <pageSetup paperSize="9" scale="36" orientation="portrait" r:id="rId1"/>
  <headerFooter alignWithMargins="0"/>
  <ignoredErrors>
    <ignoredError sqref="A76" formula="1"/>
    <ignoredError sqref="H78:H80 G76:H76 E76"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9</xdr:col>
                    <xdr:colOff>95250</xdr:colOff>
                    <xdr:row>1</xdr:row>
                    <xdr:rowOff>123825</xdr:rowOff>
                  </from>
                  <to>
                    <xdr:col>27</xdr:col>
                    <xdr:colOff>104775</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5D411FD4-3E54-4BD1-8532-6C23EBBD552E}">
            <x14:dataBar minLength="0" maxLength="100" gradient="0">
              <x14:cfvo type="num">
                <xm:f>0</xm:f>
              </x14:cfvo>
              <x14:cfvo type="num">
                <xm:f>1</xm:f>
              </x14:cfvo>
              <x14:negativeFillColor rgb="FFFF0000"/>
              <x14:axisColor rgb="FF000000"/>
            </x14:dataBar>
          </x14:cfRule>
          <xm:sqref>H11</xm:sqref>
        </x14:conditionalFormatting>
        <x14:conditionalFormatting xmlns:xm="http://schemas.microsoft.com/office/excel/2006/main">
          <x14:cfRule type="dataBar" id="{A496E16E-E84B-4E22-B781-7A016AAC9A6D}">
            <x14:dataBar minLength="0" maxLength="100" gradient="0">
              <x14:cfvo type="num">
                <xm:f>0</xm:f>
              </x14:cfvo>
              <x14:cfvo type="num">
                <xm:f>1</xm:f>
              </x14:cfvo>
              <x14:negativeFillColor rgb="FFFF0000"/>
              <x14:axisColor rgb="FF000000"/>
            </x14:dataBar>
          </x14:cfRule>
          <xm:sqref>H18</xm:sqref>
        </x14:conditionalFormatting>
        <x14:conditionalFormatting xmlns:xm="http://schemas.microsoft.com/office/excel/2006/main">
          <x14:cfRule type="dataBar" id="{77833048-568D-4394-81C6-5BD49732C40B}">
            <x14:dataBar minLength="0" maxLength="100" gradient="0">
              <x14:cfvo type="num">
                <xm:f>0</xm:f>
              </x14:cfvo>
              <x14:cfvo type="num">
                <xm:f>1</xm:f>
              </x14:cfvo>
              <x14:negativeFillColor rgb="FFFF0000"/>
              <x14:axisColor rgb="FF000000"/>
            </x14:dataBar>
          </x14:cfRule>
          <xm:sqref>H19</xm:sqref>
        </x14:conditionalFormatting>
        <x14:conditionalFormatting xmlns:xm="http://schemas.microsoft.com/office/excel/2006/main">
          <x14:cfRule type="dataBar" id="{64DE3F20-31B0-43D1-B0B2-3FA0FAB992EB}">
            <x14:dataBar minLength="0" maxLength="100" gradient="0">
              <x14:cfvo type="num">
                <xm:f>0</xm:f>
              </x14:cfvo>
              <x14:cfvo type="num">
                <xm:f>1</xm:f>
              </x14:cfvo>
              <x14:negativeFillColor rgb="FFFF0000"/>
              <x14:axisColor rgb="FF000000"/>
            </x14:dataBar>
          </x14:cfRule>
          <xm:sqref>H32</xm:sqref>
        </x14:conditionalFormatting>
        <x14:conditionalFormatting xmlns:xm="http://schemas.microsoft.com/office/excel/2006/main">
          <x14:cfRule type="dataBar" id="{3D7DA7F9-34EF-413C-97FE-5C685264E782}">
            <x14:dataBar minLength="0" maxLength="100" gradient="0">
              <x14:cfvo type="num">
                <xm:f>0</xm:f>
              </x14:cfvo>
              <x14:cfvo type="num">
                <xm:f>1</xm:f>
              </x14:cfvo>
              <x14:negativeFillColor rgb="FFFF0000"/>
              <x14:axisColor rgb="FF000000"/>
            </x14:dataBar>
          </x14:cfRule>
          <xm:sqref>H33</xm:sqref>
        </x14:conditionalFormatting>
        <x14:conditionalFormatting xmlns:xm="http://schemas.microsoft.com/office/excel/2006/main">
          <x14:cfRule type="dataBar" id="{2E4BEE17-1AD8-4EE1-ABFA-CE8DBB66F5B9}">
            <x14:dataBar minLength="0" maxLength="100" gradient="0">
              <x14:cfvo type="num">
                <xm:f>0</xm:f>
              </x14:cfvo>
              <x14:cfvo type="num">
                <xm:f>1</xm:f>
              </x14:cfvo>
              <x14:negativeFillColor rgb="FFFF0000"/>
              <x14:axisColor rgb="FF000000"/>
            </x14:dataBar>
          </x14:cfRule>
          <xm:sqref>H34</xm:sqref>
        </x14:conditionalFormatting>
        <x14:conditionalFormatting xmlns:xm="http://schemas.microsoft.com/office/excel/2006/main">
          <x14:cfRule type="dataBar" id="{C34C3A4A-B2F1-4A99-BAAD-377AA832D261}">
            <x14:dataBar minLength="0" maxLength="100" gradient="0">
              <x14:cfvo type="num">
                <xm:f>0</xm:f>
              </x14:cfvo>
              <x14:cfvo type="num">
                <xm:f>1</xm:f>
              </x14:cfvo>
              <x14:negativeFillColor rgb="FFFF0000"/>
              <x14:axisColor rgb="FF000000"/>
            </x14:dataBar>
          </x14:cfRule>
          <xm:sqref>H35</xm:sqref>
        </x14:conditionalFormatting>
        <x14:conditionalFormatting xmlns:xm="http://schemas.microsoft.com/office/excel/2006/main">
          <x14:cfRule type="dataBar" id="{E5CC2AB0-9781-47A5-83E2-8BB2D8186002}">
            <x14:dataBar minLength="0" maxLength="100" gradient="0">
              <x14:cfvo type="num">
                <xm:f>0</xm:f>
              </x14:cfvo>
              <x14:cfvo type="num">
                <xm:f>1</xm:f>
              </x14:cfvo>
              <x14:negativeFillColor rgb="FFFF0000"/>
              <x14:axisColor rgb="FF000000"/>
            </x14:dataBar>
          </x14:cfRule>
          <xm:sqref>H36</xm:sqref>
        </x14:conditionalFormatting>
        <x14:conditionalFormatting xmlns:xm="http://schemas.microsoft.com/office/excel/2006/main">
          <x14:cfRule type="dataBar" id="{CE678E65-4430-4631-8C47-0FF523236192}">
            <x14:dataBar minLength="0" maxLength="100" gradient="0">
              <x14:cfvo type="num">
                <xm:f>0</xm:f>
              </x14:cfvo>
              <x14:cfvo type="num">
                <xm:f>1</xm:f>
              </x14:cfvo>
              <x14:negativeFillColor rgb="FFFF0000"/>
              <x14:axisColor rgb="FF000000"/>
            </x14:dataBar>
          </x14:cfRule>
          <xm:sqref>H37</xm:sqref>
        </x14:conditionalFormatting>
        <x14:conditionalFormatting xmlns:xm="http://schemas.microsoft.com/office/excel/2006/main">
          <x14:cfRule type="dataBar" id="{51568B3E-4D28-4E71-862F-E0478DB892D9}">
            <x14:dataBar minLength="0" maxLength="100" gradient="0">
              <x14:cfvo type="num">
                <xm:f>0</xm:f>
              </x14:cfvo>
              <x14:cfvo type="num">
                <xm:f>1</xm:f>
              </x14:cfvo>
              <x14:negativeFillColor rgb="FFFF0000"/>
              <x14:axisColor rgb="FF000000"/>
            </x14:dataBar>
          </x14:cfRule>
          <xm:sqref>H38</xm:sqref>
        </x14:conditionalFormatting>
        <x14:conditionalFormatting xmlns:xm="http://schemas.microsoft.com/office/excel/2006/main">
          <x14:cfRule type="dataBar" id="{4C8AB46A-D580-445F-8550-BA3B7D59E2CC}">
            <x14:dataBar minLength="0" maxLength="100" gradient="0">
              <x14:cfvo type="num">
                <xm:f>0</xm:f>
              </x14:cfvo>
              <x14:cfvo type="num">
                <xm:f>1</xm:f>
              </x14:cfvo>
              <x14:negativeFillColor rgb="FFFF0000"/>
              <x14:axisColor rgb="FF000000"/>
            </x14:dataBar>
          </x14:cfRule>
          <xm:sqref>H39</xm:sqref>
        </x14:conditionalFormatting>
        <x14:conditionalFormatting xmlns:xm="http://schemas.microsoft.com/office/excel/2006/main">
          <x14:cfRule type="dataBar" id="{D04EE583-134D-478E-8AB2-5C89C9F8DA03}">
            <x14:dataBar minLength="0" maxLength="100" gradient="0">
              <x14:cfvo type="num">
                <xm:f>0</xm:f>
              </x14:cfvo>
              <x14:cfvo type="num">
                <xm:f>1</xm:f>
              </x14:cfvo>
              <x14:negativeFillColor rgb="FFFF0000"/>
              <x14:axisColor rgb="FF000000"/>
            </x14:dataBar>
          </x14:cfRule>
          <xm:sqref>H45</xm:sqref>
        </x14:conditionalFormatting>
        <x14:conditionalFormatting xmlns:xm="http://schemas.microsoft.com/office/excel/2006/main">
          <x14:cfRule type="dataBar" id="{3E29C452-C19C-45AA-819A-55686B848AA2}">
            <x14:dataBar minLength="0" maxLength="100" gradient="0">
              <x14:cfvo type="num">
                <xm:f>0</xm:f>
              </x14:cfvo>
              <x14:cfvo type="num">
                <xm:f>1</xm:f>
              </x14:cfvo>
              <x14:negativeFillColor rgb="FFFF0000"/>
              <x14:axisColor rgb="FF000000"/>
            </x14:dataBar>
          </x14:cfRule>
          <xm:sqref>H90</xm:sqref>
        </x14:conditionalFormatting>
        <x14:conditionalFormatting xmlns:xm="http://schemas.microsoft.com/office/excel/2006/main">
          <x14:cfRule type="dataBar" id="{61761229-4066-4A43-ABBE-C3C05D55411E}">
            <x14:dataBar minLength="0" maxLength="100" gradient="0">
              <x14:cfvo type="num">
                <xm:f>0</xm:f>
              </x14:cfvo>
              <x14:cfvo type="num">
                <xm:f>1</xm:f>
              </x14:cfvo>
              <x14:negativeFillColor rgb="FFFF0000"/>
              <x14:axisColor rgb="FF000000"/>
            </x14:dataBar>
          </x14:cfRule>
          <xm:sqref>H91</xm:sqref>
        </x14:conditionalFormatting>
        <x14:conditionalFormatting xmlns:xm="http://schemas.microsoft.com/office/excel/2006/main">
          <x14:cfRule type="dataBar" id="{4BD8555B-F8EF-4DEF-A90C-742D657B31B8}">
            <x14:dataBar minLength="0" maxLength="100" gradient="0">
              <x14:cfvo type="num">
                <xm:f>0</xm:f>
              </x14:cfvo>
              <x14:cfvo type="num">
                <xm:f>1</xm:f>
              </x14:cfvo>
              <x14:negativeFillColor rgb="FFFF0000"/>
              <x14:axisColor rgb="FF000000"/>
            </x14:dataBar>
          </x14:cfRule>
          <xm:sqref>H99</xm:sqref>
        </x14:conditionalFormatting>
        <x14:conditionalFormatting xmlns:xm="http://schemas.microsoft.com/office/excel/2006/main">
          <x14:cfRule type="dataBar" id="{94D7114F-D901-499B-853B-A9D3F8D72229}">
            <x14:dataBar minLength="0" maxLength="100" gradient="0">
              <x14:cfvo type="num">
                <xm:f>0</xm:f>
              </x14:cfvo>
              <x14:cfvo type="num">
                <xm:f>1</xm:f>
              </x14:cfvo>
              <x14:negativeFillColor rgb="FFFF0000"/>
              <x14:axisColor rgb="FF000000"/>
            </x14:dataBar>
          </x14:cfRule>
          <xm:sqref>H100</xm:sqref>
        </x14:conditionalFormatting>
        <x14:conditionalFormatting xmlns:xm="http://schemas.microsoft.com/office/excel/2006/main">
          <x14:cfRule type="dataBar" id="{28FE73B8-970E-4B74-B1CC-3AA74DA97C53}">
            <x14:dataBar minLength="0" maxLength="100" gradient="0">
              <x14:cfvo type="num">
                <xm:f>0</xm:f>
              </x14:cfvo>
              <x14:cfvo type="num">
                <xm:f>1</xm:f>
              </x14:cfvo>
              <x14:negativeFillColor rgb="FFFF0000"/>
              <x14:axisColor rgb="FF000000"/>
            </x14:dataBar>
          </x14:cfRule>
          <xm:sqref>H101</xm:sqref>
        </x14:conditionalFormatting>
        <x14:conditionalFormatting xmlns:xm="http://schemas.microsoft.com/office/excel/2006/main">
          <x14:cfRule type="dataBar" id="{D563C6E6-3F8A-427E-9281-DCCE7BA88388}">
            <x14:dataBar minLength="0" maxLength="100" gradient="0">
              <x14:cfvo type="num">
                <xm:f>0</xm:f>
              </x14:cfvo>
              <x14:cfvo type="num">
                <xm:f>1</xm:f>
              </x14:cfvo>
              <x14:negativeFillColor rgb="FFFF0000"/>
              <x14:axisColor rgb="FF000000"/>
            </x14:dataBar>
          </x14:cfRule>
          <xm:sqref>H102</xm:sqref>
        </x14:conditionalFormatting>
        <x14:conditionalFormatting xmlns:xm="http://schemas.microsoft.com/office/excel/2006/main">
          <x14:cfRule type="dataBar" id="{A26BCB48-3981-4275-86C9-8F9CCB05A23E}">
            <x14:dataBar minLength="0" maxLength="100" gradient="0">
              <x14:cfvo type="num">
                <xm:f>0</xm:f>
              </x14:cfvo>
              <x14:cfvo type="num">
                <xm:f>1</xm:f>
              </x14:cfvo>
              <x14:negativeFillColor rgb="FFFF0000"/>
              <x14:axisColor rgb="FF000000"/>
            </x14:dataBar>
          </x14:cfRule>
          <xm:sqref>H103</xm:sqref>
        </x14:conditionalFormatting>
        <x14:conditionalFormatting xmlns:xm="http://schemas.microsoft.com/office/excel/2006/main">
          <x14:cfRule type="dataBar" id="{86DF5821-015A-4484-9B4F-444D478234BB}">
            <x14:dataBar minLength="0" maxLength="100" gradient="0">
              <x14:cfvo type="num">
                <xm:f>0</xm:f>
              </x14:cfvo>
              <x14:cfvo type="num">
                <xm:f>1</xm:f>
              </x14:cfvo>
              <x14:negativeFillColor rgb="FFFF0000"/>
              <x14:axisColor rgb="FF000000"/>
            </x14:dataBar>
          </x14:cfRule>
          <xm:sqref>H104</xm:sqref>
        </x14:conditionalFormatting>
        <x14:conditionalFormatting xmlns:xm="http://schemas.microsoft.com/office/excel/2006/main">
          <x14:cfRule type="dataBar" id="{B3794FFA-68F2-4E38-B13B-C3A74F4F71CF}">
            <x14:dataBar minLength="0" maxLength="100" gradient="0">
              <x14:cfvo type="num">
                <xm:f>0</xm:f>
              </x14:cfvo>
              <x14:cfvo type="num">
                <xm:f>1</xm:f>
              </x14:cfvo>
              <x14:negativeFillColor rgb="FFFF0000"/>
              <x14:axisColor rgb="FF000000"/>
            </x14:dataBar>
          </x14:cfRule>
          <xm:sqref>H108</xm:sqref>
        </x14:conditionalFormatting>
        <x14:conditionalFormatting xmlns:xm="http://schemas.microsoft.com/office/excel/2006/main">
          <x14:cfRule type="dataBar" id="{5F5C5C2F-C25C-4ED4-BA16-EDD220E27648}">
            <x14:dataBar minLength="0" maxLength="100" gradient="0">
              <x14:cfvo type="num">
                <xm:f>0</xm:f>
              </x14:cfvo>
              <x14:cfvo type="num">
                <xm:f>1</xm:f>
              </x14:cfvo>
              <x14:negativeFillColor rgb="FFFF0000"/>
              <x14:axisColor rgb="FF000000"/>
            </x14:dataBar>
          </x14:cfRule>
          <xm:sqref>H114</xm:sqref>
        </x14:conditionalFormatting>
        <x14:conditionalFormatting xmlns:xm="http://schemas.microsoft.com/office/excel/2006/main">
          <x14:cfRule type="dataBar" id="{6523BA1B-CFC8-405A-93E8-D131011E3F73}">
            <x14:dataBar minLength="0" maxLength="100" gradient="0">
              <x14:cfvo type="num">
                <xm:f>0</xm:f>
              </x14:cfvo>
              <x14:cfvo type="num">
                <xm:f>1</xm:f>
              </x14:cfvo>
              <x14:negativeFillColor rgb="FFFF0000"/>
              <x14:axisColor rgb="FF000000"/>
            </x14:dataBar>
          </x14:cfRule>
          <xm:sqref>H115</xm:sqref>
        </x14:conditionalFormatting>
        <x14:conditionalFormatting xmlns:xm="http://schemas.microsoft.com/office/excel/2006/main">
          <x14:cfRule type="dataBar" id="{2BE7505A-DD50-49F2-A8B9-38EDD684022B}">
            <x14:dataBar minLength="0" maxLength="100" gradient="0">
              <x14:cfvo type="num">
                <xm:f>0</xm:f>
              </x14:cfvo>
              <x14:cfvo type="num">
                <xm:f>1</xm:f>
              </x14:cfvo>
              <x14:negativeFillColor rgb="FFFF0000"/>
              <x14:axisColor rgb="FF000000"/>
            </x14:dataBar>
          </x14:cfRule>
          <xm:sqref>H12:H15</xm:sqref>
        </x14:conditionalFormatting>
        <x14:conditionalFormatting xmlns:xm="http://schemas.microsoft.com/office/excel/2006/main">
          <x14:cfRule type="dataBar" id="{540E5C62-18E7-47A5-8A80-93B435CFD9E0}">
            <x14:dataBar minLength="0" maxLength="100" gradient="0">
              <x14:cfvo type="num">
                <xm:f>0</xm:f>
              </x14:cfvo>
              <x14:cfvo type="num">
                <xm:f>1</xm:f>
              </x14:cfvo>
              <x14:negativeFillColor rgb="FFFF0000"/>
              <x14:axisColor rgb="FF000000"/>
            </x14:dataBar>
          </x14:cfRule>
          <xm:sqref>H16:H17</xm:sqref>
        </x14:conditionalFormatting>
        <x14:conditionalFormatting xmlns:xm="http://schemas.microsoft.com/office/excel/2006/main">
          <x14:cfRule type="dataBar" id="{E87DE01A-8F41-4462-AF3B-619E8D6B67E5}">
            <x14:dataBar minLength="0" maxLength="100" gradient="0">
              <x14:cfvo type="num">
                <xm:f>0</xm:f>
              </x14:cfvo>
              <x14:cfvo type="num">
                <xm:f>1</xm:f>
              </x14:cfvo>
              <x14:negativeFillColor rgb="FFFF0000"/>
              <x14:axisColor rgb="FF000000"/>
            </x14:dataBar>
          </x14:cfRule>
          <xm:sqref>H82:H86</xm:sqref>
        </x14:conditionalFormatting>
        <x14:conditionalFormatting xmlns:xm="http://schemas.microsoft.com/office/excel/2006/main">
          <x14:cfRule type="dataBar" id="{C078E29B-B0EA-4B50-B7F5-6A0A5CBDF788}">
            <x14:dataBar minLength="0" maxLength="100" gradient="0">
              <x14:cfvo type="num">
                <xm:f>0</xm:f>
              </x14:cfvo>
              <x14:cfvo type="num">
                <xm:f>1</xm:f>
              </x14:cfvo>
              <x14:negativeFillColor rgb="FFFF0000"/>
              <x14:axisColor rgb="FF000000"/>
            </x14:dataBar>
          </x14:cfRule>
          <xm:sqref>H87:H89</xm:sqref>
        </x14:conditionalFormatting>
        <x14:conditionalFormatting xmlns:xm="http://schemas.microsoft.com/office/excel/2006/main">
          <x14:cfRule type="dataBar" id="{EC64BEEE-3E2C-4ED8-8C0A-82E233A8B6F3}">
            <x14:dataBar minLength="0" maxLength="100" gradient="0">
              <x14:cfvo type="num">
                <xm:f>0</xm:f>
              </x14:cfvo>
              <x14:cfvo type="num">
                <xm:f>1</xm:f>
              </x14:cfvo>
              <x14:negativeFillColor rgb="FFFF0000"/>
              <x14:axisColor rgb="FF000000"/>
            </x14:dataBar>
          </x14:cfRule>
          <xm:sqref>H92:H96</xm:sqref>
        </x14:conditionalFormatting>
        <x14:conditionalFormatting xmlns:xm="http://schemas.microsoft.com/office/excel/2006/main">
          <x14:cfRule type="dataBar" id="{11425AF0-9CFC-42B8-84A7-DFBE45C809E7}">
            <x14:dataBar minLength="0" maxLength="100" gradient="0">
              <x14:cfvo type="num">
                <xm:f>0</xm:f>
              </x14:cfvo>
              <x14:cfvo type="num">
                <xm:f>1</xm:f>
              </x14:cfvo>
              <x14:negativeFillColor rgb="FFFF0000"/>
              <x14:axisColor rgb="FF000000"/>
            </x14:dataBar>
          </x14:cfRule>
          <xm:sqref>H97:H98</xm:sqref>
        </x14:conditionalFormatting>
        <x14:conditionalFormatting xmlns:xm="http://schemas.microsoft.com/office/excel/2006/main">
          <x14:cfRule type="dataBar" id="{52AF7A61-F799-44F9-A1AE-629F62F1E696}">
            <x14:dataBar minLength="0" maxLength="100" gradient="0">
              <x14:cfvo type="num">
                <xm:f>0</xm:f>
              </x14:cfvo>
              <x14:cfvo type="num">
                <xm:f>1</xm:f>
              </x14:cfvo>
              <x14:negativeFillColor rgb="FFFF0000"/>
              <x14:axisColor rgb="FF000000"/>
            </x14:dataBar>
          </x14:cfRule>
          <xm:sqref>H105:H107</xm:sqref>
        </x14:conditionalFormatting>
        <x14:conditionalFormatting xmlns:xm="http://schemas.microsoft.com/office/excel/2006/main">
          <x14:cfRule type="dataBar" id="{01264BB0-CDEA-485A-80E2-0525F0F2C226}">
            <x14:dataBar minLength="0" maxLength="100" gradient="0">
              <x14:cfvo type="num">
                <xm:f>0</xm:f>
              </x14:cfvo>
              <x14:cfvo type="num">
                <xm:f>1</xm:f>
              </x14:cfvo>
              <x14:negativeFillColor rgb="FFFF0000"/>
              <x14:axisColor rgb="FF000000"/>
            </x14:dataBar>
          </x14:cfRule>
          <xm:sqref>H109:H113</xm:sqref>
        </x14:conditionalFormatting>
        <x14:conditionalFormatting xmlns:xm="http://schemas.microsoft.com/office/excel/2006/main">
          <x14:cfRule type="dataBar" id="{5629A077-AC46-4B24-A4FE-AA98EF2453D7}">
            <x14:dataBar minLength="0" maxLength="100" gradient="0">
              <x14:cfvo type="num">
                <xm:f>0</xm:f>
              </x14:cfvo>
              <x14:cfvo type="num">
                <xm:f>1</xm:f>
              </x14:cfvo>
              <x14:negativeFillColor rgb="FFFF0000"/>
              <x14:axisColor rgb="FF000000"/>
            </x14:dataBar>
          </x14:cfRule>
          <xm:sqref>H8:H10 H76:H81 H20:H31</xm:sqref>
        </x14:conditionalFormatting>
        <x14:conditionalFormatting xmlns:xm="http://schemas.microsoft.com/office/excel/2006/main">
          <x14:cfRule type="dataBar" id="{03F1B327-66B8-4A98-9EE4-A8FFA1EE7D03}">
            <x14:dataBar minLength="0" maxLength="100" gradient="0">
              <x14:cfvo type="num">
                <xm:f>0</xm:f>
              </x14:cfvo>
              <x14:cfvo type="num">
                <xm:f>1</xm:f>
              </x14:cfvo>
              <x14:negativeFillColor rgb="FFFF0000"/>
              <x14:axisColor rgb="FF000000"/>
            </x14:dataBar>
          </x14:cfRule>
          <xm:sqref>H62:H75 H40:H44 H46:H60</xm:sqref>
        </x14:conditionalFormatting>
        <x14:conditionalFormatting xmlns:xm="http://schemas.microsoft.com/office/excel/2006/main">
          <x14:cfRule type="dataBar" id="{C13B20E4-AE79-412E-95E4-B38A0427E8DA}">
            <x14:dataBar minLength="0" maxLength="100" gradient="0">
              <x14:cfvo type="num">
                <xm:f>0</xm:f>
              </x14:cfvo>
              <x14:cfvo type="num">
                <xm:f>1</xm:f>
              </x14:cfvo>
              <x14:negativeFillColor rgb="FFFF0000"/>
              <x14:axisColor rgb="FF000000"/>
            </x14:dataBar>
          </x14:cfRule>
          <xm:sqref>H61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C46"/>
  <sheetViews>
    <sheetView showGridLines="0" workbookViewId="0"/>
  </sheetViews>
  <sheetFormatPr defaultColWidth="9" defaultRowHeight="12.75"/>
  <cols>
    <col min="1" max="1" width="5.5703125" customWidth="1"/>
    <col min="2" max="2" width="37.7109375" customWidth="1"/>
    <col min="3" max="3" width="55.140625" customWidth="1"/>
    <col min="4" max="7" width="8.85546875"/>
  </cols>
  <sheetData>
    <row r="1" spans="1:3" ht="30" customHeight="1">
      <c r="A1" s="51" t="s">
        <v>113</v>
      </c>
    </row>
    <row r="4" spans="1:3">
      <c r="C4" s="36" t="s">
        <v>114</v>
      </c>
    </row>
    <row r="5" spans="1:3">
      <c r="C5" t="s">
        <v>115</v>
      </c>
    </row>
    <row r="7" spans="1:3" ht="18">
      <c r="C7" s="52" t="s">
        <v>116</v>
      </c>
    </row>
    <row r="8" spans="1:3">
      <c r="C8" s="53" t="s">
        <v>117</v>
      </c>
    </row>
    <row r="10" spans="1:3">
      <c r="C10" t="s">
        <v>118</v>
      </c>
    </row>
    <row r="11" spans="1:3">
      <c r="C11" t="s">
        <v>119</v>
      </c>
    </row>
    <row r="13" spans="1:3" ht="18">
      <c r="C13" s="52" t="s">
        <v>120</v>
      </c>
    </row>
    <row r="16" spans="1:3" ht="15.75">
      <c r="A16" s="27" t="s">
        <v>121</v>
      </c>
    </row>
    <row r="18" spans="2:2" ht="15">
      <c r="B18" s="54" t="s">
        <v>122</v>
      </c>
    </row>
    <row r="19" spans="2:2">
      <c r="B19" t="s">
        <v>123</v>
      </c>
    </row>
    <row r="20" spans="2:2">
      <c r="B20" t="s">
        <v>124</v>
      </c>
    </row>
    <row r="22" spans="2:2" ht="15">
      <c r="B22" s="54" t="s">
        <v>125</v>
      </c>
    </row>
    <row r="23" spans="2:2">
      <c r="B23" t="s">
        <v>126</v>
      </c>
    </row>
    <row r="24" spans="2:2">
      <c r="B24" t="s">
        <v>127</v>
      </c>
    </row>
    <row r="26" spans="2:2" ht="15">
      <c r="B26" s="54" t="s">
        <v>128</v>
      </c>
    </row>
    <row r="27" spans="2:2">
      <c r="B27" t="s">
        <v>129</v>
      </c>
    </row>
    <row r="28" spans="2:2">
      <c r="B28" t="s">
        <v>130</v>
      </c>
    </row>
    <row r="29" spans="2:2">
      <c r="B29" t="s">
        <v>131</v>
      </c>
    </row>
    <row r="30" spans="2:2">
      <c r="B30" t="s">
        <v>132</v>
      </c>
    </row>
    <row r="31" spans="2:2">
      <c r="B31" t="s">
        <v>133</v>
      </c>
    </row>
    <row r="32" spans="2:2">
      <c r="B32" t="s">
        <v>134</v>
      </c>
    </row>
    <row r="34" spans="2:2" ht="15">
      <c r="B34" s="54" t="s">
        <v>135</v>
      </c>
    </row>
    <row r="35" spans="2:2">
      <c r="B35" t="s">
        <v>136</v>
      </c>
    </row>
    <row r="36" spans="2:2">
      <c r="B36" t="s">
        <v>137</v>
      </c>
    </row>
    <row r="37" spans="2:2">
      <c r="B37" t="s">
        <v>138</v>
      </c>
    </row>
    <row r="39" spans="2:2" ht="15">
      <c r="B39" s="54" t="s">
        <v>139</v>
      </c>
    </row>
    <row r="40" spans="2:2">
      <c r="B40" t="s">
        <v>140</v>
      </c>
    </row>
    <row r="42" spans="2:2" ht="15">
      <c r="B42" s="54" t="s">
        <v>141</v>
      </c>
    </row>
    <row r="43" spans="2:2">
      <c r="B43" t="s">
        <v>142</v>
      </c>
    </row>
    <row r="44" spans="2:2">
      <c r="B44" t="s">
        <v>143</v>
      </c>
    </row>
    <row r="46" spans="2:2" ht="18">
      <c r="B46" s="52" t="s">
        <v>144</v>
      </c>
    </row>
  </sheetData>
  <hyperlinks>
    <hyperlink ref="C7" r:id="rId1"/>
    <hyperlink ref="B46" r:id="rId2" tooltip="Go to Vertex42.com"/>
    <hyperlink ref="C13" r:id="rId3"/>
  </hyperlinks>
  <pageMargins left="0.7" right="0.7" top="0.75" bottom="0.75" header="0.3" footer="0.3"/>
  <pageSetup scale="93" orientation="portrait"/>
  <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C94"/>
  <sheetViews>
    <sheetView showGridLines="0" workbookViewId="0"/>
  </sheetViews>
  <sheetFormatPr defaultColWidth="8.85546875" defaultRowHeight="12.75"/>
  <cols>
    <col min="1" max="1" width="5.5703125" customWidth="1"/>
    <col min="2" max="2" width="90.42578125" customWidth="1"/>
    <col min="3" max="3" width="16.42578125" customWidth="1"/>
  </cols>
  <sheetData>
    <row r="1" spans="1:3" ht="30" customHeight="1">
      <c r="A1" s="12" t="s">
        <v>145</v>
      </c>
      <c r="B1" s="23"/>
    </row>
    <row r="2" spans="1:3" ht="14.25">
      <c r="A2" s="24" t="s">
        <v>117</v>
      </c>
      <c r="B2" s="25"/>
    </row>
    <row r="3" spans="1:3">
      <c r="B3" s="25"/>
    </row>
    <row r="4" spans="1:3" ht="18">
      <c r="A4" s="26" t="s">
        <v>146</v>
      </c>
      <c r="B4" s="27"/>
    </row>
    <row r="5" spans="1:3" ht="57">
      <c r="B5" s="28" t="s">
        <v>147</v>
      </c>
    </row>
    <row r="7" spans="1:3" ht="28.5">
      <c r="B7" s="28" t="s">
        <v>148</v>
      </c>
    </row>
    <row r="9" spans="1:3" ht="14.25">
      <c r="B9" s="24" t="s">
        <v>149</v>
      </c>
    </row>
    <row r="11" spans="1:3" ht="28.5">
      <c r="B11" s="29" t="s">
        <v>150</v>
      </c>
    </row>
    <row r="13" spans="1:3" ht="18">
      <c r="A13" s="130" t="s">
        <v>151</v>
      </c>
      <c r="B13" s="130"/>
    </row>
    <row r="15" spans="1:3" s="22" customFormat="1" ht="18">
      <c r="A15" s="30"/>
      <c r="B15" s="31" t="s">
        <v>152</v>
      </c>
    </row>
    <row r="16" spans="1:3" s="22" customFormat="1" ht="18">
      <c r="A16" s="30"/>
      <c r="B16" s="31" t="s">
        <v>153</v>
      </c>
      <c r="C16" s="32" t="s">
        <v>154</v>
      </c>
    </row>
    <row r="17" spans="1:3" ht="18">
      <c r="A17" s="33"/>
      <c r="B17" s="31" t="s">
        <v>155</v>
      </c>
    </row>
    <row r="18" spans="1:3" ht="18">
      <c r="A18" s="33"/>
      <c r="B18" s="31" t="s">
        <v>156</v>
      </c>
    </row>
    <row r="19" spans="1:3" ht="18">
      <c r="A19" s="33"/>
      <c r="B19" s="31" t="s">
        <v>157</v>
      </c>
    </row>
    <row r="20" spans="1:3" s="22" customFormat="1" ht="18">
      <c r="A20" s="30"/>
      <c r="B20" s="31" t="s">
        <v>158</v>
      </c>
      <c r="C20" s="34" t="s">
        <v>159</v>
      </c>
    </row>
    <row r="21" spans="1:3" ht="18">
      <c r="A21" s="33"/>
      <c r="B21" s="31" t="s">
        <v>160</v>
      </c>
    </row>
    <row r="22" spans="1:3" ht="18">
      <c r="A22" s="33"/>
      <c r="B22" s="35" t="s">
        <v>161</v>
      </c>
    </row>
    <row r="23" spans="1:3" ht="18">
      <c r="A23" s="33"/>
      <c r="B23" s="36"/>
    </row>
    <row r="24" spans="1:3" ht="18">
      <c r="A24" s="130" t="s">
        <v>162</v>
      </c>
      <c r="B24" s="130"/>
    </row>
    <row r="25" spans="1:3" ht="43.5">
      <c r="A25" s="33"/>
      <c r="B25" s="31" t="s">
        <v>163</v>
      </c>
    </row>
    <row r="26" spans="1:3" ht="18">
      <c r="A26" s="33"/>
      <c r="B26" s="31"/>
    </row>
    <row r="27" spans="1:3" ht="18">
      <c r="A27" s="33"/>
      <c r="B27" s="37" t="s">
        <v>164</v>
      </c>
    </row>
    <row r="28" spans="1:3" ht="18">
      <c r="A28" s="33"/>
      <c r="B28" s="31" t="s">
        <v>165</v>
      </c>
    </row>
    <row r="29" spans="1:3" ht="28.5">
      <c r="A29" s="33"/>
      <c r="B29" s="31" t="s">
        <v>166</v>
      </c>
    </row>
    <row r="30" spans="1:3" ht="18">
      <c r="A30" s="33"/>
      <c r="B30" s="31"/>
    </row>
    <row r="31" spans="1:3" ht="18">
      <c r="A31" s="33"/>
      <c r="B31" s="37" t="s">
        <v>167</v>
      </c>
    </row>
    <row r="32" spans="1:3" ht="18">
      <c r="A32" s="33"/>
      <c r="B32" s="31" t="s">
        <v>168</v>
      </c>
    </row>
    <row r="33" spans="1:2" ht="18">
      <c r="A33" s="33"/>
      <c r="B33" s="31" t="s">
        <v>169</v>
      </c>
    </row>
    <row r="34" spans="1:2" ht="18">
      <c r="A34" s="33"/>
      <c r="B34" s="36"/>
    </row>
    <row r="35" spans="1:2" ht="28.5">
      <c r="A35" s="33"/>
      <c r="B35" s="31" t="s">
        <v>170</v>
      </c>
    </row>
    <row r="36" spans="1:2" ht="18">
      <c r="A36" s="33"/>
      <c r="B36" s="38" t="s">
        <v>171</v>
      </c>
    </row>
    <row r="37" spans="1:2" ht="18">
      <c r="A37" s="33"/>
      <c r="B37" s="36"/>
    </row>
    <row r="38" spans="1:2" ht="18">
      <c r="A38" s="130" t="s">
        <v>172</v>
      </c>
      <c r="B38" s="130"/>
    </row>
    <row r="39" spans="1:2" ht="28.5">
      <c r="B39" s="31" t="s">
        <v>173</v>
      </c>
    </row>
    <row r="41" spans="1:2" ht="14.25">
      <c r="B41" s="31" t="s">
        <v>174</v>
      </c>
    </row>
    <row r="43" spans="1:2" ht="28.5">
      <c r="B43" s="31" t="s">
        <v>175</v>
      </c>
    </row>
    <row r="45" spans="1:2" ht="28.5">
      <c r="B45" s="31" t="s">
        <v>176</v>
      </c>
    </row>
    <row r="46" spans="1:2">
      <c r="B46" s="39"/>
    </row>
    <row r="47" spans="1:2" ht="28.5">
      <c r="B47" s="31" t="s">
        <v>177</v>
      </c>
    </row>
    <row r="49" spans="1:2" ht="18">
      <c r="A49" s="130" t="s">
        <v>178</v>
      </c>
      <c r="B49" s="130"/>
    </row>
    <row r="50" spans="1:2" ht="28.5">
      <c r="B50" s="31" t="s">
        <v>179</v>
      </c>
    </row>
    <row r="52" spans="1:2" ht="14.25">
      <c r="A52" s="40" t="s">
        <v>180</v>
      </c>
      <c r="B52" s="31" t="s">
        <v>181</v>
      </c>
    </row>
    <row r="53" spans="1:2" ht="14.25">
      <c r="A53" s="40" t="s">
        <v>182</v>
      </c>
      <c r="B53" s="31" t="s">
        <v>183</v>
      </c>
    </row>
    <row r="54" spans="1:2" ht="14.25">
      <c r="A54" s="40" t="s">
        <v>184</v>
      </c>
      <c r="B54" s="31" t="s">
        <v>185</v>
      </c>
    </row>
    <row r="55" spans="1:2" ht="28.5">
      <c r="A55" s="29"/>
      <c r="B55" s="31" t="s">
        <v>186</v>
      </c>
    </row>
    <row r="56" spans="1:2" ht="28.5">
      <c r="A56" s="29"/>
      <c r="B56" s="31" t="s">
        <v>187</v>
      </c>
    </row>
    <row r="57" spans="1:2" ht="14.25">
      <c r="A57" s="40" t="s">
        <v>188</v>
      </c>
      <c r="B57" s="31" t="s">
        <v>189</v>
      </c>
    </row>
    <row r="58" spans="1:2" ht="14.25">
      <c r="A58" s="29"/>
      <c r="B58" s="31" t="s">
        <v>190</v>
      </c>
    </row>
    <row r="59" spans="1:2" ht="14.25">
      <c r="A59" s="29"/>
      <c r="B59" s="31" t="s">
        <v>191</v>
      </c>
    </row>
    <row r="60" spans="1:2" ht="14.25">
      <c r="A60" s="40" t="s">
        <v>192</v>
      </c>
      <c r="B60" s="31" t="s">
        <v>193</v>
      </c>
    </row>
    <row r="61" spans="1:2" ht="28.5">
      <c r="A61" s="29"/>
      <c r="B61" s="31" t="s">
        <v>194</v>
      </c>
    </row>
    <row r="62" spans="1:2" ht="14.25">
      <c r="A62" s="40" t="s">
        <v>195</v>
      </c>
      <c r="B62" s="31" t="s">
        <v>196</v>
      </c>
    </row>
    <row r="63" spans="1:2" ht="14.25">
      <c r="A63" s="41"/>
      <c r="B63" s="31" t="s">
        <v>197</v>
      </c>
    </row>
    <row r="64" spans="1:2">
      <c r="B64" s="42"/>
    </row>
    <row r="65" spans="1:2" ht="18">
      <c r="A65" s="130" t="s">
        <v>198</v>
      </c>
      <c r="B65" s="130"/>
    </row>
    <row r="66" spans="1:2" ht="42.75">
      <c r="B66" s="31" t="s">
        <v>199</v>
      </c>
    </row>
    <row r="68" spans="1:2" ht="18">
      <c r="A68" s="130" t="s">
        <v>200</v>
      </c>
      <c r="B68" s="130"/>
    </row>
    <row r="69" spans="1:2" ht="15">
      <c r="A69" s="43" t="s">
        <v>201</v>
      </c>
      <c r="B69" s="44" t="s">
        <v>202</v>
      </c>
    </row>
    <row r="70" spans="1:2" ht="28.5">
      <c r="A70" s="41"/>
      <c r="B70" s="45" t="s">
        <v>203</v>
      </c>
    </row>
    <row r="71" spans="1:2" ht="14.25">
      <c r="A71" s="41"/>
      <c r="B71" s="46"/>
    </row>
    <row r="72" spans="1:2" ht="15">
      <c r="A72" s="43" t="s">
        <v>201</v>
      </c>
      <c r="B72" s="44" t="s">
        <v>204</v>
      </c>
    </row>
    <row r="73" spans="1:2" ht="28.5">
      <c r="A73" s="41"/>
      <c r="B73" s="45" t="s">
        <v>205</v>
      </c>
    </row>
    <row r="74" spans="1:2" ht="14.25">
      <c r="A74" s="41"/>
      <c r="B74" s="46"/>
    </row>
    <row r="75" spans="1:2" ht="15">
      <c r="A75" s="43" t="s">
        <v>201</v>
      </c>
      <c r="B75" s="47" t="s">
        <v>206</v>
      </c>
    </row>
    <row r="76" spans="1:2" ht="42.75">
      <c r="A76" s="41"/>
      <c r="B76" s="28" t="s">
        <v>207</v>
      </c>
    </row>
    <row r="77" spans="1:2" ht="14.25">
      <c r="A77" s="41"/>
      <c r="B77" s="41"/>
    </row>
    <row r="78" spans="1:2" ht="15">
      <c r="A78" s="43" t="s">
        <v>201</v>
      </c>
      <c r="B78" s="47" t="s">
        <v>208</v>
      </c>
    </row>
    <row r="79" spans="1:2" ht="28.5">
      <c r="A79" s="41"/>
      <c r="B79" s="28" t="s">
        <v>209</v>
      </c>
    </row>
    <row r="80" spans="1:2" ht="14.25">
      <c r="A80" s="41"/>
      <c r="B80" s="41"/>
    </row>
    <row r="81" spans="1:2" ht="15">
      <c r="A81" s="43" t="s">
        <v>201</v>
      </c>
      <c r="B81" s="47" t="s">
        <v>210</v>
      </c>
    </row>
    <row r="82" spans="1:2" ht="14.25">
      <c r="A82" s="41"/>
      <c r="B82" s="48" t="s">
        <v>211</v>
      </c>
    </row>
    <row r="83" spans="1:2" ht="14.25">
      <c r="A83" s="41"/>
      <c r="B83" s="48" t="s">
        <v>212</v>
      </c>
    </row>
    <row r="84" spans="1:2" ht="14.25">
      <c r="A84" s="41"/>
      <c r="B84" s="48" t="s">
        <v>213</v>
      </c>
    </row>
    <row r="85" spans="1:2" ht="15">
      <c r="A85" s="41"/>
      <c r="B85" s="49"/>
    </row>
    <row r="86" spans="1:2" ht="15">
      <c r="A86" s="43" t="s">
        <v>201</v>
      </c>
      <c r="B86" s="47" t="s">
        <v>214</v>
      </c>
    </row>
    <row r="87" spans="1:2" ht="42.75">
      <c r="A87" s="41"/>
      <c r="B87" s="28" t="s">
        <v>215</v>
      </c>
    </row>
    <row r="88" spans="1:2" ht="14.25">
      <c r="A88" s="41"/>
      <c r="B88" s="104" t="s">
        <v>216</v>
      </c>
    </row>
    <row r="89" spans="1:2" ht="57">
      <c r="A89" s="41"/>
      <c r="B89" s="105" t="s">
        <v>217</v>
      </c>
    </row>
    <row r="90" spans="1:2" ht="14.25">
      <c r="A90" s="41"/>
      <c r="B90" s="41"/>
    </row>
    <row r="91" spans="1:2" ht="15">
      <c r="A91" s="43" t="s">
        <v>201</v>
      </c>
      <c r="B91" s="47" t="s">
        <v>218</v>
      </c>
    </row>
    <row r="92" spans="1:2" ht="28.5">
      <c r="A92" s="29"/>
      <c r="B92" s="48" t="s">
        <v>219</v>
      </c>
    </row>
    <row r="94" spans="1:2">
      <c r="A94" s="50" t="s">
        <v>220</v>
      </c>
    </row>
  </sheetData>
  <mergeCells count="6">
    <mergeCell ref="A68:B68"/>
    <mergeCell ref="A13:B13"/>
    <mergeCell ref="A24:B24"/>
    <mergeCell ref="A38:B38"/>
    <mergeCell ref="A49:B49"/>
    <mergeCell ref="A65:B65"/>
  </mergeCells>
  <hyperlinks>
    <hyperlink ref="B9" r:id="rId1"/>
    <hyperlink ref="A2" r:id="rId2"/>
    <hyperlink ref="B36" r:id="rId3"/>
  </hyperlinks>
  <pageMargins left="0.5" right="0.5" top="0.25" bottom="0.25" header="0.5" footer="0.5"/>
  <pageSetup orientation="portrait"/>
  <headerFooter alignWithMargins="0"/>
  <drawing r:id="rId4"/>
  <legacy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C29"/>
  <sheetViews>
    <sheetView showGridLines="0" workbookViewId="0"/>
  </sheetViews>
  <sheetFormatPr defaultColWidth="8.85546875" defaultRowHeight="12.75"/>
  <cols>
    <col min="1" max="1" width="5.5703125" customWidth="1"/>
    <col min="2" max="2" width="82.140625" customWidth="1"/>
  </cols>
  <sheetData>
    <row r="1" spans="1:3" ht="30" customHeight="1">
      <c r="A1" s="12" t="s">
        <v>221</v>
      </c>
      <c r="B1" s="12"/>
    </row>
    <row r="2" spans="1:3" ht="15">
      <c r="B2" s="13"/>
    </row>
    <row r="3" spans="1:3" ht="15">
      <c r="A3" s="14"/>
      <c r="B3" s="15" t="s">
        <v>222</v>
      </c>
      <c r="C3" s="14"/>
    </row>
    <row r="4" spans="1:3" ht="14.25">
      <c r="A4" s="16"/>
      <c r="B4" s="17" t="s">
        <v>117</v>
      </c>
      <c r="C4" s="16"/>
    </row>
    <row r="5" spans="1:3" ht="15">
      <c r="A5" s="16"/>
      <c r="B5" s="18"/>
      <c r="C5" s="16"/>
    </row>
    <row r="6" spans="1:3" ht="15.75">
      <c r="A6" s="16"/>
      <c r="B6" s="19" t="s">
        <v>220</v>
      </c>
      <c r="C6" s="16"/>
    </row>
    <row r="7" spans="1:3" ht="15">
      <c r="A7" s="16"/>
      <c r="B7" s="18"/>
      <c r="C7" s="16"/>
    </row>
    <row r="8" spans="1:3" ht="30">
      <c r="A8" s="16"/>
      <c r="B8" s="18" t="s">
        <v>223</v>
      </c>
      <c r="C8" s="16"/>
    </row>
    <row r="9" spans="1:3" ht="15">
      <c r="A9" s="16"/>
      <c r="B9" s="18"/>
      <c r="C9" s="16"/>
    </row>
    <row r="10" spans="1:3" ht="46.5">
      <c r="A10" s="16"/>
      <c r="B10" s="18" t="s">
        <v>224</v>
      </c>
      <c r="C10" s="16"/>
    </row>
    <row r="11" spans="1:3" ht="15">
      <c r="A11" s="16"/>
      <c r="B11" s="18"/>
      <c r="C11" s="16"/>
    </row>
    <row r="12" spans="1:3" ht="45">
      <c r="A12" s="16"/>
      <c r="B12" s="18" t="s">
        <v>225</v>
      </c>
      <c r="C12" s="16"/>
    </row>
    <row r="13" spans="1:3" ht="15">
      <c r="A13" s="16"/>
      <c r="B13" s="18"/>
      <c r="C13" s="16"/>
    </row>
    <row r="14" spans="1:3" ht="60">
      <c r="A14" s="16"/>
      <c r="B14" s="18" t="s">
        <v>226</v>
      </c>
      <c r="C14" s="16"/>
    </row>
    <row r="15" spans="1:3" ht="15">
      <c r="A15" s="16"/>
      <c r="B15" s="18"/>
      <c r="C15" s="16"/>
    </row>
    <row r="16" spans="1:3" ht="30.75">
      <c r="A16" s="16"/>
      <c r="B16" s="18" t="s">
        <v>227</v>
      </c>
      <c r="C16" s="16"/>
    </row>
    <row r="17" spans="1:3" ht="15">
      <c r="A17" s="16"/>
      <c r="B17" s="18"/>
      <c r="C17" s="16"/>
    </row>
    <row r="18" spans="1:3" ht="15.75">
      <c r="A18" s="16"/>
      <c r="B18" s="19" t="s">
        <v>228</v>
      </c>
      <c r="C18" s="16"/>
    </row>
    <row r="19" spans="1:3" ht="15">
      <c r="A19" s="16"/>
      <c r="B19" s="20" t="s">
        <v>229</v>
      </c>
      <c r="C19" s="16"/>
    </row>
    <row r="20" spans="1:3" ht="15">
      <c r="A20" s="16"/>
      <c r="B20" s="21"/>
      <c r="C20" s="16"/>
    </row>
    <row r="21" spans="1:3">
      <c r="A21" s="16"/>
      <c r="B21" s="16"/>
      <c r="C21" s="16"/>
    </row>
    <row r="22" spans="1:3">
      <c r="A22" s="16"/>
      <c r="B22" s="16"/>
      <c r="C22" s="16"/>
    </row>
    <row r="23" spans="1:3">
      <c r="A23" s="16"/>
      <c r="B23" s="16"/>
      <c r="C23" s="16"/>
    </row>
    <row r="24" spans="1:3">
      <c r="A24" s="16"/>
      <c r="B24" s="16"/>
      <c r="C24" s="16"/>
    </row>
    <row r="25" spans="1:3">
      <c r="A25" s="16"/>
      <c r="B25" s="16"/>
      <c r="C25" s="16"/>
    </row>
    <row r="26" spans="1:3">
      <c r="A26" s="16"/>
      <c r="B26" s="16"/>
      <c r="C26" s="16"/>
    </row>
    <row r="27" spans="1:3">
      <c r="A27" s="16"/>
      <c r="B27" s="16"/>
      <c r="C27" s="16"/>
    </row>
    <row r="28" spans="1:3">
      <c r="A28" s="16"/>
      <c r="B28" s="16"/>
      <c r="C28" s="16"/>
    </row>
    <row r="29" spans="1:3">
      <c r="A29" s="16"/>
      <c r="B29" s="16"/>
      <c r="C29" s="16"/>
    </row>
  </sheetData>
  <hyperlinks>
    <hyperlink ref="B4" r:id="rId1"/>
    <hyperlink ref="B19" r:id="rId2"/>
  </hyperlinks>
  <pageMargins left="0.7" right="0.7" top="0.75" bottom="0.75" header="0.3" footer="0.3"/>
  <pageSetup orientation="portrait"/>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
  <sheetViews>
    <sheetView workbookViewId="0">
      <selection activeCell="A3" sqref="A3"/>
    </sheetView>
  </sheetViews>
  <sheetFormatPr defaultColWidth="9" defaultRowHeight="12.75"/>
  <cols>
    <col min="1" max="1" width="70.7109375" customWidth="1"/>
  </cols>
  <sheetData>
    <row r="1" spans="1:13" ht="37.5" customHeight="1">
      <c r="A1" s="131" t="s">
        <v>240</v>
      </c>
      <c r="B1" s="131"/>
      <c r="C1" s="131"/>
      <c r="D1" s="131"/>
      <c r="E1" s="131"/>
      <c r="F1" s="131"/>
      <c r="G1" s="131"/>
      <c r="H1" s="131"/>
      <c r="I1" s="131"/>
      <c r="J1" s="131"/>
      <c r="K1" s="131"/>
      <c r="L1" s="131"/>
      <c r="M1" s="131"/>
    </row>
    <row r="3" spans="1:13">
      <c r="A3" t="s">
        <v>241</v>
      </c>
    </row>
    <row r="9" spans="1:13">
      <c r="A9" s="118"/>
    </row>
    <row r="10" spans="1:13">
      <c r="A10" s="118"/>
    </row>
  </sheetData>
  <mergeCells count="1">
    <mergeCell ref="A1:M1"/>
  </mergeCells>
  <pageMargins left="0.7" right="0.7" top="0.75" bottom="0.75" header="0.3" footer="0.3"/>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22"/>
  <sheetViews>
    <sheetView workbookViewId="0">
      <selection activeCell="A22" sqref="A22"/>
    </sheetView>
  </sheetViews>
  <sheetFormatPr defaultColWidth="9" defaultRowHeight="12.75"/>
  <cols>
    <col min="1" max="1" width="66.140625" customWidth="1"/>
    <col min="2" max="2" width="42" customWidth="1"/>
  </cols>
  <sheetData>
    <row r="1" spans="1:66" ht="15">
      <c r="A1" s="2"/>
      <c r="B1" s="3"/>
    </row>
    <row r="2" spans="1:66" ht="15">
      <c r="A2" s="2"/>
      <c r="B2" s="3"/>
    </row>
    <row r="3" spans="1:66" ht="15">
      <c r="A3" s="2" t="s">
        <v>230</v>
      </c>
      <c r="B3" s="3"/>
    </row>
    <row r="4" spans="1:66" ht="15">
      <c r="A4" s="2" t="s">
        <v>231</v>
      </c>
      <c r="B4" s="3"/>
    </row>
    <row r="5" spans="1:66" ht="15">
      <c r="A5" s="2" t="s">
        <v>232</v>
      </c>
      <c r="B5" s="3"/>
    </row>
    <row r="6" spans="1:66">
      <c r="A6" s="2" t="s">
        <v>233</v>
      </c>
    </row>
    <row r="7" spans="1:66">
      <c r="A7" s="2" t="s">
        <v>234</v>
      </c>
    </row>
    <row r="13" spans="1:66" s="1" customFormat="1" ht="18">
      <c r="A13"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0.1</v>
      </c>
      <c r="B13" s="2" t="s">
        <v>230</v>
      </c>
      <c r="C13" s="1" t="s">
        <v>28</v>
      </c>
      <c r="D13" s="5"/>
      <c r="E13" s="6">
        <f>GanttChart!F59+1</f>
        <v>46116</v>
      </c>
      <c r="F13" s="7">
        <f t="shared" ref="F13:F17" si="0">IF(ISBLANK(E13)," - ",IF(G13=0,E13,E13+G13-1))</f>
        <v>46117</v>
      </c>
      <c r="G13" s="8">
        <v>2</v>
      </c>
      <c r="H13" s="9">
        <v>0</v>
      </c>
      <c r="I13" s="10">
        <f t="shared" ref="I13:I17" si="1">IF(OR(F13=0,E13=0)," - ",NETWORKDAYS(E13,F13))</f>
        <v>0</v>
      </c>
      <c r="J13" s="11"/>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row>
    <row r="14" spans="1:66" s="1" customFormat="1" ht="18">
      <c r="A14"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0.2</v>
      </c>
      <c r="B14" s="2" t="s">
        <v>231</v>
      </c>
      <c r="C14" s="1" t="s">
        <v>19</v>
      </c>
      <c r="D14" s="5"/>
      <c r="E14" s="6">
        <f>GanttChart!F60+1</f>
        <v>46120</v>
      </c>
      <c r="F14" s="7">
        <f t="shared" si="0"/>
        <v>46123</v>
      </c>
      <c r="G14" s="8">
        <v>4</v>
      </c>
      <c r="H14" s="9">
        <v>0</v>
      </c>
      <c r="I14" s="10">
        <f t="shared" si="1"/>
        <v>3</v>
      </c>
      <c r="J14" s="11"/>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row>
    <row r="15" spans="1:66" s="1" customFormat="1" ht="18">
      <c r="A15"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0.3</v>
      </c>
      <c r="B15" s="2" t="s">
        <v>232</v>
      </c>
      <c r="C15" s="1" t="s">
        <v>28</v>
      </c>
      <c r="D15" s="5"/>
      <c r="E15" s="6">
        <f t="shared" ref="E15:E17" si="2">F13+1</f>
        <v>46118</v>
      </c>
      <c r="F15" s="7">
        <f t="shared" si="0"/>
        <v>46121</v>
      </c>
      <c r="G15" s="8">
        <v>4</v>
      </c>
      <c r="H15" s="9">
        <v>0</v>
      </c>
      <c r="I15" s="10">
        <f t="shared" si="1"/>
        <v>4</v>
      </c>
      <c r="J15" s="11"/>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row>
    <row r="16" spans="1:66" s="1" customFormat="1" ht="18">
      <c r="A16"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0.4</v>
      </c>
      <c r="B16" s="2" t="s">
        <v>233</v>
      </c>
      <c r="C16" s="1" t="s">
        <v>19</v>
      </c>
      <c r="D16" s="5"/>
      <c r="E16" s="6">
        <f t="shared" si="2"/>
        <v>46124</v>
      </c>
      <c r="F16" s="7">
        <f t="shared" si="0"/>
        <v>46125</v>
      </c>
      <c r="G16" s="8">
        <v>2</v>
      </c>
      <c r="H16" s="9">
        <v>0</v>
      </c>
      <c r="I16" s="10">
        <f t="shared" si="1"/>
        <v>1</v>
      </c>
      <c r="J16" s="11"/>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row>
    <row r="17" spans="1:66" s="1" customFormat="1" ht="18">
      <c r="A17"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0.5</v>
      </c>
      <c r="B17" s="2" t="s">
        <v>234</v>
      </c>
      <c r="C17" s="1" t="s">
        <v>28</v>
      </c>
      <c r="D17" s="5"/>
      <c r="E17" s="6">
        <f t="shared" si="2"/>
        <v>46122</v>
      </c>
      <c r="F17" s="7">
        <f t="shared" si="0"/>
        <v>46123</v>
      </c>
      <c r="G17" s="8">
        <v>2</v>
      </c>
      <c r="H17" s="9">
        <v>0</v>
      </c>
      <c r="I17" s="10">
        <f t="shared" si="1"/>
        <v>1</v>
      </c>
      <c r="J17" s="11"/>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row>
    <row r="22" spans="1:66">
      <c r="A22" t="s">
        <v>235</v>
      </c>
    </row>
  </sheetData>
  <conditionalFormatting sqref="H13">
    <cfRule type="dataBar" priority="20">
      <dataBar>
        <cfvo type="num" val="0"/>
        <cfvo type="num" val="1"/>
        <color theme="0" tint="-0.34998626667073579"/>
      </dataBar>
      <extLst>
        <ext xmlns:x14="http://schemas.microsoft.com/office/spreadsheetml/2009/9/main" uri="{B025F937-C7B1-47D3-B67F-A62EFF666E3E}">
          <x14:id>{BAE600E7-FE4A-406D-A0A0-D49AD13AF25E}</x14:id>
        </ext>
      </extLst>
    </cfRule>
  </conditionalFormatting>
  <conditionalFormatting sqref="H14">
    <cfRule type="dataBar" priority="16">
      <dataBar>
        <cfvo type="num" val="0"/>
        <cfvo type="num" val="1"/>
        <color theme="0" tint="-0.34998626667073579"/>
      </dataBar>
      <extLst>
        <ext xmlns:x14="http://schemas.microsoft.com/office/spreadsheetml/2009/9/main" uri="{B025F937-C7B1-47D3-B67F-A62EFF666E3E}">
          <x14:id>{5C19D324-34A6-430A-912B-754B3A96CBE3}</x14:id>
        </ext>
      </extLst>
    </cfRule>
  </conditionalFormatting>
  <conditionalFormatting sqref="H15">
    <cfRule type="dataBar" priority="12">
      <dataBar>
        <cfvo type="num" val="0"/>
        <cfvo type="num" val="1"/>
        <color theme="0" tint="-0.34998626667073579"/>
      </dataBar>
      <extLst>
        <ext xmlns:x14="http://schemas.microsoft.com/office/spreadsheetml/2009/9/main" uri="{B025F937-C7B1-47D3-B67F-A62EFF666E3E}">
          <x14:id>{DEFBED01-472B-49D5-9EC8-A70152298A6C}</x14:id>
        </ext>
      </extLst>
    </cfRule>
  </conditionalFormatting>
  <conditionalFormatting sqref="H16">
    <cfRule type="dataBar" priority="8">
      <dataBar>
        <cfvo type="num" val="0"/>
        <cfvo type="num" val="1"/>
        <color theme="0" tint="-0.34998626667073579"/>
      </dataBar>
      <extLst>
        <ext xmlns:x14="http://schemas.microsoft.com/office/spreadsheetml/2009/9/main" uri="{B025F937-C7B1-47D3-B67F-A62EFF666E3E}">
          <x14:id>{8A0FC972-E9C5-456E-B171-44CEF3A11DAF}</x14:id>
        </ext>
      </extLst>
    </cfRule>
  </conditionalFormatting>
  <conditionalFormatting sqref="H17">
    <cfRule type="dataBar" priority="4">
      <dataBar>
        <cfvo type="num" val="0"/>
        <cfvo type="num" val="1"/>
        <color theme="0" tint="-0.34998626667073579"/>
      </dataBar>
      <extLst>
        <ext xmlns:x14="http://schemas.microsoft.com/office/spreadsheetml/2009/9/main" uri="{B025F937-C7B1-47D3-B67F-A62EFF666E3E}">
          <x14:id>{E031BC06-22B7-4628-BB42-6BBEC0C7FED9}</x14:id>
        </ext>
      </extLst>
    </cfRule>
  </conditionalFormatting>
  <conditionalFormatting sqref="K13:BN17">
    <cfRule type="expression" dxfId="8" priority="1">
      <formula>K$6=TODAY()</formula>
    </cfRule>
    <cfRule type="expression" dxfId="7" priority="2">
      <formula>AND($E13&lt;=K$6,ROUNDDOWN(($F13-$E13+1)*$H13,0)+$E13-1&gt;=K$6)</formula>
    </cfRule>
    <cfRule type="expression" dxfId="6" priority="3">
      <formula>AND(NOT(ISBLANK($E13)),$E13&lt;=K$6,$F13&gt;=K$6)</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BAE600E7-FE4A-406D-A0A0-D49AD13AF25E}">
            <x14:dataBar minLength="0" maxLength="100" gradient="0">
              <x14:cfvo type="num">
                <xm:f>0</xm:f>
              </x14:cfvo>
              <x14:cfvo type="num">
                <xm:f>1</xm:f>
              </x14:cfvo>
              <x14:negativeFillColor rgb="FFFF0000"/>
              <x14:axisColor rgb="FF000000"/>
            </x14:dataBar>
          </x14:cfRule>
          <xm:sqref>H13</xm:sqref>
        </x14:conditionalFormatting>
        <x14:conditionalFormatting xmlns:xm="http://schemas.microsoft.com/office/excel/2006/main">
          <x14:cfRule type="dataBar" id="{5C19D324-34A6-430A-912B-754B3A96CBE3}">
            <x14:dataBar minLength="0" maxLength="100" gradient="0">
              <x14:cfvo type="num">
                <xm:f>0</xm:f>
              </x14:cfvo>
              <x14:cfvo type="num">
                <xm:f>1</xm:f>
              </x14:cfvo>
              <x14:negativeFillColor rgb="FFFF0000"/>
              <x14:axisColor rgb="FF000000"/>
            </x14:dataBar>
          </x14:cfRule>
          <xm:sqref>H14</xm:sqref>
        </x14:conditionalFormatting>
        <x14:conditionalFormatting xmlns:xm="http://schemas.microsoft.com/office/excel/2006/main">
          <x14:cfRule type="dataBar" id="{DEFBED01-472B-49D5-9EC8-A70152298A6C}">
            <x14:dataBar minLength="0" maxLength="100" gradient="0">
              <x14:cfvo type="num">
                <xm:f>0</xm:f>
              </x14:cfvo>
              <x14:cfvo type="num">
                <xm:f>1</xm:f>
              </x14:cfvo>
              <x14:negativeFillColor rgb="FFFF0000"/>
              <x14:axisColor rgb="FF000000"/>
            </x14:dataBar>
          </x14:cfRule>
          <xm:sqref>H15</xm:sqref>
        </x14:conditionalFormatting>
        <x14:conditionalFormatting xmlns:xm="http://schemas.microsoft.com/office/excel/2006/main">
          <x14:cfRule type="dataBar" id="{8A0FC972-E9C5-456E-B171-44CEF3A11DAF}">
            <x14:dataBar minLength="0" maxLength="100" gradient="0">
              <x14:cfvo type="num">
                <xm:f>0</xm:f>
              </x14:cfvo>
              <x14:cfvo type="num">
                <xm:f>1</xm:f>
              </x14:cfvo>
              <x14:negativeFillColor rgb="FFFF0000"/>
              <x14:axisColor rgb="FF000000"/>
            </x14:dataBar>
          </x14:cfRule>
          <xm:sqref>H16</xm:sqref>
        </x14:conditionalFormatting>
        <x14:conditionalFormatting xmlns:xm="http://schemas.microsoft.com/office/excel/2006/main">
          <x14:cfRule type="dataBar" id="{E031BC06-22B7-4628-BB42-6BBEC0C7FED9}">
            <x14:dataBar minLength="0" maxLength="100" gradient="0">
              <x14:cfvo type="num">
                <xm:f>0</xm:f>
              </x14:cfvo>
              <x14:cfvo type="num">
                <xm:f>1</xm:f>
              </x14:cfvo>
              <x14:negativeFillColor rgb="FFFF0000"/>
              <x14:axisColor rgb="FF000000"/>
            </x14:dataBar>
          </x14:cfRule>
          <xm:sqref>H17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GanttChart</vt:lpstr>
      <vt:lpstr>GanttChartPro</vt:lpstr>
      <vt:lpstr>Help</vt:lpstr>
      <vt:lpstr>TermsOfUse</vt:lpstr>
      <vt:lpstr>Update Project</vt:lpstr>
      <vt:lpstr>etc</vt:lpstr>
      <vt:lpstr>etc!prevWBS</vt:lpstr>
      <vt:lpstr>GanttChart!prevWBS</vt:lpstr>
      <vt:lpstr>GanttChart!Print_Area</vt:lpstr>
      <vt:lpstr>GanttChartPro!Print_Area</vt:lpstr>
      <vt:lpstr>GanttChart!Print_Titles</vt:lpstr>
    </vt:vector>
  </TitlesOfParts>
  <Company>Vertex42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2006-2025 Vertex42 LLC. All Rights Reserved.</dc:description>
  <cp:lastModifiedBy>BC</cp:lastModifiedBy>
  <cp:lastPrinted>2026-03-17T03:15:57Z</cp:lastPrinted>
  <dcterms:created xsi:type="dcterms:W3CDTF">2010-06-09T16:05:00Z</dcterms:created>
  <dcterms:modified xsi:type="dcterms:W3CDTF">2026-03-17T03:20:29Z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2006-2025 Vertex42 LLC</vt:lpwstr>
  </property>
  <property fmtid="{D5CDD505-2E9C-101B-9397-08002B2CF9AE}" pid="3" name="Version">
    <vt:lpwstr>3.1.2</vt:lpwstr>
  </property>
  <property fmtid="{D5CDD505-2E9C-101B-9397-08002B2CF9AE}" pid="4" name="Source">
    <vt:lpwstr>https://www.vertex42.com/ExcelTemplates/excel-gantt-chart.html</vt:lpwstr>
  </property>
  <property fmtid="{D5CDD505-2E9C-101B-9397-08002B2CF9AE}" pid="5" name="ICV">
    <vt:lpwstr>89D1A92380FC4DD99C65273B46E79D1C_13</vt:lpwstr>
  </property>
  <property fmtid="{D5CDD505-2E9C-101B-9397-08002B2CF9AE}" pid="6" name="KSOProductBuildVer">
    <vt:lpwstr>1033-12.1.0.25242</vt:lpwstr>
  </property>
  <property fmtid="{D5CDD505-2E9C-101B-9397-08002B2CF9AE}" pid="7" name="CalculationRule">
    <vt:i4>0</vt:i4>
  </property>
</Properties>
</file>
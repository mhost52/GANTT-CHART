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odeName="ThisWorkbook"/>
  <mc:AlternateContent xmlns:mc="http://schemas.openxmlformats.org/markup-compatibility/2006">
    <mc:Choice Requires="x15">
      <x15ac:absPath xmlns:x15ac="http://schemas.microsoft.com/office/spreadsheetml/2010/11/ac" url="D:\Lw\CRITICAL STATE\GANTT-CHART-main\"/>
    </mc:Choice>
  </mc:AlternateContent>
  <xr:revisionPtr revIDLastSave="0" documentId="13_ncr:1_{44A2677F-3D06-4339-B8EF-E7DF27A60EA3}" xr6:coauthVersionLast="47" xr6:coauthVersionMax="47" xr10:uidLastSave="{00000000-0000-0000-0000-000000000000}"/>
  <bookViews>
    <workbookView xWindow="-120" yWindow="-120" windowWidth="29040" windowHeight="15720" xr2:uid="{00000000-000D-0000-FFFF-FFFF00000000}"/>
  </bookViews>
  <sheets>
    <sheet name="GanttChart" sheetId="9" r:id="rId1"/>
    <sheet name="GanttChartPro" sheetId="12" state="hidden" r:id="rId2"/>
    <sheet name="Help" sheetId="6" state="hidden" r:id="rId3"/>
    <sheet name="TermsOfUse" sheetId="11" state="hidden" r:id="rId4"/>
  </sheets>
  <definedNames>
    <definedName name="prevWBS" localSheetId="0">GanttChart!$A1048576</definedName>
    <definedName name="_xlnm.Print_Area" localSheetId="0">GanttChart!$A$1:$BN$73</definedName>
    <definedName name="_xlnm.Print_Area" localSheetId="1">GanttChartPro!$A$1:$C$47</definedName>
    <definedName name="_xlnm.Print_Titles" localSheetId="0">GanttChart!$4:$7</definedName>
    <definedName name="valuevx">42.314159</definedName>
    <definedName name="vertex42_copyright" hidden="1">"© 2006-2018 Vertex42 LLC"</definedName>
    <definedName name="vertex42_id" hidden="1">"gantt-chart_L.xlsx"</definedName>
    <definedName name="vertex42_title" hidden="1">"Gantt Chart Template"</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5" i="9" l="1"/>
  <c r="I15" i="9" s="1"/>
  <c r="A15" i="9"/>
  <c r="F19" i="9"/>
  <c r="I19" i="9" s="1"/>
  <c r="F20" i="9"/>
  <c r="I20" i="9" s="1"/>
  <c r="F18" i="9"/>
  <c r="I18" i="9" s="1"/>
  <c r="F17" i="9"/>
  <c r="I17" i="9" s="1"/>
  <c r="F13" i="9"/>
  <c r="I13" i="9" s="1"/>
  <c r="F14" i="9"/>
  <c r="I14" i="9" s="1"/>
  <c r="F105" i="9" l="1"/>
  <c r="F104" i="9"/>
  <c r="I104" i="9" s="1"/>
  <c r="F103" i="9"/>
  <c r="F102" i="9"/>
  <c r="F101" i="9"/>
  <c r="F100" i="9"/>
  <c r="F99" i="9"/>
  <c r="F98" i="9"/>
  <c r="I98" i="9" s="1"/>
  <c r="F97" i="9"/>
  <c r="F96" i="9"/>
  <c r="F95" i="9"/>
  <c r="I95" i="9" s="1"/>
  <c r="F94" i="9"/>
  <c r="I94" i="9" s="1"/>
  <c r="F93" i="9"/>
  <c r="I93" i="9" s="1"/>
  <c r="F92" i="9"/>
  <c r="I92" i="9" s="1"/>
  <c r="F91" i="9"/>
  <c r="I91" i="9" s="1"/>
  <c r="F90" i="9"/>
  <c r="I90" i="9" s="1"/>
  <c r="F89" i="9"/>
  <c r="I89" i="9" s="1"/>
  <c r="F88" i="9"/>
  <c r="I88" i="9" s="1"/>
  <c r="F87" i="9"/>
  <c r="I87" i="9" s="1"/>
  <c r="F86" i="9"/>
  <c r="I86" i="9" s="1"/>
  <c r="F85" i="9"/>
  <c r="I85" i="9" s="1"/>
  <c r="F84" i="9"/>
  <c r="I84" i="9" s="1"/>
  <c r="F83" i="9"/>
  <c r="I83" i="9" s="1"/>
  <c r="F82" i="9"/>
  <c r="I82" i="9" s="1"/>
  <c r="F81" i="9"/>
  <c r="I81" i="9" s="1"/>
  <c r="F80" i="9"/>
  <c r="I80" i="9" s="1"/>
  <c r="F79" i="9"/>
  <c r="I79" i="9" s="1"/>
  <c r="F78" i="9"/>
  <c r="I78" i="9" s="1"/>
  <c r="F77" i="9"/>
  <c r="I77" i="9" s="1"/>
  <c r="F76" i="9"/>
  <c r="I76" i="9" s="1"/>
  <c r="F75" i="9"/>
  <c r="I75" i="9" s="1"/>
  <c r="F74" i="9"/>
  <c r="I74" i="9" s="1"/>
  <c r="F73" i="9"/>
  <c r="I73" i="9" s="1"/>
  <c r="F72" i="9"/>
  <c r="I72" i="9" s="1"/>
  <c r="F71" i="9"/>
  <c r="I71" i="9" s="1"/>
  <c r="F70" i="9"/>
  <c r="I70" i="9" s="1"/>
  <c r="F69" i="9"/>
  <c r="I69" i="9" s="1"/>
  <c r="F68" i="9"/>
  <c r="I68" i="9" s="1"/>
  <c r="F67" i="9"/>
  <c r="I67" i="9" s="1"/>
  <c r="F66" i="9"/>
  <c r="I66" i="9" s="1"/>
  <c r="A66" i="9"/>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A104" i="9" s="1"/>
  <c r="A105" i="9" s="1"/>
  <c r="F21" i="9"/>
  <c r="F16" i="9"/>
  <c r="I16" i="9" s="1"/>
  <c r="F12" i="9"/>
  <c r="I12" i="9" s="1"/>
  <c r="F11" i="9"/>
  <c r="I11" i="9" s="1"/>
  <c r="F10" i="9"/>
  <c r="I10" i="9" s="1"/>
  <c r="F9" i="9"/>
  <c r="I9" i="9" s="1"/>
  <c r="F8" i="9"/>
  <c r="I8" i="9" s="1"/>
  <c r="A8" i="9"/>
  <c r="A9" i="9" s="1"/>
  <c r="A10" i="9" s="1"/>
  <c r="A11" i="9" s="1"/>
  <c r="A12" i="9" s="1"/>
  <c r="K6" i="9"/>
  <c r="L6" i="9" s="1"/>
  <c r="E22" i="9" l="1"/>
  <c r="F22" i="9" s="1"/>
  <c r="A13" i="9"/>
  <c r="A14" i="9" s="1"/>
  <c r="A16" i="9" s="1"/>
  <c r="I21" i="9"/>
  <c r="E23" i="9"/>
  <c r="F23" i="9" s="1"/>
  <c r="K5" i="9"/>
  <c r="K4" i="9"/>
  <c r="M6" i="9"/>
  <c r="L7" i="9"/>
  <c r="K7" i="9"/>
  <c r="A17" i="9" l="1"/>
  <c r="I23" i="9"/>
  <c r="E25" i="9"/>
  <c r="F25" i="9" s="1"/>
  <c r="I22" i="9"/>
  <c r="E24" i="9"/>
  <c r="F24" i="9" s="1"/>
  <c r="N6" i="9"/>
  <c r="M7" i="9"/>
  <c r="A18" i="9" l="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I24" i="9"/>
  <c r="E26" i="9"/>
  <c r="F26" i="9" s="1"/>
  <c r="I25" i="9"/>
  <c r="E27" i="9"/>
  <c r="F27" i="9" s="1"/>
  <c r="N7" i="9"/>
  <c r="O6" i="9"/>
  <c r="I27" i="9" l="1"/>
  <c r="E29" i="9"/>
  <c r="F29" i="9" s="1"/>
  <c r="I26" i="9"/>
  <c r="E28" i="9"/>
  <c r="F28" i="9" s="1"/>
  <c r="P6" i="9"/>
  <c r="O7" i="9"/>
  <c r="I28" i="9" l="1"/>
  <c r="E30" i="9"/>
  <c r="F30" i="9" s="1"/>
  <c r="I29" i="9"/>
  <c r="E31" i="9"/>
  <c r="F31" i="9" s="1"/>
  <c r="Q6" i="9"/>
  <c r="P7" i="9"/>
  <c r="I31" i="9" l="1"/>
  <c r="E33" i="9"/>
  <c r="F33" i="9" s="1"/>
  <c r="I30" i="9"/>
  <c r="E32" i="9"/>
  <c r="F32" i="9" s="1"/>
  <c r="R6" i="9"/>
  <c r="Q7" i="9"/>
  <c r="I32" i="9" l="1"/>
  <c r="E34" i="9"/>
  <c r="F34" i="9" s="1"/>
  <c r="I33" i="9"/>
  <c r="E35" i="9"/>
  <c r="F35" i="9" s="1"/>
  <c r="R7" i="9"/>
  <c r="R5" i="9"/>
  <c r="R4" i="9"/>
  <c r="S6" i="9"/>
  <c r="I35" i="9" l="1"/>
  <c r="E37" i="9"/>
  <c r="F37" i="9" s="1"/>
  <c r="I34" i="9"/>
  <c r="E36" i="9"/>
  <c r="F36" i="9" s="1"/>
  <c r="T6" i="9"/>
  <c r="S7" i="9"/>
  <c r="I36" i="9" l="1"/>
  <c r="E38" i="9"/>
  <c r="F38" i="9" s="1"/>
  <c r="I37" i="9"/>
  <c r="E39" i="9"/>
  <c r="F39" i="9" s="1"/>
  <c r="U6" i="9"/>
  <c r="T7" i="9"/>
  <c r="I39" i="9" l="1"/>
  <c r="E41" i="9"/>
  <c r="F41" i="9" s="1"/>
  <c r="I38" i="9"/>
  <c r="E40" i="9"/>
  <c r="F40" i="9" s="1"/>
  <c r="V6" i="9"/>
  <c r="U7" i="9"/>
  <c r="I40" i="9" l="1"/>
  <c r="E42" i="9"/>
  <c r="F42" i="9" s="1"/>
  <c r="I41" i="9"/>
  <c r="E43" i="9"/>
  <c r="F43" i="9" s="1"/>
  <c r="V7" i="9"/>
  <c r="W6" i="9"/>
  <c r="I43" i="9" l="1"/>
  <c r="E45" i="9"/>
  <c r="F45" i="9" s="1"/>
  <c r="I45" i="9" s="1"/>
  <c r="E44" i="9"/>
  <c r="F44" i="9" s="1"/>
  <c r="I42" i="9"/>
  <c r="X6" i="9"/>
  <c r="W7" i="9"/>
  <c r="I44" i="9" l="1"/>
  <c r="E46" i="9"/>
  <c r="F46" i="9" s="1"/>
  <c r="I46" i="9" s="1"/>
  <c r="Y6" i="9"/>
  <c r="X7" i="9"/>
  <c r="Z6" i="9" l="1"/>
  <c r="Y7" i="9"/>
  <c r="Y5" i="9"/>
  <c r="Y4" i="9"/>
  <c r="Z7" i="9" l="1"/>
  <c r="AA6" i="9"/>
  <c r="AB6" i="9" l="1"/>
  <c r="AA7" i="9"/>
  <c r="AC6" i="9" l="1"/>
  <c r="AB7" i="9"/>
  <c r="AD6" i="9" l="1"/>
  <c r="AC7" i="9"/>
  <c r="AD7" i="9" l="1"/>
  <c r="AE6" i="9"/>
  <c r="AF6" i="9" l="1"/>
  <c r="AE7" i="9"/>
  <c r="AF5" i="9" l="1"/>
  <c r="AF4" i="9"/>
  <c r="AG6" i="9"/>
  <c r="AF7" i="9"/>
  <c r="AH6" i="9" l="1"/>
  <c r="AG7" i="9"/>
  <c r="AH7" i="9" l="1"/>
  <c r="AI6" i="9"/>
  <c r="AJ6" i="9" l="1"/>
  <c r="AI7" i="9"/>
  <c r="AK6" i="9" l="1"/>
  <c r="AJ7" i="9"/>
  <c r="AL6" i="9" l="1"/>
  <c r="AK7" i="9"/>
  <c r="AL7" i="9" l="1"/>
  <c r="AM6" i="9"/>
  <c r="AN6" i="9" l="1"/>
  <c r="AM5" i="9"/>
  <c r="AM4" i="9"/>
  <c r="AM7" i="9"/>
  <c r="AO6" i="9" l="1"/>
  <c r="AN7" i="9"/>
  <c r="AP6" i="9" l="1"/>
  <c r="AO7" i="9"/>
  <c r="AP7" i="9" l="1"/>
  <c r="AQ6" i="9"/>
  <c r="AR6" i="9" l="1"/>
  <c r="AQ7" i="9"/>
  <c r="AS6" i="9" l="1"/>
  <c r="AR7" i="9"/>
  <c r="AT6" i="9" l="1"/>
  <c r="AS7" i="9"/>
  <c r="AT7" i="9" l="1"/>
  <c r="AT5" i="9"/>
  <c r="AT4" i="9"/>
  <c r="AU6" i="9"/>
  <c r="AV6" i="9" l="1"/>
  <c r="AU7" i="9"/>
  <c r="AW6" i="9" l="1"/>
  <c r="AV7" i="9"/>
  <c r="AX6" i="9" l="1"/>
  <c r="AW7" i="9"/>
  <c r="AX7" i="9" l="1"/>
  <c r="AY6" i="9"/>
  <c r="AZ6" i="9" l="1"/>
  <c r="AY7" i="9"/>
  <c r="BA6" i="9" l="1"/>
  <c r="AZ7" i="9"/>
  <c r="BB6" i="9" l="1"/>
  <c r="BA7" i="9"/>
  <c r="BA5" i="9"/>
  <c r="BA4" i="9"/>
  <c r="BB7" i="9" l="1"/>
  <c r="BC6" i="9"/>
  <c r="BD6" i="9" l="1"/>
  <c r="BC7" i="9"/>
  <c r="BE6" i="9" l="1"/>
  <c r="BD7" i="9"/>
  <c r="BF6" i="9" l="1"/>
  <c r="BE7" i="9"/>
  <c r="BF7" i="9" l="1"/>
  <c r="BG6" i="9"/>
  <c r="BH6" i="9" l="1"/>
  <c r="BG7" i="9"/>
  <c r="BH5" i="9" l="1"/>
  <c r="BH4" i="9"/>
  <c r="BI6" i="9"/>
  <c r="BH7" i="9"/>
  <c r="BJ6" i="9" l="1"/>
  <c r="BI7" i="9"/>
  <c r="BJ7" i="9" l="1"/>
  <c r="BK6" i="9"/>
  <c r="BL6" i="9" l="1"/>
  <c r="BK7" i="9"/>
  <c r="BM6" i="9" l="1"/>
  <c r="BL7" i="9"/>
  <c r="BN6" i="9" l="1"/>
  <c r="BN7" i="9" s="1"/>
  <c r="BM7"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Vertex42</author>
    <author>Vertex42.com Templates</author>
  </authors>
  <commentList>
    <comment ref="A7" authorId="0" shapeId="0" xr:uid="{00000000-0006-0000-0000-000001000000}">
      <text>
        <r>
          <rPr>
            <b/>
            <sz val="9"/>
            <rFont val="Tahoma"/>
            <charset val="134"/>
          </rPr>
          <t>Work Breakdown Structure</t>
        </r>
        <r>
          <rPr>
            <sz val="9"/>
            <rFont val="Tahoma"/>
            <charset val="134"/>
          </rPr>
          <t xml:space="preserve">
Level 1: 1, 2, 3, ...
Level 2: 1.1, 1.2, 1.3, ...
Level 3: 1.1.1, 1.1.2, 1.1.3, …
 - The WBS uses a formula to control the numbering, but the formulas are different for different levels. Copy and Paste the cells in the WBS column from the examples at the bottom of the worksheet.</t>
        </r>
      </text>
    </comment>
    <comment ref="B7" authorId="0" shapeId="0" xr:uid="{00000000-0006-0000-0000-000002000000}">
      <text>
        <r>
          <rPr>
            <b/>
            <sz val="9"/>
            <rFont val="Tahoma"/>
            <charset val="134"/>
          </rPr>
          <t>Task Description</t>
        </r>
        <r>
          <rPr>
            <sz val="9"/>
            <rFont val="Tahoma"/>
            <charset val="134"/>
          </rPr>
          <t xml:space="preserve">
Enter the name of each task and sub-task. Use indents for sub-tasks.</t>
        </r>
      </text>
    </comment>
    <comment ref="C7" authorId="0" shapeId="0" xr:uid="{00000000-0006-0000-0000-000003000000}">
      <text>
        <r>
          <rPr>
            <b/>
            <sz val="9"/>
            <rFont val="Tahoma"/>
            <charset val="134"/>
          </rPr>
          <t>Task Lead</t>
        </r>
        <r>
          <rPr>
            <sz val="9"/>
            <rFont val="Tahoma"/>
            <charset val="134"/>
          </rPr>
          <t xml:space="preserve">
Enter the name of the Task Lead in this column.</t>
        </r>
      </text>
    </comment>
    <comment ref="D7" authorId="0" shapeId="0" xr:uid="{00000000-0006-0000-0000-000004000000}">
      <text>
        <r>
          <rPr>
            <b/>
            <sz val="9"/>
            <rFont val="Tahoma"/>
            <charset val="134"/>
          </rPr>
          <t xml:space="preserve">Predecessor Tasks:
</t>
        </r>
        <r>
          <rPr>
            <sz val="9"/>
            <rFont val="Tahoma"/>
            <charset val="134"/>
          </rPr>
          <t>You can use this column to enter the WBS of a predecessor for reference. The PRO version uses formulas to automatically calculate the Start Date based on the Predecessor.</t>
        </r>
      </text>
    </comment>
    <comment ref="E7" authorId="0" shapeId="0" xr:uid="{00000000-0006-0000-0000-000005000000}">
      <text>
        <r>
          <rPr>
            <b/>
            <sz val="9"/>
            <rFont val="Tahoma"/>
            <charset val="134"/>
          </rPr>
          <t>Task Start Date</t>
        </r>
        <r>
          <rPr>
            <sz val="9"/>
            <rFont val="Tahoma"/>
            <charset val="134"/>
          </rPr>
          <t xml:space="preserve">
You can manually enter the Start Date for each task or use a formula to create a dependency on a Predecessor. For example, you could enter </t>
        </r>
        <r>
          <rPr>
            <b/>
            <sz val="9"/>
            <rFont val="Tahoma"/>
            <charset val="134"/>
          </rPr>
          <t>=</t>
        </r>
        <r>
          <rPr>
            <b/>
            <i/>
            <sz val="9"/>
            <rFont val="Tahoma"/>
            <charset val="134"/>
          </rPr>
          <t>enddate</t>
        </r>
        <r>
          <rPr>
            <b/>
            <sz val="9"/>
            <rFont val="Tahoma"/>
            <charset val="134"/>
          </rPr>
          <t>+1</t>
        </r>
        <r>
          <rPr>
            <sz val="9"/>
            <rFont val="Tahoma"/>
            <charset val="134"/>
          </rPr>
          <t xml:space="preserve"> to set the Start date to the next calendar day, or </t>
        </r>
        <r>
          <rPr>
            <b/>
            <sz val="9"/>
            <rFont val="Tahoma"/>
            <charset val="134"/>
          </rPr>
          <t>=WORKDAY(</t>
        </r>
        <r>
          <rPr>
            <b/>
            <i/>
            <sz val="9"/>
            <rFont val="Tahoma"/>
            <charset val="134"/>
          </rPr>
          <t>enddate</t>
        </r>
        <r>
          <rPr>
            <b/>
            <sz val="9"/>
            <rFont val="Tahoma"/>
            <charset val="134"/>
          </rPr>
          <t>,1)</t>
        </r>
        <r>
          <rPr>
            <sz val="9"/>
            <rFont val="Tahoma"/>
            <charset val="134"/>
          </rPr>
          <t xml:space="preserve"> to set the Start date to the next work day (excluding weekends), where </t>
        </r>
        <r>
          <rPr>
            <i/>
            <sz val="9"/>
            <rFont val="Tahoma"/>
            <charset val="134"/>
          </rPr>
          <t>enddate</t>
        </r>
        <r>
          <rPr>
            <sz val="9"/>
            <rFont val="Tahoma"/>
            <charset val="134"/>
          </rPr>
          <t xml:space="preserve"> is the cell reference for the End date of the Predecessor task.</t>
        </r>
      </text>
    </comment>
    <comment ref="F7" authorId="1" shapeId="0" xr:uid="{00000000-0006-0000-0000-000006000000}">
      <text>
        <r>
          <rPr>
            <b/>
            <sz val="9"/>
            <rFont val="Tahoma"/>
            <charset val="134"/>
          </rPr>
          <t>End Date:</t>
        </r>
        <r>
          <rPr>
            <sz val="9"/>
            <rFont val="Tahoma"/>
            <charset val="134"/>
          </rPr>
          <t xml:space="preserve">
The End Date is calculated based on the Start Date and the Calendar Days columns.</t>
        </r>
      </text>
    </comment>
    <comment ref="G7" authorId="0" shapeId="0" xr:uid="{00000000-0006-0000-0000-000007000000}">
      <text>
        <r>
          <rPr>
            <b/>
            <sz val="9"/>
            <rFont val="Tahoma"/>
            <charset val="134"/>
          </rPr>
          <t>Duration (Calendar Days)</t>
        </r>
        <r>
          <rPr>
            <sz val="9"/>
            <rFont val="Tahoma"/>
            <charset val="134"/>
          </rPr>
          <t xml:space="preserve">
The duration is the number of calendar days for the given task. The duration is calculated as the </t>
        </r>
        <r>
          <rPr>
            <b/>
            <sz val="9"/>
            <rFont val="Tahoma"/>
            <charset val="134"/>
          </rPr>
          <t>End</t>
        </r>
        <r>
          <rPr>
            <sz val="9"/>
            <rFont val="Tahoma"/>
            <charset val="134"/>
          </rPr>
          <t xml:space="preserve"> Date minus the </t>
        </r>
        <r>
          <rPr>
            <b/>
            <sz val="9"/>
            <rFont val="Tahoma"/>
            <charset val="134"/>
          </rPr>
          <t>Start</t>
        </r>
        <r>
          <rPr>
            <sz val="9"/>
            <rFont val="Tahoma"/>
            <charset val="134"/>
          </rPr>
          <t xml:space="preserve"> Date plus 1 day, so that a task starting and ending on the same day has a duration of 1 day.
</t>
        </r>
        <r>
          <rPr>
            <b/>
            <sz val="9"/>
            <rFont val="Tahoma"/>
            <charset val="134"/>
          </rPr>
          <t>Note:</t>
        </r>
        <r>
          <rPr>
            <sz val="9"/>
            <rFont val="Tahoma"/>
            <charset val="134"/>
          </rPr>
          <t xml:space="preserve"> The conditional formatting used to create the gantt chart references this column.</t>
        </r>
      </text>
    </comment>
    <comment ref="H7" authorId="0" shapeId="0" xr:uid="{00000000-0006-0000-0000-000008000000}">
      <text>
        <r>
          <rPr>
            <b/>
            <sz val="9"/>
            <rFont val="Tahoma"/>
            <charset val="134"/>
          </rPr>
          <t>Percent Complete</t>
        </r>
        <r>
          <rPr>
            <sz val="9"/>
            <rFont val="Tahoma"/>
            <charset val="134"/>
          </rPr>
          <t xml:space="preserve">
Update the status of this task by entering the percent complete (between 0% and 100%).</t>
        </r>
      </text>
    </comment>
    <comment ref="I7" authorId="0" shapeId="0" xr:uid="{00000000-0006-0000-0000-000009000000}">
      <text>
        <r>
          <rPr>
            <b/>
            <sz val="9"/>
            <rFont val="Tahoma"/>
            <charset val="134"/>
          </rPr>
          <t>Work Days</t>
        </r>
        <r>
          <rPr>
            <sz val="9"/>
            <rFont val="Tahoma"/>
            <charset val="134"/>
          </rPr>
          <t xml:space="preserve">
Counts the number of work days, excluding the weekends (Saturday and Sunday). In the PRO version, you can customize the work week and list specific non-working days like holidays. In the PRO version, the default input is the Work Days instead of the Calendar Days.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Vertex42</author>
  </authors>
  <commentList>
    <comment ref="C16" authorId="0" shapeId="0" xr:uid="{00000000-0006-0000-0200-000001000000}">
      <text>
        <r>
          <rPr>
            <sz val="8"/>
            <rFont val="Tahoma"/>
            <charset val="134"/>
          </rPr>
          <t>This is an example comment.</t>
        </r>
      </text>
    </comment>
  </commentList>
</comments>
</file>

<file path=xl/sharedStrings.xml><?xml version="1.0" encoding="utf-8"?>
<sst xmlns="http://schemas.openxmlformats.org/spreadsheetml/2006/main" count="293" uniqueCount="216">
  <si>
    <t>RICEF BY LEUWITEX</t>
  </si>
  <si>
    <t xml:space="preserve">Project Start Date </t>
  </si>
  <si>
    <t xml:space="preserve">Display Week </t>
  </si>
  <si>
    <t xml:space="preserve">Project Lead </t>
  </si>
  <si>
    <t>Billy</t>
  </si>
  <si>
    <t>WBS</t>
  </si>
  <si>
    <t>TASK</t>
  </si>
  <si>
    <t>PIC</t>
  </si>
  <si>
    <t>PREDECESSOR</t>
  </si>
  <si>
    <t>START</t>
  </si>
  <si>
    <t>END</t>
  </si>
  <si>
    <t>DAYS</t>
  </si>
  <si>
    <t>% DONE</t>
  </si>
  <si>
    <t>WORK DAYS</t>
  </si>
  <si>
    <t>Baim, Budi</t>
  </si>
  <si>
    <t>Baim</t>
  </si>
  <si>
    <t>Budi</t>
  </si>
  <si>
    <t>Report</t>
  </si>
  <si>
    <t>REPORT - WM - MOVING HISTORY - GUDANG GREY</t>
  </si>
  <si>
    <t>Billy, Baim</t>
  </si>
  <si>
    <t>REPORT - WM - STOCK PER BARCODE</t>
  </si>
  <si>
    <t>REPORT - WM - LAPORAN PERSEDIAAN GUDANG PACKING</t>
  </si>
  <si>
    <t>REPORT - WM - LAPORAN GUDANG PACKING LEAD TIME</t>
  </si>
  <si>
    <t>REPORT - WM - LIST KARTON PER KODE ORDER</t>
  </si>
  <si>
    <t>REPORT - WM - MOVING HISTORY PER BARCODE</t>
  </si>
  <si>
    <t>REPORT - WM - MOVING HISTORY PER LIST KARTON</t>
  </si>
  <si>
    <t>REPORT - MM - STOCK KAIN GREY (GRADE)</t>
  </si>
  <si>
    <t>Billy, Budi</t>
  </si>
  <si>
    <t>REPORT - MM - STOCK LEADTIME</t>
  </si>
  <si>
    <t>REPORT - MM - STOCK GREY LEAD TIME PER GRADE</t>
  </si>
  <si>
    <t>REPORT - MM - STOCK BALANCE KAIN GREY</t>
  </si>
  <si>
    <t>REPORT - MM - STOCK KAIN PASIF (ALL AREA)</t>
  </si>
  <si>
    <t>REPORT - MM - STOCK KAIN GREY (LW 22)</t>
  </si>
  <si>
    <t>REPORT - MM - REPORT RESERVASI</t>
  </si>
  <si>
    <t>REPORT - MM - REPORT PEMARTAIAN</t>
  </si>
  <si>
    <t>REPORT - MM - REPORT RESUME KODE PARTAI</t>
  </si>
  <si>
    <t>REPORT - MM - BBK INTERN</t>
  </si>
  <si>
    <t>REPORT - MM - Report Cancel Kain Masuk</t>
  </si>
  <si>
    <t>REPORT - MM - Report Cancel Kain Keluar</t>
  </si>
  <si>
    <t>REPORT - MM - List STK Intern dan Extern</t>
  </si>
  <si>
    <t>REPORT - MM - Laporan Surat Jalan Sloc</t>
  </si>
  <si>
    <t>REPORT - MM - Laporan Surat Jalan (P)</t>
  </si>
  <si>
    <t>REPORT - WM - DASHBOARD LAYOUT PER BIN</t>
  </si>
  <si>
    <t>REPORT - WM - MONITORING KAIN GREY</t>
  </si>
  <si>
    <t>REPORT - CO - REPORT COSTING</t>
  </si>
  <si>
    <t>REPORT - WM - DETAIL LIST KARTON PER RAK</t>
  </si>
  <si>
    <t>REPORT - MM - STK Blank Gd. Packing</t>
  </si>
  <si>
    <t>Interfaces</t>
  </si>
  <si>
    <t>INTERFACE BEA CUKAI</t>
  </si>
  <si>
    <t>INTERFACE PRINT BARCODE</t>
  </si>
  <si>
    <t>Billy, Baim, Budi</t>
  </si>
  <si>
    <t>INTERFACE PRINT BARCODE BANYAK LIST KARTON</t>
  </si>
  <si>
    <t>Forms</t>
  </si>
  <si>
    <t>Form Transfer Posting (ZSCMF001)</t>
  </si>
  <si>
    <t>Form Purchase Order (ZSCMF002)</t>
  </si>
  <si>
    <t>Form Good Receipt (ZSCMF003)</t>
  </si>
  <si>
    <t>Form Good Issue (ZSCMF004)</t>
  </si>
  <si>
    <t>Form Bukti Tanda Terima</t>
  </si>
  <si>
    <t>Enhancement</t>
  </si>
  <si>
    <t>Custom field for qty in PCS at Report Stock</t>
  </si>
  <si>
    <t>Gantt Chart Template Pro</t>
  </si>
  <si>
    <r>
      <rPr>
        <b/>
        <sz val="10"/>
        <rFont val="Arial"/>
        <charset val="134"/>
      </rPr>
      <t>Gantt Chart Template Pro</t>
    </r>
    <r>
      <rPr>
        <sz val="10"/>
        <rFont val="Arial"/>
        <charset val="134"/>
      </rPr>
      <t xml:space="preserve"> is similar to this free version, but</t>
    </r>
  </si>
  <si>
    <t>it is more feature-packed. It also comes with other bonus content.</t>
  </si>
  <si>
    <t>Learn About Gantt Chart Template Pro</t>
  </si>
  <si>
    <t>https://www.vertex42.com/ExcelTemplates/excel-gantt-chart.html</t>
  </si>
  <si>
    <t>The following link is a blog post that talks specifically about the</t>
  </si>
  <si>
    <t>Pro version for Excel Online.</t>
  </si>
  <si>
    <t>Gantt Chart Template Pro for Excel Online</t>
  </si>
  <si>
    <t>Benefits and Features of Gantt Chart Template Pro</t>
  </si>
  <si>
    <t>Simple Color-Coding</t>
  </si>
  <si>
    <t>The Pro version includes a column for specifying the color of bars in the chart. For example,</t>
  </si>
  <si>
    <t>you could change the color based on urgency or task lead.</t>
  </si>
  <si>
    <t>Daily, Weekly, or Monthly View</t>
  </si>
  <si>
    <t>The Pro version includes a drop-down next to the Display Week that lets you choose to display</t>
  </si>
  <si>
    <t>the columns in the chart area as days, weeks, or months.</t>
  </si>
  <si>
    <t>Use Work Days as an Input</t>
  </si>
  <si>
    <t>By default, the Pro version is set up to have you enter Work Days instead of Calendar Days.</t>
  </si>
  <si>
    <t>The expanded set of template rows provides more options for defining the Start date, End date,</t>
  </si>
  <si>
    <t>and Duration of tasks. Define a task based on …</t>
  </si>
  <si>
    <t xml:space="preserve"> - Start date and End date</t>
  </si>
  <si>
    <t xml:space="preserve"> - Start date and Work days</t>
  </si>
  <si>
    <t xml:space="preserve"> - Start date and Calendar days</t>
  </si>
  <si>
    <t>Easily Create Task Dependencies</t>
  </si>
  <si>
    <t>Though you can still use your own formulas for creating task dependencies, the Pro version</t>
  </si>
  <si>
    <t>includes template rows that calculate the Start date based on the WBS number that you enter</t>
  </si>
  <si>
    <t>in the Predecessor column.</t>
  </si>
  <si>
    <t>Exclude Holidays from Work Days</t>
  </si>
  <si>
    <t>List holidays and other specific non-working days that you want to exclude from work days.</t>
  </si>
  <si>
    <t>Customize Your Work Week</t>
  </si>
  <si>
    <t>The versions designed for Excel 2010+ use the WORKDAY.INTL() and NETWORKDAYS.INTL()</t>
  </si>
  <si>
    <t>functions that allow you define the work week as something other than Monday-Friday.</t>
  </si>
  <si>
    <t>Learn More About Gantt Chart Template Pro</t>
  </si>
  <si>
    <t>Help</t>
  </si>
  <si>
    <t>About This Template</t>
  </si>
  <si>
    <t>This Gantt Chart Template provides an easy way to create a simple project schedule. You only need to know some basic spreadsheet operations, such as how to insert, delete, copy and paste rows and cells. For more advanced uses, such as defining task dependencies, you will need to know how to enter formulas.</t>
  </si>
  <si>
    <t>Be sure to read the Getting Started Tips below. Watching the video demos for Gantt Chart Template Pro may also help you see how to use the spreadsheet.</t>
  </si>
  <si>
    <t>Watch Demo Videos of the Pro Version on Vertex42.com</t>
  </si>
  <si>
    <t>Please read the license agreement in the TermsOfUse worksheet to learn how you may or may not use and share this spreadsheet.</t>
  </si>
  <si>
    <t>Getting Started Tips</t>
  </si>
  <si>
    <t>• [Bracketed Text] is meant to be edited, like the project title and task descriptions.</t>
  </si>
  <si>
    <t>• Some of the labels include cell comments to provide extra information.</t>
  </si>
  <si>
    <t>Label</t>
  </si>
  <si>
    <t>• To adjust the range of dates shown in the Gantt chart, change the Display Week number.</t>
  </si>
  <si>
    <t>• The Project Start Date is used to define the first week shown in the gantt chart.</t>
  </si>
  <si>
    <t>• Insert new tasks using one of the methods listed below.</t>
  </si>
  <si>
    <t>• Define the task start date and duration (days) by editing the light green cells.</t>
  </si>
  <si>
    <t>Input Cell</t>
  </si>
  <si>
    <t>• If you see "#####" in a cell, widen the column to display the cell contents.</t>
  </si>
  <si>
    <r>
      <rPr>
        <sz val="11"/>
        <color rgb="FFFF0000"/>
        <rFont val="Arial"/>
        <charset val="134"/>
      </rPr>
      <t xml:space="preserve">• </t>
    </r>
    <r>
      <rPr>
        <b/>
        <sz val="11"/>
        <color rgb="FFFF0000"/>
        <rFont val="Arial"/>
        <charset val="134"/>
      </rPr>
      <t>Backup</t>
    </r>
    <r>
      <rPr>
        <sz val="11"/>
        <color rgb="FFFF0000"/>
        <rFont val="Arial"/>
        <charset val="134"/>
      </rPr>
      <t xml:space="preserve"> your file regularly to avoid losing data! Excel files get corrupted occasionally.</t>
    </r>
  </si>
  <si>
    <t>Inserting New Tasks (Rows)</t>
  </si>
  <si>
    <r>
      <rPr>
        <sz val="11"/>
        <rFont val="Arial"/>
        <charset val="134"/>
      </rPr>
      <t xml:space="preserve">When inserting and deleting tasks, you need to insert and delete </t>
    </r>
    <r>
      <rPr>
        <b/>
        <sz val="11"/>
        <rFont val="Arial"/>
        <charset val="134"/>
      </rPr>
      <t>entire rows</t>
    </r>
    <r>
      <rPr>
        <sz val="11"/>
        <rFont val="Arial"/>
        <charset val="134"/>
      </rPr>
      <t>. Some columns contain formulas (such as the End Date and the Work Days columns), so these formulas need to copied to the newly inserted rows.</t>
    </r>
  </si>
  <si>
    <t>METHOD 1 (recommended)</t>
  </si>
  <si>
    <t>• Insert a new blank row by right-clicking on the row number and selecting Insert.</t>
  </si>
  <si>
    <t>• With the new blank row selected, press Ctrl+d to copy the formulas and formatting down from the row above OR use the row drag handle to copy the formulas and formatting down.</t>
  </si>
  <si>
    <t>METHOD 2</t>
  </si>
  <si>
    <t>• Copy a row from the set of template rows at the bottom of the worksheet.</t>
  </si>
  <si>
    <t>• Right-click on the row where you want to insert the new task and select Insert Copied Cells.</t>
  </si>
  <si>
    <t>Method 2 will work, but Excel will split/fracture/duplicate conditional formatting rules rather than merging the rules. This can cause inefficiencies in very large and heavily modified files.</t>
  </si>
  <si>
    <t>Help improve Excel by voting on a suggestion to fix this problem.</t>
  </si>
  <si>
    <t>Using the Template Rows and Choosing a WBS Level</t>
  </si>
  <si>
    <t>The set of template rows at the bottom of the Gantt Chart worksheet provide examples of different ways to format and define tasks for different WBS levels.</t>
  </si>
  <si>
    <t>Each different WBS level uses a different formula in the WBS column.</t>
  </si>
  <si>
    <t>You can either copy/paste/insert these template rows via Method 2 as explained above, OR you can just copy/paste the desired WBS cell when you want to change the WBS level.</t>
  </si>
  <si>
    <t>If you leave a blank cell above a WBS number, the numbering will reset to 1.x.x. The formulas are meant for convenience, but you can manually enter the WBS numbers if you want to.</t>
  </si>
  <si>
    <t>You can indent the task description for sub-tasks by entering leading spaces or using the Indent feature in Excel.</t>
  </si>
  <si>
    <t>Creating Task Dependencies</t>
  </si>
  <si>
    <t>You can enter the Start date manually, or define task dependencies using a formula. Below are some common options for defining the Start date:</t>
  </si>
  <si>
    <t>A.</t>
  </si>
  <si>
    <t>Enter the date manually (e.g. 1/3/2015)</t>
  </si>
  <si>
    <t>B.</t>
  </si>
  <si>
    <t>Reference the Project Start Date (e.g. =$E$4 )</t>
  </si>
  <si>
    <t>C.</t>
  </si>
  <si>
    <t>Set the Start date to the next Work Day after another task's End date.</t>
  </si>
  <si>
    <r>
      <rPr>
        <sz val="11"/>
        <rFont val="Arial"/>
        <charset val="134"/>
      </rPr>
      <t>• Use the formula =WORKDAY(</t>
    </r>
    <r>
      <rPr>
        <i/>
        <sz val="11"/>
        <rFont val="Arial"/>
        <charset val="134"/>
      </rPr>
      <t>enddate</t>
    </r>
    <r>
      <rPr>
        <sz val="11"/>
        <rFont val="Arial"/>
        <charset val="134"/>
      </rPr>
      <t xml:space="preserve">,1) where </t>
    </r>
    <r>
      <rPr>
        <i/>
        <sz val="11"/>
        <rFont val="Arial"/>
        <charset val="134"/>
      </rPr>
      <t>enddate</t>
    </r>
    <r>
      <rPr>
        <sz val="11"/>
        <rFont val="Arial"/>
        <charset val="134"/>
      </rPr>
      <t xml:space="preserve"> is the reference to the End date of a predecessor task.</t>
    </r>
  </si>
  <si>
    <r>
      <rPr>
        <sz val="11"/>
        <rFont val="Arial"/>
        <charset val="134"/>
      </rPr>
      <t>• For multiple predecessors, the formula would be =MAX(WORKDAY(</t>
    </r>
    <r>
      <rPr>
        <i/>
        <sz val="11"/>
        <rFont val="Arial"/>
        <charset val="134"/>
      </rPr>
      <t>enddate1</t>
    </r>
    <r>
      <rPr>
        <sz val="11"/>
        <rFont val="Arial"/>
        <charset val="134"/>
      </rPr>
      <t>,1),WORKDAY(</t>
    </r>
    <r>
      <rPr>
        <i/>
        <sz val="11"/>
        <rFont val="Arial"/>
        <charset val="134"/>
      </rPr>
      <t>enddate2</t>
    </r>
    <r>
      <rPr>
        <sz val="11"/>
        <rFont val="Arial"/>
        <charset val="134"/>
      </rPr>
      <t>,1))</t>
    </r>
  </si>
  <si>
    <t>D.</t>
  </si>
  <si>
    <t>Set the Start date to the next Calendar Day after another task's End date.</t>
  </si>
  <si>
    <r>
      <rPr>
        <sz val="11"/>
        <rFont val="Arial"/>
        <charset val="134"/>
      </rPr>
      <t>• This formula is very simple: =</t>
    </r>
    <r>
      <rPr>
        <i/>
        <sz val="11"/>
        <rFont val="Arial"/>
        <charset val="134"/>
      </rPr>
      <t>enddate</t>
    </r>
    <r>
      <rPr>
        <sz val="11"/>
        <rFont val="Arial"/>
        <charset val="134"/>
      </rPr>
      <t>+1</t>
    </r>
  </si>
  <si>
    <r>
      <rPr>
        <sz val="11"/>
        <rFont val="Arial"/>
        <charset val="134"/>
      </rPr>
      <t>• For multiple predecessors, the formula would be =MAX(</t>
    </r>
    <r>
      <rPr>
        <i/>
        <sz val="11"/>
        <rFont val="Arial"/>
        <charset val="134"/>
      </rPr>
      <t>enddate1</t>
    </r>
    <r>
      <rPr>
        <sz val="11"/>
        <rFont val="Arial"/>
        <charset val="134"/>
      </rPr>
      <t>,</t>
    </r>
    <r>
      <rPr>
        <i/>
        <sz val="11"/>
        <rFont val="Arial"/>
        <charset val="134"/>
      </rPr>
      <t>enddate2</t>
    </r>
    <r>
      <rPr>
        <sz val="11"/>
        <rFont val="Arial"/>
        <charset val="134"/>
      </rPr>
      <t>,</t>
    </r>
    <r>
      <rPr>
        <i/>
        <sz val="11"/>
        <rFont val="Arial"/>
        <charset val="134"/>
      </rPr>
      <t>enddate3</t>
    </r>
    <r>
      <rPr>
        <sz val="11"/>
        <rFont val="Arial"/>
        <charset val="134"/>
      </rPr>
      <t>)+1</t>
    </r>
  </si>
  <si>
    <t>E.</t>
  </si>
  <si>
    <t>Set the Start date to a number of days before or after another date.</t>
  </si>
  <si>
    <r>
      <rPr>
        <sz val="11"/>
        <rFont val="Arial"/>
        <charset val="134"/>
      </rPr>
      <t>• This formula is just like the one in C or D, except that in place of the "1" you enter the number of days, such as =WORKDAY(</t>
    </r>
    <r>
      <rPr>
        <i/>
        <sz val="11"/>
        <rFont val="Arial"/>
        <charset val="134"/>
      </rPr>
      <t>enddate</t>
    </r>
    <r>
      <rPr>
        <sz val="11"/>
        <rFont val="Arial"/>
        <charset val="134"/>
      </rPr>
      <t>,5) or =WORKDAY(</t>
    </r>
    <r>
      <rPr>
        <i/>
        <sz val="11"/>
        <rFont val="Arial"/>
        <charset val="134"/>
      </rPr>
      <t>startdate</t>
    </r>
    <r>
      <rPr>
        <sz val="11"/>
        <rFont val="Arial"/>
        <charset val="134"/>
      </rPr>
      <t>,-5)</t>
    </r>
  </si>
  <si>
    <t>F.</t>
  </si>
  <si>
    <t>Use a lookup formula and the Predecessor column to define the start date.</t>
  </si>
  <si>
    <t>[The formulas for using this method are built into Gantt Chart Template Pro]</t>
  </si>
  <si>
    <t>Changing the Color of the Bars in the Gantt Chart</t>
  </si>
  <si>
    <t>[Advanced] The Gantt Chart is created using conditional formatting, so you can modify the conditional formatting rules to change the format to a different color. The Pro version includes a column where you can change the color by entering a color code ("b"=blue, "g"=green, etc.)</t>
  </si>
  <si>
    <t>FAQs</t>
  </si>
  <si>
    <t>Q:</t>
  </si>
  <si>
    <r>
      <rPr>
        <sz val="11"/>
        <color theme="4" tint="-0.249977111117893"/>
        <rFont val="Arial"/>
        <charset val="134"/>
      </rPr>
      <t xml:space="preserve">How do I enter the </t>
    </r>
    <r>
      <rPr>
        <b/>
        <sz val="11"/>
        <color theme="4" tint="-0.249977111117893"/>
        <rFont val="Arial"/>
        <charset val="134"/>
      </rPr>
      <t>Work Days</t>
    </r>
    <r>
      <rPr>
        <sz val="11"/>
        <color theme="4" tint="-0.249977111117893"/>
        <rFont val="Arial"/>
        <charset val="134"/>
      </rPr>
      <t xml:space="preserve"> instead of </t>
    </r>
    <r>
      <rPr>
        <b/>
        <sz val="11"/>
        <color theme="4" tint="-0.249977111117893"/>
        <rFont val="Arial"/>
        <charset val="134"/>
      </rPr>
      <t>Calendar Days</t>
    </r>
    <r>
      <rPr>
        <sz val="11"/>
        <color theme="4" tint="-0.249977111117893"/>
        <rFont val="Arial"/>
        <charset val="134"/>
      </rPr>
      <t>?</t>
    </r>
  </si>
  <si>
    <t>Entering work days instead of calendar days is a feature of the Pro version. There is nothing in the free version preventing you from entering your own formulas, though.</t>
  </si>
  <si>
    <r>
      <rPr>
        <sz val="11"/>
        <color theme="4" tint="-0.249977111117893"/>
        <rFont val="Arial"/>
        <charset val="134"/>
      </rPr>
      <t xml:space="preserve">How do I calculate Calendar Days after entering the </t>
    </r>
    <r>
      <rPr>
        <b/>
        <sz val="11"/>
        <color theme="4" tint="-0.249977111117893"/>
        <rFont val="Arial"/>
        <charset val="134"/>
      </rPr>
      <t>Start and End Dates</t>
    </r>
    <r>
      <rPr>
        <sz val="11"/>
        <color theme="4" tint="-0.249977111117893"/>
        <rFont val="Arial"/>
        <charset val="134"/>
      </rPr>
      <t>?</t>
    </r>
  </si>
  <si>
    <r>
      <rPr>
        <sz val="11"/>
        <rFont val="Arial"/>
        <charset val="134"/>
      </rPr>
      <t>You can calculate the duration in calendar days (including both start and end dates) using the formula =</t>
    </r>
    <r>
      <rPr>
        <i/>
        <sz val="11"/>
        <rFont val="Arial"/>
        <charset val="134"/>
      </rPr>
      <t>enddate</t>
    </r>
    <r>
      <rPr>
        <sz val="11"/>
        <rFont val="Arial"/>
        <charset val="134"/>
      </rPr>
      <t>-</t>
    </r>
    <r>
      <rPr>
        <i/>
        <sz val="11"/>
        <rFont val="Arial"/>
        <charset val="134"/>
      </rPr>
      <t>startdate</t>
    </r>
    <r>
      <rPr>
        <sz val="11"/>
        <rFont val="Arial"/>
        <charset val="134"/>
      </rPr>
      <t>+1</t>
    </r>
  </si>
  <si>
    <r>
      <rPr>
        <sz val="11"/>
        <color theme="4" tint="-0.249977111117893"/>
        <rFont val="Arial"/>
        <charset val="134"/>
      </rPr>
      <t xml:space="preserve">How do I change the </t>
    </r>
    <r>
      <rPr>
        <b/>
        <sz val="11"/>
        <color theme="4" tint="-0.249977111117893"/>
        <rFont val="Arial"/>
        <charset val="134"/>
      </rPr>
      <t>Print Settings</t>
    </r>
    <r>
      <rPr>
        <sz val="11"/>
        <color theme="4" tint="-0.249977111117893"/>
        <rFont val="Arial"/>
        <charset val="134"/>
      </rPr>
      <t>? (Excel 2010, 2013)</t>
    </r>
  </si>
  <si>
    <t>Select the entire range of cells you want to print and go to File &gt; Print Area &gt; Set Print Area. Then go to File &gt; Page Setup or File &gt; Print Preview and adjust the Scaling, Margins, and Page Orientation as desired.</t>
  </si>
  <si>
    <r>
      <rPr>
        <sz val="11"/>
        <color theme="4" tint="-0.249977111117893"/>
        <rFont val="Arial"/>
        <charset val="134"/>
      </rPr>
      <t xml:space="preserve">How do I increase the </t>
    </r>
    <r>
      <rPr>
        <b/>
        <sz val="11"/>
        <color theme="4" tint="-0.249977111117893"/>
        <rFont val="Arial"/>
        <charset val="134"/>
      </rPr>
      <t>range of dates</t>
    </r>
    <r>
      <rPr>
        <sz val="11"/>
        <color theme="4" tint="-0.249977111117893"/>
        <rFont val="Arial"/>
        <charset val="134"/>
      </rPr>
      <t xml:space="preserve"> displayed in the Gantt chart?</t>
    </r>
  </si>
  <si>
    <t>You will need to add columns to the right of the Gantt Chart via copy/paste. Copy and paste the columns in groups of 7. Afterwards, you will also probably need to update the print area.</t>
  </si>
  <si>
    <r>
      <rPr>
        <sz val="11"/>
        <color theme="4" tint="-0.249977111117893"/>
        <rFont val="Arial"/>
        <charset val="134"/>
      </rPr>
      <t xml:space="preserve">How do I create a summary row that shows the </t>
    </r>
    <r>
      <rPr>
        <b/>
        <sz val="11"/>
        <color theme="4" tint="-0.249977111117893"/>
        <rFont val="Arial"/>
        <charset val="134"/>
      </rPr>
      <t>MIN</t>
    </r>
    <r>
      <rPr>
        <sz val="11"/>
        <color theme="4" tint="-0.249977111117893"/>
        <rFont val="Arial"/>
        <charset val="134"/>
      </rPr>
      <t xml:space="preserve"> and </t>
    </r>
    <r>
      <rPr>
        <b/>
        <sz val="11"/>
        <color theme="4" tint="-0.249977111117893"/>
        <rFont val="Arial"/>
        <charset val="134"/>
      </rPr>
      <t>MAX</t>
    </r>
    <r>
      <rPr>
        <sz val="11"/>
        <color theme="4" tint="-0.249977111117893"/>
        <rFont val="Arial"/>
        <charset val="134"/>
      </rPr>
      <t xml:space="preserve"> dates for all sub-tasks?</t>
    </r>
  </si>
  <si>
    <r>
      <rPr>
        <sz val="11"/>
        <color rgb="FF000000"/>
        <rFont val="Arial"/>
        <charset val="134"/>
      </rPr>
      <t>In the Start column, use the formula =MIN(</t>
    </r>
    <r>
      <rPr>
        <i/>
        <sz val="11"/>
        <color rgb="FF000000"/>
        <rFont val="Arial"/>
        <charset val="134"/>
      </rPr>
      <t>range_of_start_dates</t>
    </r>
    <r>
      <rPr>
        <sz val="11"/>
        <color rgb="FF000000"/>
        <rFont val="Arial"/>
        <charset val="134"/>
      </rPr>
      <t>)</t>
    </r>
  </si>
  <si>
    <r>
      <rPr>
        <sz val="11"/>
        <color rgb="FF000000"/>
        <rFont val="Arial"/>
        <charset val="134"/>
      </rPr>
      <t>In the End column, use the formula =MAX(</t>
    </r>
    <r>
      <rPr>
        <i/>
        <sz val="11"/>
        <color rgb="FF000000"/>
        <rFont val="Arial"/>
        <charset val="134"/>
      </rPr>
      <t>range_of_end_dates</t>
    </r>
    <r>
      <rPr>
        <sz val="11"/>
        <color rgb="FF000000"/>
        <rFont val="Arial"/>
        <charset val="134"/>
      </rPr>
      <t>)</t>
    </r>
  </si>
  <si>
    <r>
      <rPr>
        <sz val="11"/>
        <color rgb="FF000000"/>
        <rFont val="Arial"/>
        <charset val="134"/>
      </rPr>
      <t>In the Days column, use the formula =</t>
    </r>
    <r>
      <rPr>
        <i/>
        <sz val="11"/>
        <color rgb="FF000000"/>
        <rFont val="Arial"/>
        <charset val="134"/>
      </rPr>
      <t>end_date</t>
    </r>
    <r>
      <rPr>
        <sz val="11"/>
        <color rgb="FF000000"/>
        <rFont val="Arial"/>
        <charset val="134"/>
      </rPr>
      <t>-</t>
    </r>
    <r>
      <rPr>
        <i/>
        <sz val="11"/>
        <color rgb="FF000000"/>
        <rFont val="Arial"/>
        <charset val="134"/>
      </rPr>
      <t>start_date</t>
    </r>
    <r>
      <rPr>
        <sz val="11"/>
        <color rgb="FF000000"/>
        <rFont val="Arial"/>
        <charset val="134"/>
      </rPr>
      <t>+1</t>
    </r>
  </si>
  <si>
    <r>
      <rPr>
        <sz val="11"/>
        <color theme="4" tint="-0.249977111117893"/>
        <rFont val="Arial"/>
        <charset val="134"/>
      </rPr>
      <t xml:space="preserve">How do I calculate the </t>
    </r>
    <r>
      <rPr>
        <b/>
        <sz val="11"/>
        <color theme="4" tint="-0.249977111117893"/>
        <rFont val="Arial"/>
        <charset val="134"/>
      </rPr>
      <t>%Complete</t>
    </r>
    <r>
      <rPr>
        <sz val="11"/>
        <color theme="4" tint="-0.249977111117893"/>
        <rFont val="Arial"/>
        <charset val="134"/>
      </rPr>
      <t xml:space="preserve"> for an entire category of tasks?</t>
    </r>
  </si>
  <si>
    <t>The %Complete for a group of tasks can be calculated from its sub tasks using the formula below, where "workdays" is a reference to the range of work day values and "complete" is a reference to the %complete for each of the subtasks.</t>
  </si>
  <si>
    <r>
      <rPr>
        <sz val="11"/>
        <rFont val="Arial"/>
        <charset val="134"/>
      </rPr>
      <t>=SUMPRODUCT(</t>
    </r>
    <r>
      <rPr>
        <i/>
        <sz val="11"/>
        <rFont val="Arial"/>
        <charset val="134"/>
      </rPr>
      <t>workdays</t>
    </r>
    <r>
      <rPr>
        <sz val="11"/>
        <rFont val="Arial"/>
        <charset val="134"/>
      </rPr>
      <t>,</t>
    </r>
    <r>
      <rPr>
        <i/>
        <sz val="11"/>
        <rFont val="Arial"/>
        <charset val="134"/>
      </rPr>
      <t>complete</t>
    </r>
    <r>
      <rPr>
        <sz val="11"/>
        <rFont val="Arial"/>
        <charset val="134"/>
      </rPr>
      <t>)/SUM(</t>
    </r>
    <r>
      <rPr>
        <i/>
        <sz val="11"/>
        <rFont val="Arial"/>
        <charset val="134"/>
      </rPr>
      <t>workdays</t>
    </r>
    <r>
      <rPr>
        <sz val="11"/>
        <rFont val="Arial"/>
        <charset val="134"/>
      </rPr>
      <t>)</t>
    </r>
  </si>
  <si>
    <t>Example: Let's say you have 3 sub tasks that are 10 days, 12 days, and 14 days long, respectively. If the first subtask is 50% complete and the others are 25% complete, you could calculate the overall percent complete for the group as: =(10*50%+12*25%+14*25%)/(10+12+14).</t>
  </si>
  <si>
    <r>
      <rPr>
        <sz val="11"/>
        <color theme="4" tint="-0.249977111117893"/>
        <rFont val="Arial"/>
        <charset val="134"/>
      </rPr>
      <t xml:space="preserve">I've </t>
    </r>
    <r>
      <rPr>
        <b/>
        <sz val="11"/>
        <color theme="4" tint="-0.249977111117893"/>
        <rFont val="Arial"/>
        <charset val="134"/>
      </rPr>
      <t>messed up</t>
    </r>
    <r>
      <rPr>
        <sz val="11"/>
        <color theme="4" tint="-0.249977111117893"/>
        <rFont val="Arial"/>
        <charset val="134"/>
      </rPr>
      <t xml:space="preserve"> the chart area somehow. How do I fix it?</t>
    </r>
  </si>
  <si>
    <t>Find a row that works, then copy the cells that make up the gantt chart area from that row into the row that is messed up.</t>
  </si>
  <si>
    <t>© 2006-2025 Vertex42 LLC</t>
  </si>
  <si>
    <t>Terms of Use</t>
  </si>
  <si>
    <t>Gantt Chart Template, by Vertex42.com</t>
  </si>
  <si>
    <t>This spreadsheet template, including all worksheets and associated content is a copyrighted work under the United States and other copyright laws.</t>
  </si>
  <si>
    <r>
      <rPr>
        <sz val="12"/>
        <rFont val="Arial"/>
        <charset val="134"/>
      </rPr>
      <t xml:space="preserve">You may download the spreadsheet template, make archival copies, and customize the template only for your </t>
    </r>
    <r>
      <rPr>
        <b/>
        <sz val="12"/>
        <rFont val="Arial"/>
        <charset val="134"/>
      </rPr>
      <t>personal use or use within your company or organization</t>
    </r>
    <r>
      <rPr>
        <sz val="12"/>
        <rFont val="Arial"/>
        <charset val="134"/>
      </rPr>
      <t xml:space="preserve"> and </t>
    </r>
    <r>
      <rPr>
        <b/>
        <sz val="12"/>
        <rFont val="Arial"/>
        <charset val="134"/>
      </rPr>
      <t>not</t>
    </r>
    <r>
      <rPr>
        <sz val="12"/>
        <rFont val="Arial"/>
        <charset val="134"/>
      </rPr>
      <t xml:space="preserve"> for resale or public sharing.</t>
    </r>
  </si>
  <si>
    <t>You may not remove or alter any Vertex42 logo, trademark, copyright, disclaimer, brand, terms of use, attribution, or other proprietary notices or marks within the template.</t>
  </si>
  <si>
    <t>The template and any file, document, or other work including or derived from the template may NOT be sold, distributed, published to an online gallery, hosted on a website, or placed on any server in a way that makes it available to the general public.</t>
  </si>
  <si>
    <r>
      <rPr>
        <b/>
        <sz val="12"/>
        <rFont val="Arial"/>
        <charset val="134"/>
      </rPr>
      <t>Limited Private Sharing and Other Allowed Uses</t>
    </r>
    <r>
      <rPr>
        <sz val="12"/>
        <rFont val="Arial"/>
        <charset val="134"/>
      </rPr>
      <t>: See the complete license agreement to learn more about how you may or may not use this template.</t>
    </r>
  </si>
  <si>
    <t>View the Complete License Agreement</t>
  </si>
  <si>
    <t>https://www.vertex42.com/licensing/EULA_privateuse.html</t>
  </si>
  <si>
    <t>SAP API development</t>
  </si>
  <si>
    <t>DASHBOARD LAYOUT PER BIN</t>
  </si>
  <si>
    <t>BBK INTERN</t>
  </si>
  <si>
    <t>DETAIL LIST KARTON PER RAK</t>
  </si>
  <si>
    <t>LAPORAN GUDANG PACKING LEAD TIME</t>
  </si>
  <si>
    <t>LAPORAN PERSEDIAAN GUDANG PACKING</t>
  </si>
  <si>
    <t>INSTALL ECLIPSE, ADOBE LIFECYCLE DI PC</t>
  </si>
  <si>
    <t>TANYA2 KE SOLTIUS TENTANG SAP</t>
  </si>
  <si>
    <t>INTEGRASI API SAP KE PRINT BARCODE INTERNAL</t>
  </si>
  <si>
    <t>MAPPING IT INVENTORY</t>
  </si>
  <si>
    <t>INTEGRASI API SAP UNTUK BEA CUKAI</t>
  </si>
  <si>
    <t>LAPORAN SURAT JALAN (P)</t>
  </si>
  <si>
    <t>LAPORAN SURAT JALAN SLOC</t>
  </si>
  <si>
    <t>LIST KARTON PER KODE ORDER</t>
  </si>
  <si>
    <t>LIST STK INTERN DAN EXTERN</t>
  </si>
  <si>
    <t>MONITORING KAIN GREY</t>
  </si>
  <si>
    <t>MOVING HISTORY PER LIST KARTON</t>
  </si>
  <si>
    <t>MOVING HISTORY PER LIST BARCODE</t>
  </si>
  <si>
    <t>REPORT CANCEL KAIN KELUAR</t>
  </si>
  <si>
    <t>REPORT CANCEL KAIN MASUK</t>
  </si>
  <si>
    <t>REPORT COSTING</t>
  </si>
  <si>
    <t>REPORT PEMARTAIAN</t>
  </si>
  <si>
    <t>REPORT RESERVASI</t>
  </si>
  <si>
    <t>REPORT RESUME KODE PARTAI</t>
  </si>
  <si>
    <t>STK BLANK GD. PACKING</t>
  </si>
  <si>
    <t>STOCK BALANCE KAIN GREY</t>
  </si>
  <si>
    <t>STOCK GREY LEAD TIME PER GRADE</t>
  </si>
  <si>
    <t>STOCK KAIN GREY (GRADE)</t>
  </si>
  <si>
    <t>STOCK KAIN GREY (LW 22)</t>
  </si>
  <si>
    <t>STOCK KAIN PASIF (ALL AREA)</t>
  </si>
  <si>
    <t>STOCK LEADTIME</t>
  </si>
  <si>
    <t>STOCK PER BARCODE</t>
  </si>
  <si>
    <t>MOVING HISTORY - GUDANG GREY</t>
  </si>
  <si>
    <t>MAPPING TABEL TAMBAHAN BEA CUKAI</t>
  </si>
  <si>
    <t>BELAJAR MENDAFTARKAN API SAP</t>
  </si>
  <si>
    <t>BELAJAR MENGEDIT FORM SAP</t>
  </si>
  <si>
    <t>Modifikasi Form Invoice (Barang Bekas, Avfal, BS, Maklon, Masker)</t>
  </si>
  <si>
    <t>Modifikasi Form Surat Jalan (Barang Bekas, Avfal, BS, Maklon, Masker)</t>
  </si>
  <si>
    <t>SIT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</si>
</sst>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dddd\)"/>
    <numFmt numFmtId="165" formatCode="ddd\ m/dd/yy"/>
    <numFmt numFmtId="166" formatCode="d\ mmm\ yyyy"/>
    <numFmt numFmtId="167" formatCode="d"/>
    <numFmt numFmtId="168" formatCode="ddd\ dd/m/yy"/>
  </numFmts>
  <fonts count="50">
    <font>
      <sz val="10"/>
      <name val="Arial"/>
      <charset val="134"/>
    </font>
    <font>
      <sz val="18"/>
      <color theme="4" tint="-0.249977111117893"/>
      <name val="Arial"/>
      <charset val="134"/>
    </font>
    <font>
      <sz val="12"/>
      <name val="Arial"/>
      <charset val="134"/>
    </font>
    <font>
      <u/>
      <sz val="11"/>
      <color indexed="12"/>
      <name val="Arial"/>
      <charset val="134"/>
    </font>
    <font>
      <b/>
      <sz val="12"/>
      <name val="Arial"/>
      <charset val="134"/>
    </font>
    <font>
      <u/>
      <sz val="12"/>
      <color indexed="12"/>
      <name val="Arial"/>
      <charset val="134"/>
    </font>
    <font>
      <sz val="18"/>
      <color theme="3"/>
      <name val="Arial"/>
      <charset val="134"/>
    </font>
    <font>
      <sz val="8"/>
      <name val="Arial"/>
      <charset val="134"/>
    </font>
    <font>
      <sz val="14"/>
      <color theme="4" tint="-0.249977111117893"/>
      <name val="Arial"/>
      <charset val="134"/>
    </font>
    <font>
      <b/>
      <sz val="12"/>
      <color theme="4" tint="-0.249977111117893"/>
      <name val="Arial"/>
      <charset val="134"/>
    </font>
    <font>
      <sz val="11"/>
      <name val="Arial"/>
      <charset val="134"/>
    </font>
    <font>
      <sz val="14"/>
      <name val="Arial"/>
      <charset val="134"/>
    </font>
    <font>
      <sz val="11"/>
      <color rgb="FFFF0000"/>
      <name val="Arial"/>
      <charset val="134"/>
    </font>
    <font>
      <b/>
      <sz val="10"/>
      <name val="Arial"/>
      <charset val="134"/>
    </font>
    <font>
      <b/>
      <sz val="11"/>
      <color theme="4" tint="-0.249977111117893"/>
      <name val="Arial"/>
      <charset val="134"/>
    </font>
    <font>
      <sz val="11"/>
      <color rgb="FF000000"/>
      <name val="Arial"/>
      <charset val="134"/>
    </font>
    <font>
      <sz val="11"/>
      <color theme="4" tint="-0.249977111117893"/>
      <name val="Arial"/>
      <charset val="134"/>
    </font>
    <font>
      <b/>
      <sz val="11"/>
      <name val="Arial"/>
      <charset val="134"/>
    </font>
    <font>
      <u/>
      <sz val="14"/>
      <color indexed="12"/>
      <name val="Arial"/>
      <charset val="134"/>
    </font>
    <font>
      <i/>
      <sz val="8"/>
      <name val="Arial"/>
      <charset val="134"/>
    </font>
    <font>
      <sz val="9"/>
      <name val="Arial"/>
      <charset val="134"/>
      <scheme val="minor"/>
    </font>
    <font>
      <sz val="16"/>
      <color theme="4" tint="-0.249977111117893"/>
      <name val="Arial"/>
      <charset val="134"/>
      <scheme val="major"/>
    </font>
    <font>
      <sz val="14"/>
      <color indexed="56"/>
      <name val="Arial"/>
      <charset val="134"/>
    </font>
    <font>
      <sz val="11"/>
      <name val="Arial"/>
      <charset val="134"/>
      <scheme val="major"/>
    </font>
    <font>
      <sz val="9"/>
      <name val="Arial"/>
      <charset val="134"/>
    </font>
    <font>
      <u/>
      <sz val="8"/>
      <color indexed="12"/>
      <name val="Arial"/>
      <charset val="134"/>
    </font>
    <font>
      <sz val="7"/>
      <color indexed="55"/>
      <name val="Arial"/>
      <charset val="134"/>
    </font>
    <font>
      <sz val="10"/>
      <name val="Arial"/>
      <charset val="134"/>
      <scheme val="major"/>
    </font>
    <font>
      <sz val="10"/>
      <name val="Arial"/>
      <charset val="134"/>
      <scheme val="minor"/>
    </font>
    <font>
      <b/>
      <sz val="9"/>
      <name val="Arial"/>
      <charset val="134"/>
      <scheme val="major"/>
    </font>
    <font>
      <b/>
      <sz val="8"/>
      <name val="Arial"/>
      <charset val="134"/>
      <scheme val="major"/>
    </font>
    <font>
      <b/>
      <sz val="11"/>
      <name val="Arial"/>
      <charset val="134"/>
      <scheme val="minor"/>
    </font>
    <font>
      <sz val="9"/>
      <color rgb="FF000000"/>
      <name val="Arial"/>
      <charset val="134"/>
      <scheme val="minor"/>
    </font>
    <font>
      <i/>
      <sz val="8"/>
      <color theme="0" tint="-0.34998626667073579"/>
      <name val="Arial"/>
      <charset val="134"/>
    </font>
    <font>
      <u/>
      <sz val="10"/>
      <color indexed="12"/>
      <name val="Arial"/>
      <charset val="134"/>
    </font>
    <font>
      <sz val="11"/>
      <name val="Arial"/>
      <charset val="134"/>
      <scheme val="minor"/>
    </font>
    <font>
      <sz val="14"/>
      <name val="Arial"/>
      <charset val="134"/>
      <scheme val="minor"/>
    </font>
    <font>
      <sz val="14"/>
      <color rgb="FF000000"/>
      <name val="Arial"/>
      <charset val="134"/>
      <scheme val="minor"/>
    </font>
    <font>
      <sz val="11"/>
      <color indexed="8"/>
      <name val="Calibri"/>
      <charset val="134"/>
    </font>
    <font>
      <i/>
      <sz val="11"/>
      <name val="Arial"/>
      <charset val="134"/>
    </font>
    <font>
      <i/>
      <sz val="11"/>
      <color rgb="FF000000"/>
      <name val="Arial"/>
      <charset val="134"/>
    </font>
    <font>
      <b/>
      <sz val="11"/>
      <color rgb="FFFF0000"/>
      <name val="Arial"/>
      <charset val="134"/>
    </font>
    <font>
      <b/>
      <sz val="9"/>
      <name val="Tahoma"/>
      <charset val="134"/>
    </font>
    <font>
      <b/>
      <i/>
      <sz val="9"/>
      <name val="Tahoma"/>
      <charset val="134"/>
    </font>
    <font>
      <sz val="9"/>
      <name val="Tahoma"/>
      <charset val="134"/>
    </font>
    <font>
      <i/>
      <sz val="9"/>
      <name val="Tahoma"/>
      <charset val="134"/>
    </font>
    <font>
      <sz val="8"/>
      <name val="Tahoma"/>
      <charset val="134"/>
    </font>
    <font>
      <sz val="10"/>
      <name val="Arial"/>
      <charset val="134"/>
    </font>
    <font>
      <sz val="9"/>
      <name val="Arial"/>
      <family val="2"/>
      <scheme val="minor"/>
    </font>
    <font>
      <sz val="10"/>
      <name val="Arial"/>
      <family val="2"/>
      <scheme val="major"/>
    </font>
  </fonts>
  <fills count="8">
    <fill>
      <patternFill patternType="none"/>
    </fill>
    <fill>
      <patternFill patternType="gray125"/>
    </fill>
    <fill>
      <patternFill patternType="solid">
        <fgColor indexed="22"/>
        <bgColor indexed="64"/>
      </patternFill>
    </fill>
    <fill>
      <patternFill patternType="solid">
        <fgColor theme="3" tint="0.79992065187536243"/>
        <bgColor indexed="64"/>
      </patternFill>
    </fill>
    <fill>
      <patternFill patternType="solid">
        <fgColor theme="0" tint="-0.14993743705557422"/>
        <bgColor indexed="64"/>
      </patternFill>
    </fill>
    <fill>
      <patternFill patternType="solid">
        <fgColor indexed="9"/>
        <bgColor indexed="64"/>
      </patternFill>
    </fill>
    <fill>
      <patternFill patternType="solid">
        <fgColor theme="3" tint="0.79992065187536243"/>
        <bgColor rgb="FFD6F4D9"/>
      </patternFill>
    </fill>
    <fill>
      <patternFill patternType="solid">
        <fgColor theme="0"/>
        <bgColor indexed="64"/>
      </patternFill>
    </fill>
  </fills>
  <borders count="15">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indexed="22"/>
      </top>
      <bottom style="thin">
        <color indexed="22"/>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bottom style="medium">
        <color theme="0" tint="-0.34998626667073579"/>
      </bottom>
      <diagonal/>
    </border>
    <border>
      <left/>
      <right/>
      <top/>
      <bottom style="thin">
        <color indexed="22"/>
      </bottom>
      <diagonal/>
    </border>
    <border>
      <left/>
      <right/>
      <top style="thin">
        <color rgb="FFEFEFEF"/>
      </top>
      <bottom style="thin">
        <color rgb="FFEFEFEF"/>
      </bottom>
      <diagonal/>
    </border>
    <border>
      <left style="medium">
        <color theme="0" tint="-0.24994659260841701"/>
      </left>
      <right style="thin">
        <color theme="0" tint="-0.24994659260841701"/>
      </right>
      <top/>
      <bottom/>
      <diagonal/>
    </border>
    <border>
      <left style="thin">
        <color theme="0" tint="-0.24994659260841701"/>
      </left>
      <right style="thin">
        <color theme="0" tint="-0.24994659260841701"/>
      </right>
      <top/>
      <bottom/>
      <diagonal/>
    </border>
    <border>
      <left style="medium">
        <color theme="0" tint="-0.24994659260841701"/>
      </left>
      <right style="thin">
        <color theme="0" tint="-0.24994659260841701"/>
      </right>
      <top/>
      <bottom style="medium">
        <color theme="0" tint="-0.34998626667073579"/>
      </bottom>
      <diagonal/>
    </border>
    <border>
      <left style="thin">
        <color theme="0" tint="-0.24994659260841701"/>
      </left>
      <right style="thin">
        <color theme="0" tint="-0.24994659260841701"/>
      </right>
      <top/>
      <bottom style="medium">
        <color theme="0" tint="-0.34998626667073579"/>
      </bottom>
      <diagonal/>
    </border>
    <border>
      <left style="thin">
        <color theme="0" tint="-0.24994659260841701"/>
      </left>
      <right style="medium">
        <color theme="0" tint="-0.24994659260841701"/>
      </right>
      <top/>
      <bottom/>
      <diagonal/>
    </border>
    <border>
      <left style="thin">
        <color theme="0" tint="-0.24994659260841701"/>
      </left>
      <right style="medium">
        <color theme="0" tint="-0.24994659260841701"/>
      </right>
      <top/>
      <bottom style="medium">
        <color theme="0" tint="-0.34998626667073579"/>
      </bottom>
      <diagonal/>
    </border>
  </borders>
  <cellStyleXfs count="3">
    <xf numFmtId="0" fontId="0" fillId="0" borderId="0"/>
    <xf numFmtId="9" fontId="47" fillId="0" borderId="0" applyFont="0" applyFill="0" applyBorder="0" applyAlignment="0" applyProtection="0"/>
    <xf numFmtId="0" fontId="34" fillId="0" borderId="0" applyNumberFormat="0" applyFill="0" applyBorder="0" applyAlignment="0" applyProtection="0">
      <alignment vertical="top"/>
      <protection locked="0"/>
    </xf>
  </cellStyleXfs>
  <cellXfs count="114">
    <xf numFmtId="0" fontId="0" fillId="0" borderId="0" xfId="0"/>
    <xf numFmtId="0" fontId="1" fillId="0" borderId="0" xfId="0" applyFont="1" applyAlignment="1">
      <alignment horizontal="left" vertical="center"/>
    </xf>
    <xf numFmtId="0" fontId="2" fillId="0" borderId="0" xfId="0" applyFont="1" applyAlignment="1">
      <alignment horizontal="left" wrapText="1"/>
    </xf>
    <xf numFmtId="0" fontId="0" fillId="0" borderId="1" xfId="0" applyBorder="1"/>
    <xf numFmtId="0" fontId="2" fillId="0" borderId="1" xfId="0" applyFont="1" applyBorder="1" applyAlignment="1">
      <alignment horizontal="left" wrapText="1"/>
    </xf>
    <xf numFmtId="0" fontId="0" fillId="0" borderId="2" xfId="0" applyBorder="1"/>
    <xf numFmtId="0" fontId="3" fillId="0" borderId="1" xfId="2" applyFont="1" applyBorder="1" applyAlignment="1" applyProtection="1">
      <alignment wrapText="1"/>
    </xf>
    <xf numFmtId="0" fontId="2" fillId="0" borderId="2" xfId="0" applyFont="1" applyBorder="1" applyAlignment="1">
      <alignment horizontal="left" wrapText="1"/>
    </xf>
    <xf numFmtId="0" fontId="4" fillId="0" borderId="2" xfId="0" applyFont="1" applyBorder="1" applyAlignment="1">
      <alignment horizontal="left" wrapText="1"/>
    </xf>
    <xf numFmtId="0" fontId="5" fillId="0" borderId="2" xfId="2" applyFont="1" applyBorder="1" applyAlignment="1" applyProtection="1">
      <alignment horizontal="left" wrapText="1"/>
    </xf>
    <xf numFmtId="0" fontId="2" fillId="0" borderId="2" xfId="0" applyFont="1" applyBorder="1" applyAlignment="1">
      <alignment horizontal="left"/>
    </xf>
    <xf numFmtId="0" fontId="0" fillId="0" borderId="0" xfId="0" applyAlignment="1">
      <alignment vertical="center"/>
    </xf>
    <xf numFmtId="0" fontId="6" fillId="0" borderId="0" xfId="0" applyFont="1" applyAlignment="1">
      <alignment horizontal="left" vertical="center"/>
    </xf>
    <xf numFmtId="0" fontId="3" fillId="0" borderId="0" xfId="2" applyFont="1" applyAlignment="1" applyProtection="1"/>
    <xf numFmtId="0" fontId="7" fillId="0" borderId="0" xfId="0" applyFont="1" applyAlignment="1">
      <alignment horizontal="right"/>
    </xf>
    <xf numFmtId="0" fontId="8" fillId="0" borderId="0" xfId="0" applyFont="1"/>
    <xf numFmtId="0" fontId="9" fillId="0" borderId="0" xfId="0" applyFont="1"/>
    <xf numFmtId="0" fontId="10" fillId="0" borderId="0" xfId="0" applyFont="1" applyAlignment="1">
      <alignment horizontal="left" wrapText="1"/>
    </xf>
    <xf numFmtId="0" fontId="10" fillId="0" borderId="0" xfId="0" applyFont="1" applyAlignment="1">
      <alignment wrapText="1"/>
    </xf>
    <xf numFmtId="0" fontId="11" fillId="0" borderId="0" xfId="0" applyFont="1" applyAlignment="1">
      <alignment vertical="center"/>
    </xf>
    <xf numFmtId="0" fontId="10" fillId="0" borderId="0" xfId="0" applyFont="1" applyAlignment="1">
      <alignment vertical="center" wrapText="1"/>
    </xf>
    <xf numFmtId="0" fontId="0" fillId="2" borderId="0" xfId="0" applyFill="1" applyAlignment="1">
      <alignment horizontal="center" vertical="center"/>
    </xf>
    <xf numFmtId="0" fontId="11" fillId="0" borderId="0" xfId="0" applyFont="1"/>
    <xf numFmtId="0" fontId="0" fillId="3" borderId="0" xfId="0" applyFill="1" applyAlignment="1">
      <alignment horizontal="center" vertical="center"/>
    </xf>
    <xf numFmtId="0" fontId="12" fillId="0" borderId="0" xfId="0" applyFont="1" applyAlignment="1">
      <alignment vertical="center" wrapText="1"/>
    </xf>
    <xf numFmtId="0" fontId="13" fillId="0" borderId="0" xfId="0" applyFont="1"/>
    <xf numFmtId="0" fontId="14" fillId="0" borderId="0" xfId="0" applyFont="1"/>
    <xf numFmtId="0" fontId="3" fillId="0" borderId="0" xfId="2" applyFont="1" applyFill="1" applyBorder="1" applyAlignment="1" applyProtection="1">
      <alignment vertical="center"/>
    </xf>
    <xf numFmtId="0" fontId="7" fillId="0" borderId="0" xfId="0" applyFont="1" applyAlignment="1">
      <alignment wrapText="1"/>
    </xf>
    <xf numFmtId="0" fontId="15" fillId="0" borderId="0" xfId="0" applyFont="1" applyAlignment="1">
      <alignment horizontal="right"/>
    </xf>
    <xf numFmtId="0" fontId="10" fillId="0" borderId="0" xfId="0" applyFont="1"/>
    <xf numFmtId="0" fontId="0" fillId="0" borderId="0" xfId="0" applyAlignment="1">
      <alignment horizontal="left" wrapText="1" indent="1"/>
    </xf>
    <xf numFmtId="0" fontId="14" fillId="0" borderId="0" xfId="0" applyFont="1" applyAlignment="1">
      <alignment horizontal="right"/>
    </xf>
    <xf numFmtId="0" fontId="16" fillId="0" borderId="0" xfId="0" applyFont="1" applyAlignment="1">
      <alignment vertical="center" wrapText="1"/>
    </xf>
    <xf numFmtId="0" fontId="10" fillId="0" borderId="0" xfId="0" applyFont="1" applyAlignment="1">
      <alignment horizontal="left" vertical="center" wrapText="1"/>
    </xf>
    <xf numFmtId="0" fontId="10" fillId="0" borderId="0" xfId="0" applyFont="1" applyAlignment="1">
      <alignment horizontal="left" indent="1"/>
    </xf>
    <xf numFmtId="0" fontId="16" fillId="0" borderId="0" xfId="0" applyFont="1"/>
    <xf numFmtId="0" fontId="15" fillId="0" borderId="0" xfId="0" applyFont="1" applyAlignment="1">
      <alignment horizontal="left" wrapText="1"/>
    </xf>
    <xf numFmtId="0" fontId="17" fillId="0" borderId="0" xfId="0" applyFont="1" applyAlignment="1">
      <alignment horizontal="left" indent="1"/>
    </xf>
    <xf numFmtId="0" fontId="7" fillId="0" borderId="0" xfId="0" applyFont="1" applyAlignment="1">
      <alignment horizontal="left" vertical="center"/>
    </xf>
    <xf numFmtId="0" fontId="1" fillId="0" borderId="0" xfId="0" applyFont="1" applyAlignment="1">
      <alignment vertical="center"/>
    </xf>
    <xf numFmtId="0" fontId="18" fillId="0" borderId="0" xfId="2" applyFont="1" applyAlignment="1" applyProtection="1"/>
    <xf numFmtId="0" fontId="19" fillId="0" borderId="0" xfId="0" applyFont="1"/>
    <xf numFmtId="0" fontId="17" fillId="0" borderId="0" xfId="0" applyFont="1"/>
    <xf numFmtId="0" fontId="20" fillId="4" borderId="3" xfId="0" applyFont="1" applyFill="1" applyBorder="1" applyAlignment="1">
      <alignment vertical="center"/>
    </xf>
    <xf numFmtId="0" fontId="20" fillId="0" borderId="3" xfId="0" applyFont="1" applyBorder="1" applyAlignment="1">
      <alignment vertical="center"/>
    </xf>
    <xf numFmtId="0" fontId="21" fillId="0" borderId="0" xfId="0" applyFont="1" applyAlignment="1" applyProtection="1">
      <alignment vertical="center"/>
      <protection locked="0"/>
    </xf>
    <xf numFmtId="0" fontId="22" fillId="0" borderId="0" xfId="0" applyFont="1" applyAlignment="1" applyProtection="1">
      <alignment vertical="center"/>
      <protection locked="0"/>
    </xf>
    <xf numFmtId="0" fontId="23" fillId="0" borderId="0" xfId="0" applyFont="1" applyAlignment="1" applyProtection="1">
      <alignment vertical="center"/>
      <protection locked="0"/>
    </xf>
    <xf numFmtId="0" fontId="24" fillId="0" borderId="0" xfId="0" applyFont="1" applyProtection="1">
      <protection locked="0"/>
    </xf>
    <xf numFmtId="0" fontId="25" fillId="5" borderId="0" xfId="2" applyNumberFormat="1" applyFont="1" applyFill="1" applyAlignment="1" applyProtection="1">
      <alignment horizontal="right"/>
      <protection locked="0"/>
    </xf>
    <xf numFmtId="0" fontId="26" fillId="0" borderId="0" xfId="0" applyFont="1" applyProtection="1">
      <protection locked="0"/>
    </xf>
    <xf numFmtId="0" fontId="0" fillId="5" borderId="0" xfId="0" applyFill="1"/>
    <xf numFmtId="0" fontId="27" fillId="0" borderId="0" xfId="0" applyFont="1"/>
    <xf numFmtId="0" fontId="27" fillId="0" borderId="0" xfId="0" applyFont="1" applyAlignment="1">
      <alignment horizontal="right" vertical="center"/>
    </xf>
    <xf numFmtId="0" fontId="28" fillId="0" borderId="4" xfId="0" applyFont="1" applyBorder="1" applyAlignment="1" applyProtection="1">
      <alignment horizontal="center" vertical="center"/>
      <protection locked="0"/>
    </xf>
    <xf numFmtId="0" fontId="29" fillId="0" borderId="6" xfId="0" applyFont="1" applyBorder="1" applyAlignment="1">
      <alignment horizontal="left" vertical="center"/>
    </xf>
    <xf numFmtId="0" fontId="29" fillId="0" borderId="6" xfId="0" applyFont="1" applyBorder="1" applyAlignment="1">
      <alignment horizontal="center" vertical="center" wrapText="1"/>
    </xf>
    <xf numFmtId="0" fontId="30" fillId="0" borderId="6" xfId="0" applyFont="1" applyBorder="1" applyAlignment="1">
      <alignment horizontal="center" vertical="center" wrapText="1"/>
    </xf>
    <xf numFmtId="0" fontId="29" fillId="0" borderId="6" xfId="0" applyFont="1" applyBorder="1" applyAlignment="1">
      <alignment horizontal="center" vertical="center"/>
    </xf>
    <xf numFmtId="0" fontId="31" fillId="4" borderId="7" xfId="0" applyFont="1" applyFill="1" applyBorder="1" applyAlignment="1">
      <alignment horizontal="left" vertical="center"/>
    </xf>
    <xf numFmtId="0" fontId="31" fillId="4" borderId="7" xfId="0" applyFont="1" applyFill="1" applyBorder="1" applyAlignment="1">
      <alignment vertical="center"/>
    </xf>
    <xf numFmtId="0" fontId="20" fillId="4" borderId="7" xfId="0" applyFont="1" applyFill="1" applyBorder="1" applyAlignment="1">
      <alignment vertical="center"/>
    </xf>
    <xf numFmtId="0" fontId="20" fillId="4" borderId="7" xfId="0" applyFont="1" applyFill="1" applyBorder="1" applyAlignment="1">
      <alignment horizontal="center" vertical="center"/>
    </xf>
    <xf numFmtId="1" fontId="20" fillId="4" borderId="7" xfId="1" applyNumberFormat="1" applyFont="1" applyFill="1" applyBorder="1" applyAlignment="1" applyProtection="1">
      <alignment horizontal="center" vertical="center"/>
    </xf>
    <xf numFmtId="9" fontId="20" fillId="4" borderId="7" xfId="1" applyFont="1" applyFill="1" applyBorder="1" applyAlignment="1" applyProtection="1">
      <alignment horizontal="center" vertical="center"/>
    </xf>
    <xf numFmtId="0" fontId="20" fillId="0" borderId="3" xfId="0" applyFont="1" applyBorder="1" applyAlignment="1">
      <alignment horizontal="left" vertical="center"/>
    </xf>
    <xf numFmtId="0" fontId="20" fillId="0" borderId="3" xfId="0" applyFont="1" applyBorder="1" applyAlignment="1">
      <alignment vertical="center" wrapText="1"/>
    </xf>
    <xf numFmtId="0" fontId="32" fillId="0" borderId="8" xfId="0" applyFont="1" applyBorder="1" applyAlignment="1">
      <alignment horizontal="center" vertical="center"/>
    </xf>
    <xf numFmtId="165" fontId="32" fillId="6" borderId="8" xfId="0" applyNumberFormat="1" applyFont="1" applyFill="1" applyBorder="1" applyAlignment="1">
      <alignment horizontal="center" vertical="center"/>
    </xf>
    <xf numFmtId="165" fontId="32" fillId="0" borderId="8" xfId="0" applyNumberFormat="1" applyFont="1" applyBorder="1" applyAlignment="1">
      <alignment horizontal="center" vertical="center"/>
    </xf>
    <xf numFmtId="1" fontId="32" fillId="3" borderId="8" xfId="0" applyNumberFormat="1" applyFont="1" applyFill="1" applyBorder="1" applyAlignment="1">
      <alignment horizontal="center" vertical="center"/>
    </xf>
    <xf numFmtId="9" fontId="32" fillId="3" borderId="8" xfId="1" applyFont="1" applyFill="1" applyBorder="1" applyAlignment="1" applyProtection="1">
      <alignment horizontal="center" vertical="center"/>
    </xf>
    <xf numFmtId="0" fontId="31" fillId="4" borderId="3" xfId="0" applyFont="1" applyFill="1" applyBorder="1" applyAlignment="1">
      <alignment horizontal="left" vertical="center"/>
    </xf>
    <xf numFmtId="0" fontId="31" fillId="4" borderId="3" xfId="0" applyFont="1" applyFill="1" applyBorder="1" applyAlignment="1">
      <alignment vertical="center"/>
    </xf>
    <xf numFmtId="0" fontId="20" fillId="4" borderId="3" xfId="0" applyFont="1" applyFill="1" applyBorder="1" applyAlignment="1">
      <alignment horizontal="center" vertical="center"/>
    </xf>
    <xf numFmtId="165" fontId="20" fillId="4" borderId="3" xfId="0" applyNumberFormat="1" applyFont="1" applyFill="1" applyBorder="1" applyAlignment="1">
      <alignment horizontal="center" vertical="center"/>
    </xf>
    <xf numFmtId="1" fontId="20" fillId="4" borderId="3" xfId="1" applyNumberFormat="1" applyFont="1" applyFill="1" applyBorder="1" applyAlignment="1" applyProtection="1">
      <alignment horizontal="center" vertical="center"/>
    </xf>
    <xf numFmtId="9" fontId="20" fillId="4" borderId="3" xfId="1" applyFont="1" applyFill="1" applyBorder="1" applyAlignment="1" applyProtection="1">
      <alignment horizontal="center" vertical="center"/>
    </xf>
    <xf numFmtId="0" fontId="0" fillId="0" borderId="0" xfId="0" applyAlignment="1">
      <alignment horizontal="right" vertical="center"/>
    </xf>
    <xf numFmtId="0" fontId="34" fillId="0" borderId="0" xfId="2" applyAlignment="1" applyProtection="1">
      <alignment horizontal="left"/>
    </xf>
    <xf numFmtId="167" fontId="7" fillId="0" borderId="9" xfId="0" applyNumberFormat="1" applyFont="1" applyBorder="1" applyAlignment="1">
      <alignment horizontal="center" vertical="center" shrinkToFit="1"/>
    </xf>
    <xf numFmtId="167" fontId="7" fillId="0" borderId="10" xfId="0" applyNumberFormat="1" applyFont="1" applyBorder="1" applyAlignment="1">
      <alignment horizontal="center" vertical="center" shrinkToFit="1"/>
    </xf>
    <xf numFmtId="0" fontId="20" fillId="0" borderId="11" xfId="0" applyFont="1" applyBorder="1" applyAlignment="1">
      <alignment horizontal="center" vertical="center" shrinkToFit="1"/>
    </xf>
    <xf numFmtId="0" fontId="20" fillId="0" borderId="12" xfId="0" applyFont="1" applyBorder="1" applyAlignment="1">
      <alignment horizontal="center" vertical="center" shrinkToFit="1"/>
    </xf>
    <xf numFmtId="1" fontId="20" fillId="4" borderId="7" xfId="0" applyNumberFormat="1" applyFont="1" applyFill="1" applyBorder="1" applyAlignment="1">
      <alignment horizontal="center" vertical="center"/>
    </xf>
    <xf numFmtId="1" fontId="36" fillId="4" borderId="7" xfId="0" applyNumberFormat="1" applyFont="1" applyFill="1" applyBorder="1" applyAlignment="1">
      <alignment horizontal="center" vertical="center"/>
    </xf>
    <xf numFmtId="0" fontId="20" fillId="4" borderId="7" xfId="0" applyFont="1" applyFill="1" applyBorder="1" applyAlignment="1">
      <alignment horizontal="left" vertical="center"/>
    </xf>
    <xf numFmtId="1" fontId="32" fillId="0" borderId="8" xfId="0" applyNumberFormat="1" applyFont="1" applyBorder="1" applyAlignment="1">
      <alignment horizontal="center" vertical="center"/>
    </xf>
    <xf numFmtId="1" fontId="37" fillId="0" borderId="8" xfId="0" applyNumberFormat="1" applyFont="1" applyBorder="1" applyAlignment="1">
      <alignment horizontal="center" vertical="center"/>
    </xf>
    <xf numFmtId="1" fontId="20" fillId="4" borderId="3" xfId="0" applyNumberFormat="1" applyFont="1" applyFill="1" applyBorder="1" applyAlignment="1">
      <alignment horizontal="center" vertical="center"/>
    </xf>
    <xf numFmtId="1" fontId="36" fillId="4" borderId="3" xfId="0" applyNumberFormat="1" applyFont="1" applyFill="1" applyBorder="1" applyAlignment="1">
      <alignment horizontal="center" vertical="center"/>
    </xf>
    <xf numFmtId="0" fontId="20" fillId="4" borderId="3" xfId="0" applyFont="1" applyFill="1" applyBorder="1" applyAlignment="1">
      <alignment horizontal="left" vertical="center"/>
    </xf>
    <xf numFmtId="167" fontId="7" fillId="0" borderId="13" xfId="0" applyNumberFormat="1" applyFont="1" applyBorder="1" applyAlignment="1">
      <alignment horizontal="center" vertical="center" shrinkToFit="1"/>
    </xf>
    <xf numFmtId="0" fontId="20" fillId="0" borderId="14" xfId="0" applyFont="1" applyBorder="1" applyAlignment="1">
      <alignment horizontal="center" vertical="center" shrinkToFit="1"/>
    </xf>
    <xf numFmtId="0" fontId="38" fillId="0" borderId="0" xfId="0" applyFont="1" applyAlignment="1">
      <alignment vertical="center" wrapText="1"/>
    </xf>
    <xf numFmtId="0" fontId="10" fillId="0" borderId="0" xfId="0" quotePrefix="1" applyFont="1" applyAlignment="1">
      <alignment horizontal="left" wrapText="1" indent="1"/>
    </xf>
    <xf numFmtId="0" fontId="10" fillId="0" borderId="0" xfId="0" quotePrefix="1" applyFont="1" applyAlignment="1">
      <alignment wrapText="1"/>
    </xf>
    <xf numFmtId="0" fontId="20" fillId="0" borderId="7" xfId="0" applyFont="1" applyBorder="1" applyAlignment="1">
      <alignment vertical="center" wrapText="1"/>
    </xf>
    <xf numFmtId="0" fontId="48" fillId="0" borderId="3" xfId="0" applyFont="1" applyBorder="1" applyAlignment="1">
      <alignment vertical="center" wrapText="1"/>
    </xf>
    <xf numFmtId="49" fontId="49" fillId="7" borderId="0" xfId="0" applyNumberFormat="1" applyFont="1" applyFill="1" applyAlignment="1">
      <alignment horizontal="left" vertical="center" wrapText="1"/>
    </xf>
    <xf numFmtId="168" fontId="20" fillId="4" borderId="7" xfId="0" applyNumberFormat="1" applyFont="1" applyFill="1" applyBorder="1" applyAlignment="1">
      <alignment horizontal="right" vertical="center"/>
    </xf>
    <xf numFmtId="168" fontId="20" fillId="4" borderId="7" xfId="0" applyNumberFormat="1" applyFont="1" applyFill="1" applyBorder="1" applyAlignment="1">
      <alignment horizontal="center" vertical="center"/>
    </xf>
    <xf numFmtId="0" fontId="48" fillId="0" borderId="3" xfId="0" applyFont="1" applyBorder="1" applyAlignment="1">
      <alignment vertical="center"/>
    </xf>
    <xf numFmtId="166" fontId="28" fillId="0" borderId="9" xfId="0" applyNumberFormat="1" applyFont="1" applyBorder="1" applyAlignment="1">
      <alignment horizontal="center" vertical="center"/>
    </xf>
    <xf numFmtId="166" fontId="28" fillId="0" borderId="10" xfId="0" applyNumberFormat="1" applyFont="1" applyBorder="1" applyAlignment="1">
      <alignment horizontal="center" vertical="center"/>
    </xf>
    <xf numFmtId="166" fontId="28" fillId="0" borderId="13" xfId="0" applyNumberFormat="1" applyFont="1" applyBorder="1" applyAlignment="1">
      <alignment horizontal="center" vertical="center"/>
    </xf>
    <xf numFmtId="164" fontId="28" fillId="0" borderId="5" xfId="0" applyNumberFormat="1" applyFont="1" applyBorder="1" applyAlignment="1" applyProtection="1">
      <alignment horizontal="center" vertical="center" shrinkToFit="1"/>
      <protection locked="0"/>
    </xf>
    <xf numFmtId="0" fontId="35" fillId="0" borderId="9" xfId="0" applyFont="1" applyBorder="1" applyAlignment="1">
      <alignment horizontal="center" vertical="center"/>
    </xf>
    <xf numFmtId="0" fontId="35" fillId="0" borderId="10" xfId="0" applyFont="1" applyBorder="1" applyAlignment="1">
      <alignment horizontal="center" vertical="center"/>
    </xf>
    <xf numFmtId="0" fontId="35" fillId="0" borderId="13" xfId="0" applyFont="1" applyBorder="1" applyAlignment="1">
      <alignment horizontal="center" vertical="center"/>
    </xf>
    <xf numFmtId="0" fontId="33" fillId="0" borderId="0" xfId="2" applyFont="1" applyBorder="1" applyAlignment="1" applyProtection="1">
      <alignment horizontal="left" vertical="center"/>
    </xf>
    <xf numFmtId="164" fontId="28" fillId="0" borderId="4" xfId="0" applyNumberFormat="1" applyFont="1" applyBorder="1" applyAlignment="1" applyProtection="1">
      <alignment horizontal="center" vertical="center" shrinkToFit="1"/>
      <protection locked="0"/>
    </xf>
    <xf numFmtId="0" fontId="8" fillId="0" borderId="0" xfId="0" applyFont="1" applyAlignment="1">
      <alignment horizontal="left"/>
    </xf>
  </cellXfs>
  <cellStyles count="3">
    <cellStyle name="Hyperlink" xfId="2" builtinId="8"/>
    <cellStyle name="Normal" xfId="0" builtinId="0"/>
    <cellStyle name="Percent" xfId="1" builtinId="5"/>
  </cellStyles>
  <dxfs count="4">
    <dxf>
      <fill>
        <patternFill patternType="solid">
          <bgColor rgb="FF0070C0"/>
        </patternFill>
      </fill>
    </dxf>
    <dxf>
      <fill>
        <patternFill patternType="solid">
          <bgColor theme="0" tint="-0.499984740745262"/>
        </patternFill>
      </fill>
    </dxf>
    <dxf>
      <border>
        <left style="thin">
          <color rgb="FFC00000"/>
        </left>
        <right style="thin">
          <color rgb="FFC00000"/>
        </right>
      </border>
    </dxf>
    <dxf>
      <font>
        <color theme="0"/>
      </font>
      <fill>
        <patternFill patternType="solid">
          <bgColor theme="5"/>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99FF99"/>
      <rgbColor rgb="000000FF"/>
      <rgbColor rgb="00FFFF00"/>
      <rgbColor rgb="00DE3018"/>
      <rgbColor rgb="0053D4C9"/>
      <rgbColor rgb="006B0C00"/>
      <rgbColor rgb="00006500"/>
      <rgbColor rgb="00182C63"/>
      <rgbColor rgb="00819C00"/>
      <rgbColor rgb="00C9B783"/>
      <rgbColor rgb="00007F74"/>
      <rgbColor rgb="00EAEAEA"/>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6699FF"/>
      <rgbColor rgb="00CCECFF"/>
      <rgbColor rgb="00D6F4D9"/>
      <rgbColor rgb="00FFFFCC"/>
      <rgbColor rgb="0099CCFF"/>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CCCC"/>
      <color rgb="FFFF9900"/>
      <color rgb="FF91D0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trlProps/ctrlProp1.xml><?xml version="1.0" encoding="utf-8"?>
<formControlPr xmlns="http://schemas.microsoft.com/office/spreadsheetml/2009/9/main" objectType="Scroll" dx="22" fmlaLink="$H$4" horiz="1" max="100" min="1" page="0"/>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absolute">
    <xdr:from>
      <xdr:col>2</xdr:col>
      <xdr:colOff>809625</xdr:colOff>
      <xdr:row>5</xdr:row>
      <xdr:rowOff>142875</xdr:rowOff>
    </xdr:from>
    <xdr:to>
      <xdr:col>7</xdr:col>
      <xdr:colOff>400050</xdr:colOff>
      <xdr:row>10</xdr:row>
      <xdr:rowOff>80433</xdr:rowOff>
    </xdr:to>
    <xdr:sp macro="" textlink="">
      <xdr:nvSpPr>
        <xdr:cNvPr id="8236" name="Text Box 44" hidden="1">
          <a:extLst>
            <a:ext uri="{FF2B5EF4-FFF2-40B4-BE49-F238E27FC236}">
              <a16:creationId xmlns:a16="http://schemas.microsoft.com/office/drawing/2014/main" id="{00000000-0008-0000-0000-00002C200000}"/>
            </a:ext>
          </a:extLst>
        </xdr:cNvPr>
        <xdr:cNvSpPr txBox="1">
          <a:spLocks noChangeArrowheads="1"/>
        </xdr:cNvSpPr>
      </xdr:nvSpPr>
      <xdr:spPr>
        <a:xfrm>
          <a:off x="4953000" y="1371600"/>
          <a:ext cx="3419475" cy="1099185"/>
        </a:xfrm>
        <a:prstGeom prst="rect">
          <a:avLst/>
        </a:prstGeom>
        <a:solidFill>
          <a:srgbClr val="FFFFE1"/>
        </a:solidFill>
        <a:ln w="9525">
          <a:solidFill>
            <a:srgbClr val="000000"/>
          </a:solidFill>
          <a:miter lim="800000"/>
        </a:ln>
        <a:effectLst>
          <a:outerShdw dist="35921" dir="2700000" algn="ctr" rotWithShape="0">
            <a:srgbClr val="000000"/>
          </a:outerShdw>
        </a:effectLst>
      </xdr:spPr>
    </xdr:sp>
    <xdr:clientData/>
  </xdr:twoCellAnchor>
  <mc:AlternateContent xmlns:mc="http://schemas.openxmlformats.org/markup-compatibility/2006">
    <mc:Choice xmlns:a14="http://schemas.microsoft.com/office/drawing/2010/main" Requires="a14">
      <xdr:twoCellAnchor editAs="oneCell">
        <xdr:from>
          <xdr:col>9</xdr:col>
          <xdr:colOff>95250</xdr:colOff>
          <xdr:row>1</xdr:row>
          <xdr:rowOff>123825</xdr:rowOff>
        </xdr:from>
        <xdr:to>
          <xdr:col>27</xdr:col>
          <xdr:colOff>104775</xdr:colOff>
          <xdr:row>2</xdr:row>
          <xdr:rowOff>114300</xdr:rowOff>
        </xdr:to>
        <xdr:sp macro="" textlink="">
          <xdr:nvSpPr>
            <xdr:cNvPr id="8238" name="Scroll Bar 46" hidden="1">
              <a:extLst>
                <a:ext uri="{63B3BB69-23CF-44E3-9099-C40C66FF867C}">
                  <a14:compatExt spid="_x0000_s8238"/>
                </a:ext>
                <a:ext uri="{FF2B5EF4-FFF2-40B4-BE49-F238E27FC236}">
                  <a16:creationId xmlns:a16="http://schemas.microsoft.com/office/drawing/2014/main" id="{00000000-0008-0000-0000-00002E200000}"/>
                </a:ext>
              </a:extLst>
            </xdr:cNvPr>
            <xdr:cNvSpPr/>
          </xdr:nvSpPr>
          <xdr:spPr bwMode="auto">
            <a:xfrm>
              <a:off x="0" y="0"/>
              <a:ext cx="0" cy="0"/>
            </a:xfrm>
            <a:prstGeom prst="rect">
              <a:avLst/>
            </a:prstGeom>
            <a:noFill/>
            <a:ln>
              <a:noFill/>
            </a:ln>
            <a:extLst>
              <a:ext uri="{909E8E84-426E-40DD-AFC4-6F175D3DCCD1}">
                <a14:hiddenFill>
                  <a:noFill/>
                </a14:hiddenFill>
              </a:ext>
              <a:ext uri="{91240B29-F687-4F45-9708-019B960494DF}">
                <a14:hiddenLine w="9525">
                  <a:noFill/>
                  <a:miter lim="800000"/>
                  <a:headEnd/>
                  <a:tailEnd/>
                </a14:hiddenLine>
              </a:ext>
            </a:extLst>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1</xdr:col>
      <xdr:colOff>121921</xdr:colOff>
      <xdr:row>2</xdr:row>
      <xdr:rowOff>129540</xdr:rowOff>
    </xdr:from>
    <xdr:to>
      <xdr:col>1</xdr:col>
      <xdr:colOff>2141220</xdr:colOff>
      <xdr:row>12</xdr:row>
      <xdr:rowOff>198120</xdr:rowOff>
    </xdr:to>
    <xdr:pic>
      <xdr:nvPicPr>
        <xdr:cNvPr id="2" name="Picture 1">
          <a:extLst>
            <a:ext uri="{FF2B5EF4-FFF2-40B4-BE49-F238E27FC236}">
              <a16:creationId xmlns:a16="http://schemas.microsoft.com/office/drawing/2014/main" id="{00000000-0008-0000-01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493395" y="672465"/>
          <a:ext cx="2019300" cy="1754505"/>
        </a:xfrm>
        <a:prstGeom prst="rect">
          <a:avLst/>
        </a:prstGeom>
        <a:noFill/>
        <a:ln>
          <a:noFill/>
        </a:ln>
        <a:effectLst/>
        <a:extLst>
          <a:ext uri="{909E8E84-426E-40DD-AFC4-6F175D3DCCD1}">
            <a14:hiddenFill xmlns:a14="http://schemas.microsoft.com/office/drawing/2010/main">
              <a:solidFill>
                <a:srgbClr xmlns:mc="http://schemas.openxmlformats.org/markup-compatibility/2006" val="000000" mc:Ignorable="a14" a14:legacySpreadsheetColorIndex="64"/>
              </a:solidFill>
            </a14:hiddenFill>
          </a:ext>
          <a:ext uri="{91240B29-F687-4F45-9708-019B960494DF}">
            <a14:hiddenLine xmlns:a14="http://schemas.microsoft.com/office/drawing/2010/main" w="1">
              <a:solidFill>
                <a:srgbClr xmlns:mc="http://schemas.openxmlformats.org/markup-compatibility/2006"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2</xdr:col>
      <xdr:colOff>2135505</xdr:colOff>
      <xdr:row>0</xdr:row>
      <xdr:rowOff>0</xdr:rowOff>
    </xdr:from>
    <xdr:to>
      <xdr:col>2</xdr:col>
      <xdr:colOff>3611880</xdr:colOff>
      <xdr:row>0</xdr:row>
      <xdr:rowOff>340995</xdr:rowOff>
    </xdr:to>
    <xdr:pic>
      <xdr:nvPicPr>
        <xdr:cNvPr id="4" name="Picture 3">
          <a:extLst>
            <a:ext uri="{FF2B5EF4-FFF2-40B4-BE49-F238E27FC236}">
              <a16:creationId xmlns:a16="http://schemas.microsoft.com/office/drawing/2014/main" id="{00000000-0008-0000-0100-000004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5021580" y="0"/>
          <a:ext cx="1476375" cy="34099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4495800</xdr:colOff>
      <xdr:row>0</xdr:row>
      <xdr:rowOff>1</xdr:rowOff>
    </xdr:from>
    <xdr:to>
      <xdr:col>1</xdr:col>
      <xdr:colOff>6000750</xdr:colOff>
      <xdr:row>0</xdr:row>
      <xdr:rowOff>338615</xdr:rowOff>
    </xdr:to>
    <xdr:pic>
      <xdr:nvPicPr>
        <xdr:cNvPr id="5" name="Picture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867275" y="0"/>
          <a:ext cx="1504950" cy="33845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3771899</xdr:colOff>
      <xdr:row>0</xdr:row>
      <xdr:rowOff>1</xdr:rowOff>
    </xdr:from>
    <xdr:to>
      <xdr:col>1</xdr:col>
      <xdr:colOff>5381624</xdr:colOff>
      <xdr:row>0</xdr:row>
      <xdr:rowOff>362189</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4142740" y="0"/>
          <a:ext cx="1609725" cy="361950"/>
        </a:xfrm>
        <a:prstGeom prst="rect">
          <a:avLst/>
        </a:prstGeom>
      </xdr:spPr>
    </xdr:pic>
    <xdr:clientData/>
  </xdr:twoCellAnchor>
</xdr:wsDr>
</file>

<file path=xl/theme/theme1.xml><?xml version="1.0" encoding="utf-8"?>
<a:theme xmlns:a="http://schemas.openxmlformats.org/drawingml/2006/main" name="Office Theme">
  <a:themeElements>
    <a:clrScheme name="v42-Gantt">
      <a:dk1>
        <a:sysClr val="windowText" lastClr="000000"/>
      </a:dk1>
      <a:lt1>
        <a:sysClr val="window" lastClr="FFFFFF"/>
      </a:lt1>
      <a:dk2>
        <a:srgbClr val="3B8741"/>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Arial">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ctrlProp" Target="../ctrlProps/ctrlProp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blog/business/pm/new-gantt-chart-for-excel-online.html" TargetMode="External"/><Relationship Id="rId2" Type="http://schemas.openxmlformats.org/officeDocument/2006/relationships/hyperlink" Target="https://www.vertex42.com/Links/go.php?urlid=GanttChartPro" TargetMode="External"/><Relationship Id="rId1" Type="http://schemas.openxmlformats.org/officeDocument/2006/relationships/hyperlink" Target="https://www.vertex42.com/Links/go.php?urlid=GanttChartPro"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hyperlink" Target="https://excel.uservoice.com/forums/304921-excel-for-windows-desktop-application/suggestions/19676413-make-paste-and-merge-conditional-formatting-the" TargetMode="External"/><Relationship Id="rId2" Type="http://schemas.openxmlformats.org/officeDocument/2006/relationships/hyperlink" Target="https://www.vertex42.com/ExcelTemplates/excel-gantt-chart.html" TargetMode="External"/><Relationship Id="rId1" Type="http://schemas.openxmlformats.org/officeDocument/2006/relationships/hyperlink" Target="https://www.vertex42.com/Links/go.php?urlid=GanttChartPro" TargetMode="External"/><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hyperlink" Target="https://www.vertex42.com/licensing/EULA_privateuse.html" TargetMode="External"/><Relationship Id="rId1" Type="http://schemas.openxmlformats.org/officeDocument/2006/relationships/hyperlink" Target="https://www.vertex42.com/ExcelTemplates/excel-gantt-chart.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8">
    <pageSetUpPr fitToPage="1"/>
  </sheetPr>
  <dimension ref="A1:BN105"/>
  <sheetViews>
    <sheetView showGridLines="0" tabSelected="1" workbookViewId="0">
      <pane ySplit="7" topLeftCell="A11" activePane="bottomLeft" state="frozen"/>
      <selection pane="bottomLeft" activeCell="C17" sqref="C17"/>
    </sheetView>
  </sheetViews>
  <sheetFormatPr defaultColWidth="9.140625" defaultRowHeight="12.75"/>
  <cols>
    <col min="1" max="1" width="6.85546875" customWidth="1"/>
    <col min="2" max="2" width="55.28515625" customWidth="1"/>
    <col min="3" max="3" width="13.42578125" customWidth="1"/>
    <col min="4" max="4" width="14" customWidth="1"/>
    <col min="5" max="6" width="12" customWidth="1"/>
    <col min="7" max="7" width="6" customWidth="1"/>
    <col min="8" max="8" width="6.7109375" customWidth="1"/>
    <col min="9" max="9" width="6.42578125" customWidth="1"/>
    <col min="10" max="10" width="1.85546875" customWidth="1"/>
    <col min="11" max="66" width="2.42578125" customWidth="1"/>
  </cols>
  <sheetData>
    <row r="1" spans="1:66" ht="30" customHeight="1">
      <c r="A1" s="46" t="s">
        <v>0</v>
      </c>
      <c r="B1" s="47"/>
      <c r="C1" s="47"/>
      <c r="D1" s="47"/>
      <c r="E1" s="47"/>
      <c r="F1" s="47"/>
      <c r="I1" s="79"/>
      <c r="K1" s="111"/>
      <c r="L1" s="111"/>
      <c r="M1" s="111"/>
      <c r="N1" s="111"/>
      <c r="O1" s="111"/>
      <c r="P1" s="111"/>
      <c r="Q1" s="111"/>
      <c r="R1" s="111"/>
      <c r="S1" s="111"/>
      <c r="T1" s="111"/>
      <c r="U1" s="111"/>
      <c r="V1" s="111"/>
      <c r="W1" s="111"/>
      <c r="X1" s="111"/>
      <c r="Y1" s="111"/>
      <c r="Z1" s="111"/>
      <c r="AA1" s="111"/>
      <c r="AB1" s="111"/>
      <c r="AC1" s="111"/>
      <c r="AD1" s="111"/>
      <c r="AE1" s="111"/>
    </row>
    <row r="2" spans="1:66" ht="18" customHeight="1">
      <c r="A2" s="48"/>
      <c r="B2" s="49"/>
      <c r="C2" s="49"/>
      <c r="D2" s="50"/>
      <c r="E2" s="51"/>
      <c r="F2" s="51"/>
      <c r="H2" s="52"/>
    </row>
    <row r="3" spans="1:66" ht="14.25">
      <c r="A3" s="48"/>
      <c r="H3" s="52"/>
      <c r="K3" s="80"/>
      <c r="L3" s="80"/>
      <c r="M3" s="80"/>
      <c r="N3" s="80"/>
      <c r="O3" s="80"/>
      <c r="P3" s="80"/>
      <c r="Q3" s="80"/>
      <c r="R3" s="80"/>
      <c r="S3" s="80"/>
      <c r="T3" s="80"/>
      <c r="U3" s="80"/>
      <c r="V3" s="80"/>
      <c r="W3" s="80"/>
      <c r="X3" s="80"/>
      <c r="Y3" s="80"/>
      <c r="Z3" s="80"/>
      <c r="AA3" s="80"/>
    </row>
    <row r="4" spans="1:66" ht="17.25" customHeight="1">
      <c r="A4" s="53"/>
      <c r="B4" s="54" t="s">
        <v>1</v>
      </c>
      <c r="C4" s="112">
        <v>45986</v>
      </c>
      <c r="D4" s="112"/>
      <c r="E4" s="112"/>
      <c r="F4" s="53"/>
      <c r="G4" s="54" t="s">
        <v>2</v>
      </c>
      <c r="H4" s="55">
        <v>1</v>
      </c>
      <c r="J4" s="53"/>
      <c r="K4" s="108" t="str">
        <f>"Week "&amp;(K6-($C$4-WEEKDAY($C$4,1)+2))/7+1</f>
        <v>Week 1</v>
      </c>
      <c r="L4" s="109"/>
      <c r="M4" s="109"/>
      <c r="N4" s="109"/>
      <c r="O4" s="109"/>
      <c r="P4" s="109"/>
      <c r="Q4" s="110"/>
      <c r="R4" s="108" t="str">
        <f>"Week "&amp;(R6-($C$4-WEEKDAY($C$4,1)+2))/7+1</f>
        <v>Week 2</v>
      </c>
      <c r="S4" s="109"/>
      <c r="T4" s="109"/>
      <c r="U4" s="109"/>
      <c r="V4" s="109"/>
      <c r="W4" s="109"/>
      <c r="X4" s="110"/>
      <c r="Y4" s="108" t="str">
        <f>"Week "&amp;(Y6-($C$4-WEEKDAY($C$4,1)+2))/7+1</f>
        <v>Week 3</v>
      </c>
      <c r="Z4" s="109"/>
      <c r="AA4" s="109"/>
      <c r="AB4" s="109"/>
      <c r="AC4" s="109"/>
      <c r="AD4" s="109"/>
      <c r="AE4" s="110"/>
      <c r="AF4" s="108" t="str">
        <f>"Week "&amp;(AF6-($C$4-WEEKDAY($C$4,1)+2))/7+1</f>
        <v>Week 4</v>
      </c>
      <c r="AG4" s="109"/>
      <c r="AH4" s="109"/>
      <c r="AI4" s="109"/>
      <c r="AJ4" s="109"/>
      <c r="AK4" s="109"/>
      <c r="AL4" s="110"/>
      <c r="AM4" s="108" t="str">
        <f>"Week "&amp;(AM6-($C$4-WEEKDAY($C$4,1)+2))/7+1</f>
        <v>Week 5</v>
      </c>
      <c r="AN4" s="109"/>
      <c r="AO4" s="109"/>
      <c r="AP4" s="109"/>
      <c r="AQ4" s="109"/>
      <c r="AR4" s="109"/>
      <c r="AS4" s="110"/>
      <c r="AT4" s="108" t="str">
        <f>"Week "&amp;(AT6-($C$4-WEEKDAY($C$4,1)+2))/7+1</f>
        <v>Week 6</v>
      </c>
      <c r="AU4" s="109"/>
      <c r="AV4" s="109"/>
      <c r="AW4" s="109"/>
      <c r="AX4" s="109"/>
      <c r="AY4" s="109"/>
      <c r="AZ4" s="110"/>
      <c r="BA4" s="108" t="str">
        <f>"Week "&amp;(BA6-($C$4-WEEKDAY($C$4,1)+2))/7+1</f>
        <v>Week 7</v>
      </c>
      <c r="BB4" s="109"/>
      <c r="BC4" s="109"/>
      <c r="BD4" s="109"/>
      <c r="BE4" s="109"/>
      <c r="BF4" s="109"/>
      <c r="BG4" s="110"/>
      <c r="BH4" s="108" t="str">
        <f>"Week "&amp;(BH6-($C$4-WEEKDAY($C$4,1)+2))/7+1</f>
        <v>Week 8</v>
      </c>
      <c r="BI4" s="109"/>
      <c r="BJ4" s="109"/>
      <c r="BK4" s="109"/>
      <c r="BL4" s="109"/>
      <c r="BM4" s="109"/>
      <c r="BN4" s="110"/>
    </row>
    <row r="5" spans="1:66" ht="17.25" customHeight="1">
      <c r="A5" s="53"/>
      <c r="B5" s="54" t="s">
        <v>3</v>
      </c>
      <c r="C5" s="107" t="s">
        <v>4</v>
      </c>
      <c r="D5" s="107"/>
      <c r="E5" s="107"/>
      <c r="F5" s="53"/>
      <c r="G5" s="53"/>
      <c r="H5" s="53"/>
      <c r="I5" s="53"/>
      <c r="J5" s="53"/>
      <c r="K5" s="104">
        <f>K6</f>
        <v>45985</v>
      </c>
      <c r="L5" s="105"/>
      <c r="M5" s="105"/>
      <c r="N5" s="105"/>
      <c r="O5" s="105"/>
      <c r="P5" s="105"/>
      <c r="Q5" s="106"/>
      <c r="R5" s="104">
        <f>R6</f>
        <v>45992</v>
      </c>
      <c r="S5" s="105"/>
      <c r="T5" s="105"/>
      <c r="U5" s="105"/>
      <c r="V5" s="105"/>
      <c r="W5" s="105"/>
      <c r="X5" s="106"/>
      <c r="Y5" s="104">
        <f>Y6</f>
        <v>45999</v>
      </c>
      <c r="Z5" s="105"/>
      <c r="AA5" s="105"/>
      <c r="AB5" s="105"/>
      <c r="AC5" s="105"/>
      <c r="AD5" s="105"/>
      <c r="AE5" s="106"/>
      <c r="AF5" s="104">
        <f>AF6</f>
        <v>46006</v>
      </c>
      <c r="AG5" s="105"/>
      <c r="AH5" s="105"/>
      <c r="AI5" s="105"/>
      <c r="AJ5" s="105"/>
      <c r="AK5" s="105"/>
      <c r="AL5" s="106"/>
      <c r="AM5" s="104">
        <f>AM6</f>
        <v>46013</v>
      </c>
      <c r="AN5" s="105"/>
      <c r="AO5" s="105"/>
      <c r="AP5" s="105"/>
      <c r="AQ5" s="105"/>
      <c r="AR5" s="105"/>
      <c r="AS5" s="106"/>
      <c r="AT5" s="104">
        <f>AT6</f>
        <v>46020</v>
      </c>
      <c r="AU5" s="105"/>
      <c r="AV5" s="105"/>
      <c r="AW5" s="105"/>
      <c r="AX5" s="105"/>
      <c r="AY5" s="105"/>
      <c r="AZ5" s="106"/>
      <c r="BA5" s="104">
        <f>BA6</f>
        <v>46027</v>
      </c>
      <c r="BB5" s="105"/>
      <c r="BC5" s="105"/>
      <c r="BD5" s="105"/>
      <c r="BE5" s="105"/>
      <c r="BF5" s="105"/>
      <c r="BG5" s="106"/>
      <c r="BH5" s="104">
        <f>BH6</f>
        <v>46034</v>
      </c>
      <c r="BI5" s="105"/>
      <c r="BJ5" s="105"/>
      <c r="BK5" s="105"/>
      <c r="BL5" s="105"/>
      <c r="BM5" s="105"/>
      <c r="BN5" s="106"/>
    </row>
    <row r="6" spans="1:66">
      <c r="A6" s="53"/>
      <c r="B6" s="53"/>
      <c r="C6" s="53"/>
      <c r="D6" s="53"/>
      <c r="E6" s="53"/>
      <c r="F6" s="53"/>
      <c r="G6" s="53"/>
      <c r="H6" s="53"/>
      <c r="I6" s="53"/>
      <c r="J6" s="53"/>
      <c r="K6" s="81">
        <f>C4-WEEKDAY(C4,1)+2+7*(H4-1)</f>
        <v>45985</v>
      </c>
      <c r="L6" s="82">
        <f t="shared" ref="L6:AQ6" si="0">K6+1</f>
        <v>45986</v>
      </c>
      <c r="M6" s="82">
        <f t="shared" si="0"/>
        <v>45987</v>
      </c>
      <c r="N6" s="82">
        <f t="shared" si="0"/>
        <v>45988</v>
      </c>
      <c r="O6" s="82">
        <f t="shared" si="0"/>
        <v>45989</v>
      </c>
      <c r="P6" s="82">
        <f t="shared" si="0"/>
        <v>45990</v>
      </c>
      <c r="Q6" s="93">
        <f t="shared" si="0"/>
        <v>45991</v>
      </c>
      <c r="R6" s="81">
        <f t="shared" si="0"/>
        <v>45992</v>
      </c>
      <c r="S6" s="82">
        <f t="shared" si="0"/>
        <v>45993</v>
      </c>
      <c r="T6" s="82">
        <f t="shared" si="0"/>
        <v>45994</v>
      </c>
      <c r="U6" s="82">
        <f t="shared" si="0"/>
        <v>45995</v>
      </c>
      <c r="V6" s="82">
        <f t="shared" si="0"/>
        <v>45996</v>
      </c>
      <c r="W6" s="82">
        <f t="shared" si="0"/>
        <v>45997</v>
      </c>
      <c r="X6" s="93">
        <f t="shared" si="0"/>
        <v>45998</v>
      </c>
      <c r="Y6" s="81">
        <f t="shared" si="0"/>
        <v>45999</v>
      </c>
      <c r="Z6" s="82">
        <f t="shared" si="0"/>
        <v>46000</v>
      </c>
      <c r="AA6" s="82">
        <f t="shared" si="0"/>
        <v>46001</v>
      </c>
      <c r="AB6" s="82">
        <f t="shared" si="0"/>
        <v>46002</v>
      </c>
      <c r="AC6" s="82">
        <f t="shared" si="0"/>
        <v>46003</v>
      </c>
      <c r="AD6" s="82">
        <f t="shared" si="0"/>
        <v>46004</v>
      </c>
      <c r="AE6" s="93">
        <f t="shared" si="0"/>
        <v>46005</v>
      </c>
      <c r="AF6" s="81">
        <f t="shared" si="0"/>
        <v>46006</v>
      </c>
      <c r="AG6" s="82">
        <f t="shared" si="0"/>
        <v>46007</v>
      </c>
      <c r="AH6" s="82">
        <f t="shared" si="0"/>
        <v>46008</v>
      </c>
      <c r="AI6" s="82">
        <f t="shared" si="0"/>
        <v>46009</v>
      </c>
      <c r="AJ6" s="82">
        <f t="shared" si="0"/>
        <v>46010</v>
      </c>
      <c r="AK6" s="82">
        <f t="shared" si="0"/>
        <v>46011</v>
      </c>
      <c r="AL6" s="93">
        <f t="shared" si="0"/>
        <v>46012</v>
      </c>
      <c r="AM6" s="81">
        <f t="shared" si="0"/>
        <v>46013</v>
      </c>
      <c r="AN6" s="82">
        <f t="shared" si="0"/>
        <v>46014</v>
      </c>
      <c r="AO6" s="82">
        <f t="shared" si="0"/>
        <v>46015</v>
      </c>
      <c r="AP6" s="82">
        <f t="shared" si="0"/>
        <v>46016</v>
      </c>
      <c r="AQ6" s="82">
        <f t="shared" si="0"/>
        <v>46017</v>
      </c>
      <c r="AR6" s="82">
        <f t="shared" ref="AR6:BN6" si="1">AQ6+1</f>
        <v>46018</v>
      </c>
      <c r="AS6" s="93">
        <f t="shared" si="1"/>
        <v>46019</v>
      </c>
      <c r="AT6" s="81">
        <f t="shared" si="1"/>
        <v>46020</v>
      </c>
      <c r="AU6" s="82">
        <f t="shared" si="1"/>
        <v>46021</v>
      </c>
      <c r="AV6" s="82">
        <f t="shared" si="1"/>
        <v>46022</v>
      </c>
      <c r="AW6" s="82">
        <f t="shared" si="1"/>
        <v>46023</v>
      </c>
      <c r="AX6" s="82">
        <f t="shared" si="1"/>
        <v>46024</v>
      </c>
      <c r="AY6" s="82">
        <f t="shared" si="1"/>
        <v>46025</v>
      </c>
      <c r="AZ6" s="93">
        <f t="shared" si="1"/>
        <v>46026</v>
      </c>
      <c r="BA6" s="81">
        <f t="shared" si="1"/>
        <v>46027</v>
      </c>
      <c r="BB6" s="82">
        <f t="shared" si="1"/>
        <v>46028</v>
      </c>
      <c r="BC6" s="82">
        <f t="shared" si="1"/>
        <v>46029</v>
      </c>
      <c r="BD6" s="82">
        <f t="shared" si="1"/>
        <v>46030</v>
      </c>
      <c r="BE6" s="82">
        <f t="shared" si="1"/>
        <v>46031</v>
      </c>
      <c r="BF6" s="82">
        <f t="shared" si="1"/>
        <v>46032</v>
      </c>
      <c r="BG6" s="93">
        <f t="shared" si="1"/>
        <v>46033</v>
      </c>
      <c r="BH6" s="81">
        <f t="shared" si="1"/>
        <v>46034</v>
      </c>
      <c r="BI6" s="82">
        <f t="shared" si="1"/>
        <v>46035</v>
      </c>
      <c r="BJ6" s="82">
        <f t="shared" si="1"/>
        <v>46036</v>
      </c>
      <c r="BK6" s="82">
        <f t="shared" si="1"/>
        <v>46037</v>
      </c>
      <c r="BL6" s="82">
        <f t="shared" si="1"/>
        <v>46038</v>
      </c>
      <c r="BM6" s="82">
        <f t="shared" si="1"/>
        <v>46039</v>
      </c>
      <c r="BN6" s="93">
        <f t="shared" si="1"/>
        <v>46040</v>
      </c>
    </row>
    <row r="7" spans="1:66" ht="24">
      <c r="A7" s="56" t="s">
        <v>5</v>
      </c>
      <c r="B7" s="56" t="s">
        <v>6</v>
      </c>
      <c r="C7" s="57" t="s">
        <v>7</v>
      </c>
      <c r="D7" s="58" t="s">
        <v>8</v>
      </c>
      <c r="E7" s="59" t="s">
        <v>9</v>
      </c>
      <c r="F7" s="59" t="s">
        <v>10</v>
      </c>
      <c r="G7" s="57" t="s">
        <v>11</v>
      </c>
      <c r="H7" s="57" t="s">
        <v>12</v>
      </c>
      <c r="I7" s="57" t="s">
        <v>13</v>
      </c>
      <c r="J7" s="57"/>
      <c r="K7" s="83" t="str">
        <f t="shared" ref="K7:AP7" si="2">CHOOSE(WEEKDAY(K6,1),"S","M","T","W","T","F","S")</f>
        <v>M</v>
      </c>
      <c r="L7" s="84" t="str">
        <f t="shared" si="2"/>
        <v>T</v>
      </c>
      <c r="M7" s="84" t="str">
        <f t="shared" si="2"/>
        <v>W</v>
      </c>
      <c r="N7" s="84" t="str">
        <f t="shared" si="2"/>
        <v>T</v>
      </c>
      <c r="O7" s="84" t="str">
        <f t="shared" si="2"/>
        <v>F</v>
      </c>
      <c r="P7" s="84" t="str">
        <f t="shared" si="2"/>
        <v>S</v>
      </c>
      <c r="Q7" s="94" t="str">
        <f t="shared" si="2"/>
        <v>S</v>
      </c>
      <c r="R7" s="83" t="str">
        <f t="shared" si="2"/>
        <v>M</v>
      </c>
      <c r="S7" s="84" t="str">
        <f t="shared" si="2"/>
        <v>T</v>
      </c>
      <c r="T7" s="84" t="str">
        <f t="shared" si="2"/>
        <v>W</v>
      </c>
      <c r="U7" s="84" t="str">
        <f t="shared" si="2"/>
        <v>T</v>
      </c>
      <c r="V7" s="84" t="str">
        <f t="shared" si="2"/>
        <v>F</v>
      </c>
      <c r="W7" s="84" t="str">
        <f t="shared" si="2"/>
        <v>S</v>
      </c>
      <c r="X7" s="94" t="str">
        <f t="shared" si="2"/>
        <v>S</v>
      </c>
      <c r="Y7" s="83" t="str">
        <f t="shared" si="2"/>
        <v>M</v>
      </c>
      <c r="Z7" s="84" t="str">
        <f t="shared" si="2"/>
        <v>T</v>
      </c>
      <c r="AA7" s="84" t="str">
        <f t="shared" si="2"/>
        <v>W</v>
      </c>
      <c r="AB7" s="84" t="str">
        <f t="shared" si="2"/>
        <v>T</v>
      </c>
      <c r="AC7" s="84" t="str">
        <f t="shared" si="2"/>
        <v>F</v>
      </c>
      <c r="AD7" s="84" t="str">
        <f t="shared" si="2"/>
        <v>S</v>
      </c>
      <c r="AE7" s="94" t="str">
        <f t="shared" si="2"/>
        <v>S</v>
      </c>
      <c r="AF7" s="83" t="str">
        <f t="shared" si="2"/>
        <v>M</v>
      </c>
      <c r="AG7" s="84" t="str">
        <f t="shared" si="2"/>
        <v>T</v>
      </c>
      <c r="AH7" s="84" t="str">
        <f t="shared" si="2"/>
        <v>W</v>
      </c>
      <c r="AI7" s="84" t="str">
        <f t="shared" si="2"/>
        <v>T</v>
      </c>
      <c r="AJ7" s="84" t="str">
        <f t="shared" si="2"/>
        <v>F</v>
      </c>
      <c r="AK7" s="84" t="str">
        <f t="shared" si="2"/>
        <v>S</v>
      </c>
      <c r="AL7" s="94" t="str">
        <f t="shared" si="2"/>
        <v>S</v>
      </c>
      <c r="AM7" s="83" t="str">
        <f t="shared" si="2"/>
        <v>M</v>
      </c>
      <c r="AN7" s="84" t="str">
        <f t="shared" si="2"/>
        <v>T</v>
      </c>
      <c r="AO7" s="84" t="str">
        <f t="shared" si="2"/>
        <v>W</v>
      </c>
      <c r="AP7" s="84" t="str">
        <f t="shared" si="2"/>
        <v>T</v>
      </c>
      <c r="AQ7" s="84" t="str">
        <f t="shared" ref="AQ7:BN7" si="3">CHOOSE(WEEKDAY(AQ6,1),"S","M","T","W","T","F","S")</f>
        <v>F</v>
      </c>
      <c r="AR7" s="84" t="str">
        <f t="shared" si="3"/>
        <v>S</v>
      </c>
      <c r="AS7" s="94" t="str">
        <f t="shared" si="3"/>
        <v>S</v>
      </c>
      <c r="AT7" s="83" t="str">
        <f t="shared" si="3"/>
        <v>M</v>
      </c>
      <c r="AU7" s="84" t="str">
        <f t="shared" si="3"/>
        <v>T</v>
      </c>
      <c r="AV7" s="84" t="str">
        <f t="shared" si="3"/>
        <v>W</v>
      </c>
      <c r="AW7" s="84" t="str">
        <f t="shared" si="3"/>
        <v>T</v>
      </c>
      <c r="AX7" s="84" t="str">
        <f t="shared" si="3"/>
        <v>F</v>
      </c>
      <c r="AY7" s="84" t="str">
        <f t="shared" si="3"/>
        <v>S</v>
      </c>
      <c r="AZ7" s="94" t="str">
        <f t="shared" si="3"/>
        <v>S</v>
      </c>
      <c r="BA7" s="83" t="str">
        <f t="shared" si="3"/>
        <v>M</v>
      </c>
      <c r="BB7" s="84" t="str">
        <f t="shared" si="3"/>
        <v>T</v>
      </c>
      <c r="BC7" s="84" t="str">
        <f t="shared" si="3"/>
        <v>W</v>
      </c>
      <c r="BD7" s="84" t="str">
        <f t="shared" si="3"/>
        <v>T</v>
      </c>
      <c r="BE7" s="84" t="str">
        <f t="shared" si="3"/>
        <v>F</v>
      </c>
      <c r="BF7" s="84" t="str">
        <f t="shared" si="3"/>
        <v>S</v>
      </c>
      <c r="BG7" s="94" t="str">
        <f t="shared" si="3"/>
        <v>S</v>
      </c>
      <c r="BH7" s="83" t="str">
        <f t="shared" si="3"/>
        <v>M</v>
      </c>
      <c r="BI7" s="84" t="str">
        <f t="shared" si="3"/>
        <v>T</v>
      </c>
      <c r="BJ7" s="84" t="str">
        <f t="shared" si="3"/>
        <v>W</v>
      </c>
      <c r="BK7" s="84" t="str">
        <f t="shared" si="3"/>
        <v>T</v>
      </c>
      <c r="BL7" s="84" t="str">
        <f t="shared" si="3"/>
        <v>F</v>
      </c>
      <c r="BM7" s="84" t="str">
        <f t="shared" si="3"/>
        <v>S</v>
      </c>
      <c r="BN7" s="94" t="str">
        <f t="shared" si="3"/>
        <v>S</v>
      </c>
    </row>
    <row r="8" spans="1:66" s="44" customFormat="1" ht="18">
      <c r="A8" s="60" t="str">
        <f>IF(ISERROR(VALUE(SUBSTITUTE(prevWBS,".",""))),"1",IF(ISERROR(FIND("`",SUBSTITUTE(prevWBS,".","`",1))),TEXT(VALUE(prevWBS)+1,"#"),TEXT(VALUE(LEFT(prevWBS,FIND("`",SUBSTITUTE(prevWBS,".","`",1))-1))+1,"#")))</f>
        <v>1</v>
      </c>
      <c r="B8" s="61" t="s">
        <v>177</v>
      </c>
      <c r="C8" s="62"/>
      <c r="D8" s="63"/>
      <c r="E8" s="101"/>
      <c r="F8" s="102" t="str">
        <f t="shared" ref="F8:F24" si="4">IF(ISBLANK(E8)," - ",IF(G8=0,E8,E8+G8-1))</f>
        <v xml:space="preserve"> - </v>
      </c>
      <c r="G8" s="64"/>
      <c r="H8" s="65"/>
      <c r="I8" s="85" t="str">
        <f t="shared" ref="I8:I71" si="5">IF(OR(F8=0,E8=0)," - ",NETWORKDAYS(E8,F8))</f>
        <v xml:space="preserve"> - </v>
      </c>
      <c r="J8" s="86"/>
      <c r="K8" s="87"/>
      <c r="L8" s="87"/>
      <c r="M8" s="87"/>
      <c r="N8" s="87"/>
      <c r="O8" s="87"/>
      <c r="P8" s="87"/>
      <c r="Q8" s="87"/>
      <c r="R8" s="87"/>
      <c r="S8" s="87"/>
      <c r="T8" s="87"/>
      <c r="U8" s="87"/>
      <c r="V8" s="87"/>
      <c r="W8" s="87"/>
      <c r="X8" s="87"/>
      <c r="Y8" s="87"/>
      <c r="Z8" s="87"/>
      <c r="AA8" s="87"/>
      <c r="AB8" s="87"/>
      <c r="AC8" s="87"/>
      <c r="AD8" s="87"/>
      <c r="AE8" s="87"/>
      <c r="AF8" s="87"/>
      <c r="AG8" s="87"/>
      <c r="AH8" s="87"/>
      <c r="AI8" s="87"/>
      <c r="AJ8" s="87"/>
      <c r="AK8" s="87"/>
      <c r="AL8" s="87"/>
      <c r="AM8" s="87"/>
      <c r="AN8" s="87"/>
      <c r="AO8" s="87"/>
      <c r="AP8" s="87"/>
      <c r="AQ8" s="87"/>
      <c r="AR8" s="87"/>
      <c r="AS8" s="87"/>
      <c r="AT8" s="87"/>
      <c r="AU8" s="87"/>
      <c r="AV8" s="87"/>
      <c r="AW8" s="87"/>
      <c r="AX8" s="87"/>
      <c r="AY8" s="87"/>
      <c r="AZ8" s="87"/>
      <c r="BA8" s="87"/>
      <c r="BB8" s="87"/>
      <c r="BC8" s="87"/>
      <c r="BD8" s="87"/>
      <c r="BE8" s="87"/>
      <c r="BF8" s="87"/>
      <c r="BG8" s="87"/>
      <c r="BH8" s="87"/>
      <c r="BI8" s="87"/>
      <c r="BJ8" s="87"/>
      <c r="BK8" s="87"/>
      <c r="BL8" s="87"/>
      <c r="BM8" s="87"/>
      <c r="BN8" s="87"/>
    </row>
    <row r="9" spans="1:66" s="45" customFormat="1" ht="18">
      <c r="A9" s="66" t="str">
        <f t="shared" ref="A9:A46" si="6">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9" s="67" t="s">
        <v>183</v>
      </c>
      <c r="C9" s="45" t="s">
        <v>14</v>
      </c>
      <c r="D9" s="68"/>
      <c r="E9" s="69">
        <v>45987</v>
      </c>
      <c r="F9" s="70">
        <f t="shared" si="4"/>
        <v>45987</v>
      </c>
      <c r="G9" s="71">
        <v>1</v>
      </c>
      <c r="H9" s="72">
        <v>1</v>
      </c>
      <c r="I9" s="88">
        <f t="shared" si="5"/>
        <v>1</v>
      </c>
      <c r="J9" s="89"/>
      <c r="K9" s="66"/>
      <c r="L9" s="66"/>
      <c r="M9" s="66"/>
      <c r="N9" s="66"/>
      <c r="O9" s="66"/>
      <c r="P9" s="66"/>
      <c r="Q9" s="66"/>
      <c r="R9" s="66"/>
      <c r="S9" s="66"/>
      <c r="T9" s="66"/>
      <c r="U9" s="66"/>
      <c r="V9" s="66"/>
      <c r="W9" s="66"/>
      <c r="X9" s="66"/>
      <c r="Y9" s="66"/>
      <c r="Z9" s="66"/>
      <c r="AA9" s="66"/>
      <c r="AB9" s="66"/>
      <c r="AC9" s="66"/>
      <c r="AD9" s="66"/>
      <c r="AE9" s="66"/>
      <c r="AF9" s="66"/>
      <c r="AG9" s="66"/>
      <c r="AH9" s="66"/>
      <c r="AI9" s="66"/>
      <c r="AJ9" s="66"/>
      <c r="AK9" s="66"/>
      <c r="AL9" s="66"/>
      <c r="AM9" s="66"/>
      <c r="AN9" s="66"/>
      <c r="AO9" s="66"/>
      <c r="AP9" s="66"/>
      <c r="AQ9" s="66"/>
      <c r="AR9" s="66"/>
      <c r="AS9" s="66"/>
      <c r="AT9" s="66"/>
      <c r="AU9" s="66"/>
      <c r="AV9" s="66"/>
      <c r="AW9" s="66"/>
      <c r="AX9" s="66"/>
      <c r="AY9" s="66"/>
      <c r="AZ9" s="66"/>
      <c r="BA9" s="66"/>
      <c r="BB9" s="66"/>
      <c r="BC9" s="66"/>
      <c r="BD9" s="66"/>
      <c r="BE9" s="66"/>
      <c r="BF9" s="66"/>
      <c r="BG9" s="66"/>
      <c r="BH9" s="66"/>
      <c r="BI9" s="66"/>
      <c r="BJ9" s="66"/>
      <c r="BK9" s="66"/>
      <c r="BL9" s="66"/>
      <c r="BM9" s="66"/>
      <c r="BN9" s="66"/>
    </row>
    <row r="10" spans="1:66" s="45" customFormat="1" ht="18">
      <c r="A10" s="66" t="str">
        <f t="shared" si="6"/>
        <v>1.2</v>
      </c>
      <c r="B10" s="67" t="s">
        <v>184</v>
      </c>
      <c r="C10" s="45" t="s">
        <v>14</v>
      </c>
      <c r="D10" s="68"/>
      <c r="E10" s="69">
        <v>45988</v>
      </c>
      <c r="F10" s="70">
        <f t="shared" si="4"/>
        <v>46054</v>
      </c>
      <c r="G10" s="71">
        <v>67</v>
      </c>
      <c r="H10" s="72">
        <v>0.3</v>
      </c>
      <c r="I10" s="88">
        <f t="shared" si="5"/>
        <v>47</v>
      </c>
      <c r="J10" s="89"/>
      <c r="K10" s="66"/>
      <c r="L10" s="66"/>
      <c r="M10" s="66"/>
      <c r="N10" s="66"/>
      <c r="O10" s="66"/>
      <c r="P10" s="66"/>
      <c r="Q10" s="66"/>
      <c r="R10" s="66"/>
      <c r="S10" s="66"/>
      <c r="T10" s="66"/>
      <c r="U10" s="66"/>
      <c r="V10" s="66"/>
      <c r="W10" s="66"/>
      <c r="X10" s="66"/>
      <c r="Y10" s="66"/>
      <c r="Z10" s="66"/>
      <c r="AA10" s="66"/>
      <c r="AB10" s="66"/>
      <c r="AC10" s="66"/>
      <c r="AD10" s="66"/>
      <c r="AE10" s="66"/>
      <c r="AF10" s="66"/>
      <c r="AG10" s="66"/>
      <c r="AH10" s="66"/>
      <c r="AI10" s="66"/>
      <c r="AJ10" s="66"/>
      <c r="AK10" s="66"/>
      <c r="AL10" s="66"/>
      <c r="AM10" s="66"/>
      <c r="AN10" s="66"/>
      <c r="AO10" s="66"/>
      <c r="AP10" s="66"/>
      <c r="AQ10" s="66"/>
      <c r="AR10" s="66"/>
      <c r="AS10" s="66"/>
      <c r="AT10" s="66"/>
      <c r="AU10" s="66"/>
      <c r="AV10" s="66"/>
      <c r="AW10" s="66"/>
      <c r="AX10" s="66"/>
      <c r="AY10" s="66"/>
      <c r="AZ10" s="66"/>
      <c r="BA10" s="66"/>
      <c r="BB10" s="66"/>
      <c r="BC10" s="66"/>
      <c r="BD10" s="66"/>
      <c r="BE10" s="66"/>
      <c r="BF10" s="66"/>
      <c r="BG10" s="66"/>
      <c r="BH10" s="66"/>
      <c r="BI10" s="66"/>
      <c r="BJ10" s="66"/>
      <c r="BK10" s="66"/>
      <c r="BL10" s="66"/>
      <c r="BM10" s="66"/>
      <c r="BN10" s="66"/>
    </row>
    <row r="11" spans="1:66" s="45" customFormat="1" ht="18">
      <c r="A11" s="66" t="str">
        <f t="shared" si="6"/>
        <v>1.3</v>
      </c>
      <c r="B11" s="67" t="s">
        <v>185</v>
      </c>
      <c r="C11" s="45" t="s">
        <v>14</v>
      </c>
      <c r="D11" s="68"/>
      <c r="E11" s="69">
        <v>45995</v>
      </c>
      <c r="F11" s="70">
        <f t="shared" si="4"/>
        <v>46001</v>
      </c>
      <c r="G11" s="71">
        <v>7</v>
      </c>
      <c r="H11" s="72">
        <v>1</v>
      </c>
      <c r="I11" s="88">
        <f t="shared" ref="I11:I24" si="7">IF(OR(F11=0,E11=0)," - ",NETWORKDAYS(E11,F11))</f>
        <v>5</v>
      </c>
      <c r="J11" s="89"/>
      <c r="K11" s="66"/>
      <c r="L11" s="66"/>
      <c r="M11" s="66"/>
      <c r="N11" s="66"/>
      <c r="O11" s="66"/>
      <c r="P11" s="66"/>
      <c r="Q11" s="66"/>
      <c r="R11" s="66"/>
      <c r="S11" s="66"/>
      <c r="T11" s="66"/>
      <c r="U11" s="66"/>
      <c r="V11" s="66"/>
      <c r="W11" s="66"/>
      <c r="X11" s="66"/>
      <c r="Y11" s="66"/>
      <c r="Z11" s="66"/>
      <c r="AA11" s="66"/>
      <c r="AB11" s="66"/>
      <c r="AC11" s="66"/>
      <c r="AD11" s="66"/>
      <c r="AE11" s="66"/>
      <c r="AF11" s="66"/>
      <c r="AG11" s="66"/>
      <c r="AH11" s="66"/>
      <c r="AI11" s="66"/>
      <c r="AJ11" s="66"/>
      <c r="AK11" s="66"/>
      <c r="AL11" s="66"/>
      <c r="AM11" s="66"/>
      <c r="AN11" s="66"/>
      <c r="AO11" s="66"/>
      <c r="AP11" s="66"/>
      <c r="AQ11" s="66"/>
      <c r="AR11" s="66"/>
      <c r="AS11" s="66"/>
      <c r="AT11" s="66"/>
      <c r="AU11" s="66"/>
      <c r="AV11" s="66"/>
      <c r="AW11" s="66"/>
      <c r="AX11" s="66"/>
      <c r="AY11" s="66"/>
      <c r="AZ11" s="66"/>
      <c r="BA11" s="66"/>
      <c r="BB11" s="66"/>
      <c r="BC11" s="66"/>
      <c r="BD11" s="66"/>
      <c r="BE11" s="66"/>
      <c r="BF11" s="66"/>
      <c r="BG11" s="66"/>
      <c r="BH11" s="66"/>
      <c r="BI11" s="66"/>
      <c r="BJ11" s="66"/>
      <c r="BK11" s="66"/>
      <c r="BL11" s="66"/>
      <c r="BM11" s="66"/>
      <c r="BN11" s="66"/>
    </row>
    <row r="12" spans="1:66" s="45" customFormat="1" ht="18">
      <c r="A12" s="66" t="str">
        <f t="shared" si="6"/>
        <v>1.4</v>
      </c>
      <c r="B12" s="67" t="s">
        <v>186</v>
      </c>
      <c r="C12" s="45" t="s">
        <v>15</v>
      </c>
      <c r="D12" s="68"/>
      <c r="E12" s="69">
        <v>46009</v>
      </c>
      <c r="F12" s="70">
        <f t="shared" si="4"/>
        <v>46014</v>
      </c>
      <c r="G12" s="71">
        <v>6</v>
      </c>
      <c r="H12" s="72">
        <v>1</v>
      </c>
      <c r="I12" s="88">
        <f t="shared" si="7"/>
        <v>4</v>
      </c>
      <c r="J12" s="89"/>
      <c r="K12" s="66"/>
      <c r="L12" s="66"/>
      <c r="M12" s="66"/>
      <c r="N12" s="66"/>
      <c r="O12" s="66"/>
      <c r="P12" s="66"/>
      <c r="Q12" s="66"/>
      <c r="R12" s="66"/>
      <c r="S12" s="66"/>
      <c r="T12" s="66"/>
      <c r="U12" s="66"/>
      <c r="V12" s="66"/>
      <c r="W12" s="66"/>
      <c r="X12" s="66"/>
      <c r="Y12" s="66"/>
      <c r="Z12" s="66"/>
      <c r="AA12" s="66"/>
      <c r="AB12" s="66"/>
      <c r="AC12" s="66"/>
      <c r="AD12" s="66"/>
      <c r="AE12" s="66"/>
      <c r="AF12" s="66"/>
      <c r="AG12" s="66"/>
      <c r="AH12" s="66"/>
      <c r="AI12" s="66"/>
      <c r="AJ12" s="66"/>
      <c r="AK12" s="66"/>
      <c r="AL12" s="66"/>
      <c r="AM12" s="66"/>
      <c r="AN12" s="66"/>
      <c r="AO12" s="66"/>
      <c r="AP12" s="66"/>
      <c r="AQ12" s="66"/>
      <c r="AR12" s="66"/>
      <c r="AS12" s="66"/>
      <c r="AT12" s="66"/>
      <c r="AU12" s="66"/>
      <c r="AV12" s="66"/>
      <c r="AW12" s="66"/>
      <c r="AX12" s="66"/>
      <c r="AY12" s="66"/>
      <c r="AZ12" s="66"/>
      <c r="BA12" s="66"/>
      <c r="BB12" s="66"/>
      <c r="BC12" s="66"/>
      <c r="BD12" s="66"/>
      <c r="BE12" s="66"/>
      <c r="BF12" s="66"/>
      <c r="BG12" s="66"/>
      <c r="BH12" s="66"/>
      <c r="BI12" s="66"/>
      <c r="BJ12" s="66"/>
      <c r="BK12" s="66"/>
      <c r="BL12" s="66"/>
      <c r="BM12" s="66"/>
      <c r="BN12" s="66"/>
    </row>
    <row r="13" spans="1:66" s="45" customFormat="1" ht="18">
      <c r="A13" s="66" t="str">
        <f t="shared" si="6"/>
        <v>1.5</v>
      </c>
      <c r="B13" s="99" t="s">
        <v>211</v>
      </c>
      <c r="C13" s="103" t="s">
        <v>14</v>
      </c>
      <c r="D13" s="68"/>
      <c r="E13" s="69">
        <v>46021</v>
      </c>
      <c r="F13" s="70">
        <f t="shared" ref="F13" si="8">IF(ISBLANK(E13)," - ",IF(G13=0,E13,E13+G13-1))</f>
        <v>46021</v>
      </c>
      <c r="G13" s="71">
        <v>1</v>
      </c>
      <c r="H13" s="72">
        <v>1</v>
      </c>
      <c r="I13" s="88">
        <f t="shared" ref="I13" si="9">IF(OR(F13=0,E13=0)," - ",NETWORKDAYS(E13,F13))</f>
        <v>1</v>
      </c>
      <c r="J13" s="89"/>
      <c r="K13" s="66"/>
      <c r="L13" s="66"/>
      <c r="M13" s="66"/>
      <c r="N13" s="66"/>
      <c r="O13" s="66"/>
      <c r="P13" s="66"/>
      <c r="Q13" s="66"/>
      <c r="R13" s="66"/>
      <c r="S13" s="66"/>
      <c r="T13" s="66"/>
      <c r="U13" s="66"/>
      <c r="V13" s="66"/>
      <c r="W13" s="66"/>
      <c r="X13" s="66"/>
      <c r="Y13" s="66"/>
      <c r="Z13" s="66"/>
      <c r="AA13" s="66"/>
      <c r="AB13" s="66"/>
      <c r="AC13" s="66"/>
      <c r="AD13" s="66"/>
      <c r="AE13" s="66"/>
      <c r="AF13" s="66"/>
      <c r="AG13" s="66"/>
      <c r="AH13" s="66"/>
      <c r="AI13" s="66"/>
      <c r="AJ13" s="66"/>
      <c r="AK13" s="66"/>
      <c r="AL13" s="66"/>
      <c r="AM13" s="66"/>
      <c r="AN13" s="66"/>
      <c r="AO13" s="66"/>
      <c r="AP13" s="66"/>
      <c r="AQ13" s="66"/>
      <c r="AR13" s="66"/>
      <c r="AS13" s="66"/>
      <c r="AT13" s="66"/>
      <c r="AU13" s="66"/>
      <c r="AV13" s="66"/>
      <c r="AW13" s="66"/>
      <c r="AX13" s="66"/>
      <c r="AY13" s="66"/>
      <c r="AZ13" s="66"/>
      <c r="BA13" s="66"/>
      <c r="BB13" s="66"/>
      <c r="BC13" s="66"/>
      <c r="BD13" s="66"/>
      <c r="BE13" s="66"/>
      <c r="BF13" s="66"/>
      <c r="BG13" s="66"/>
      <c r="BH13" s="66"/>
      <c r="BI13" s="66"/>
      <c r="BJ13" s="66"/>
      <c r="BK13" s="66"/>
      <c r="BL13" s="66"/>
      <c r="BM13" s="66"/>
      <c r="BN13" s="66"/>
    </row>
    <row r="14" spans="1:66" s="45" customFormat="1" ht="18">
      <c r="A14" s="66" t="str">
        <f t="shared" si="6"/>
        <v>1.6</v>
      </c>
      <c r="B14" s="67" t="s">
        <v>210</v>
      </c>
      <c r="C14" s="45" t="s">
        <v>15</v>
      </c>
      <c r="D14" s="68"/>
      <c r="E14" s="69">
        <v>46021</v>
      </c>
      <c r="F14" s="70">
        <f t="shared" ref="F14" si="10">IF(ISBLANK(E14)," - ",IF(G14=0,E14,E14+G14-1))</f>
        <v>46030</v>
      </c>
      <c r="G14" s="71">
        <v>10</v>
      </c>
      <c r="H14" s="72">
        <v>0</v>
      </c>
      <c r="I14" s="88">
        <f t="shared" ref="I14" si="11">IF(OR(F14=0,E14=0)," - ",NETWORKDAYS(E14,F14))</f>
        <v>8</v>
      </c>
      <c r="J14" s="89"/>
      <c r="K14" s="66"/>
      <c r="L14" s="66"/>
      <c r="M14" s="66"/>
      <c r="N14" s="66"/>
      <c r="O14" s="66"/>
      <c r="P14" s="66"/>
      <c r="Q14" s="66"/>
      <c r="R14" s="66"/>
      <c r="S14" s="66"/>
      <c r="T14" s="66"/>
      <c r="U14" s="66"/>
      <c r="V14" s="66"/>
      <c r="W14" s="66"/>
      <c r="X14" s="66"/>
      <c r="Y14" s="66"/>
      <c r="Z14" s="66"/>
      <c r="AA14" s="66"/>
      <c r="AB14" s="66"/>
      <c r="AC14" s="66"/>
      <c r="AD14" s="66"/>
      <c r="AE14" s="66"/>
      <c r="AF14" s="66"/>
      <c r="AG14" s="66"/>
      <c r="AH14" s="66"/>
      <c r="AI14" s="66"/>
      <c r="AJ14" s="66"/>
      <c r="AK14" s="66"/>
      <c r="AL14" s="66"/>
      <c r="AM14" s="66"/>
      <c r="AN14" s="66"/>
      <c r="AO14" s="66"/>
      <c r="AP14" s="66"/>
      <c r="AQ14" s="66"/>
      <c r="AR14" s="66"/>
      <c r="AS14" s="66"/>
      <c r="AT14" s="66"/>
      <c r="AU14" s="66"/>
      <c r="AV14" s="66"/>
      <c r="AW14" s="66"/>
      <c r="AX14" s="66"/>
      <c r="AY14" s="66"/>
      <c r="AZ14" s="66"/>
      <c r="BA14" s="66"/>
      <c r="BB14" s="66"/>
      <c r="BC14" s="66"/>
      <c r="BD14" s="66"/>
      <c r="BE14" s="66"/>
      <c r="BF14" s="66"/>
      <c r="BG14" s="66"/>
      <c r="BH14" s="66"/>
      <c r="BI14" s="66"/>
      <c r="BJ14" s="66"/>
      <c r="BK14" s="66"/>
      <c r="BL14" s="66"/>
      <c r="BM14" s="66"/>
      <c r="BN14" s="66"/>
    </row>
    <row r="15" spans="1:66" s="45" customFormat="1" ht="18">
      <c r="A15" s="66" t="str">
        <f t="shared" si="6"/>
        <v>1.7</v>
      </c>
      <c r="B15" s="67" t="s">
        <v>215</v>
      </c>
      <c r="C15" s="45" t="s">
        <v>14</v>
      </c>
      <c r="D15" s="68"/>
      <c r="E15" s="69">
        <v>46028</v>
      </c>
      <c r="F15" s="70">
        <f t="shared" ref="F15" si="12">IF(ISBLANK(E15)," - ",IF(G15=0,E15,E15+G15-1))</f>
        <v>46030</v>
      </c>
      <c r="G15" s="71">
        <v>3</v>
      </c>
      <c r="H15" s="72">
        <v>0</v>
      </c>
      <c r="I15" s="88">
        <f t="shared" ref="I15" si="13">IF(OR(F15=0,E15=0)," - ",NETWORKDAYS(E15,F15))</f>
        <v>3</v>
      </c>
      <c r="J15" s="89"/>
      <c r="K15" s="66"/>
      <c r="L15" s="66"/>
      <c r="M15" s="66"/>
      <c r="N15" s="66"/>
      <c r="O15" s="66"/>
      <c r="P15" s="66"/>
      <c r="Q15" s="66"/>
      <c r="R15" s="66"/>
      <c r="S15" s="66"/>
      <c r="T15" s="66"/>
      <c r="U15" s="66"/>
      <c r="V15" s="66"/>
      <c r="W15" s="66"/>
      <c r="X15" s="66"/>
      <c r="Y15" s="66"/>
      <c r="Z15" s="66"/>
      <c r="AA15" s="66"/>
      <c r="AB15" s="66"/>
      <c r="AC15" s="66"/>
      <c r="AD15" s="66"/>
      <c r="AE15" s="66"/>
      <c r="AF15" s="66"/>
      <c r="AG15" s="66"/>
      <c r="AH15" s="66"/>
      <c r="AI15" s="66"/>
      <c r="AJ15" s="66"/>
      <c r="AK15" s="66"/>
      <c r="AL15" s="66"/>
      <c r="AM15" s="66"/>
      <c r="AN15" s="66"/>
      <c r="AO15" s="66"/>
      <c r="AP15" s="66"/>
      <c r="AQ15" s="66"/>
      <c r="AR15" s="66"/>
      <c r="AS15" s="66"/>
      <c r="AT15" s="66"/>
      <c r="AU15" s="66"/>
      <c r="AV15" s="66"/>
      <c r="AW15" s="66"/>
      <c r="AX15" s="66"/>
      <c r="AY15" s="66"/>
      <c r="AZ15" s="66"/>
      <c r="BA15" s="66"/>
      <c r="BB15" s="66"/>
      <c r="BC15" s="66"/>
      <c r="BD15" s="66"/>
      <c r="BE15" s="66"/>
      <c r="BF15" s="66"/>
      <c r="BG15" s="66"/>
      <c r="BH15" s="66"/>
      <c r="BI15" s="66"/>
      <c r="BJ15" s="66"/>
      <c r="BK15" s="66"/>
      <c r="BL15" s="66"/>
      <c r="BM15" s="66"/>
      <c r="BN15" s="66"/>
    </row>
    <row r="16" spans="1:66" s="45" customFormat="1" ht="18">
      <c r="A16" s="66" t="str">
        <f t="shared" si="6"/>
        <v>1.8</v>
      </c>
      <c r="B16" s="67" t="s">
        <v>187</v>
      </c>
      <c r="C16" s="45" t="s">
        <v>15</v>
      </c>
      <c r="D16" s="68"/>
      <c r="E16" s="69">
        <v>46031</v>
      </c>
      <c r="F16" s="70">
        <f t="shared" si="4"/>
        <v>46040</v>
      </c>
      <c r="G16" s="71">
        <v>10</v>
      </c>
      <c r="H16" s="72">
        <v>0</v>
      </c>
      <c r="I16" s="88">
        <f t="shared" si="7"/>
        <v>6</v>
      </c>
      <c r="J16" s="89"/>
      <c r="K16" s="66"/>
      <c r="L16" s="66"/>
      <c r="M16" s="66"/>
      <c r="N16" s="66"/>
      <c r="O16" s="66"/>
      <c r="P16" s="66"/>
      <c r="Q16" s="66"/>
      <c r="R16" s="66"/>
      <c r="S16" s="66"/>
      <c r="T16" s="66"/>
      <c r="U16" s="66"/>
      <c r="V16" s="66"/>
      <c r="W16" s="66"/>
      <c r="X16" s="66"/>
      <c r="Y16" s="66"/>
      <c r="Z16" s="66"/>
      <c r="AA16" s="66"/>
      <c r="AB16" s="66"/>
      <c r="AC16" s="66"/>
      <c r="AD16" s="66"/>
      <c r="AE16" s="66"/>
      <c r="AF16" s="66"/>
      <c r="AG16" s="66"/>
      <c r="AH16" s="66"/>
      <c r="AI16" s="66"/>
      <c r="AJ16" s="66"/>
      <c r="AK16" s="66"/>
      <c r="AL16" s="66"/>
      <c r="AM16" s="66"/>
      <c r="AN16" s="66"/>
      <c r="AO16" s="66"/>
      <c r="AP16" s="66"/>
      <c r="AQ16" s="66"/>
      <c r="AR16" s="66"/>
      <c r="AS16" s="66"/>
      <c r="AT16" s="66"/>
      <c r="AU16" s="66"/>
      <c r="AV16" s="66"/>
      <c r="AW16" s="66"/>
      <c r="AX16" s="66"/>
      <c r="AY16" s="66"/>
      <c r="AZ16" s="66"/>
      <c r="BA16" s="66"/>
      <c r="BB16" s="66"/>
      <c r="BC16" s="66"/>
      <c r="BD16" s="66"/>
      <c r="BE16" s="66"/>
      <c r="BF16" s="66"/>
      <c r="BG16" s="66"/>
      <c r="BH16" s="66"/>
      <c r="BI16" s="66"/>
      <c r="BJ16" s="66"/>
      <c r="BK16" s="66"/>
      <c r="BL16" s="66"/>
      <c r="BM16" s="66"/>
      <c r="BN16" s="66"/>
    </row>
    <row r="17" spans="1:66" s="45" customFormat="1" ht="18">
      <c r="A17" s="66" t="str">
        <f t="shared" si="6"/>
        <v>1.9</v>
      </c>
      <c r="B17" s="67" t="s">
        <v>212</v>
      </c>
      <c r="C17" s="45" t="s">
        <v>14</v>
      </c>
      <c r="D17" s="68"/>
      <c r="E17" s="69"/>
      <c r="F17" s="70" t="str">
        <f t="shared" ref="F17" si="14">IF(ISBLANK(E17)," - ",IF(G17=0,E17,E17+G17-1))</f>
        <v xml:space="preserve"> - </v>
      </c>
      <c r="G17" s="71">
        <v>10</v>
      </c>
      <c r="H17" s="72">
        <v>0</v>
      </c>
      <c r="I17" s="88" t="str">
        <f t="shared" ref="I17" si="15">IF(OR(F17=0,E17=0)," - ",NETWORKDAYS(E17,F17))</f>
        <v xml:space="preserve"> - </v>
      </c>
      <c r="J17" s="89"/>
      <c r="K17" s="66"/>
      <c r="L17" s="66"/>
      <c r="M17" s="66"/>
      <c r="N17" s="66"/>
      <c r="O17" s="66"/>
      <c r="P17" s="66"/>
      <c r="Q17" s="66"/>
      <c r="R17" s="66"/>
      <c r="S17" s="66"/>
      <c r="T17" s="66"/>
      <c r="U17" s="66"/>
      <c r="V17" s="66"/>
      <c r="W17" s="66"/>
      <c r="X17" s="66"/>
      <c r="Y17" s="66"/>
      <c r="Z17" s="66"/>
      <c r="AA17" s="66"/>
      <c r="AB17" s="66"/>
      <c r="AC17" s="66"/>
      <c r="AD17" s="66"/>
      <c r="AE17" s="66"/>
      <c r="AF17" s="66"/>
      <c r="AG17" s="66"/>
      <c r="AH17" s="66"/>
      <c r="AI17" s="66"/>
      <c r="AJ17" s="66"/>
      <c r="AK17" s="66"/>
      <c r="AL17" s="66"/>
      <c r="AM17" s="66"/>
      <c r="AN17" s="66"/>
      <c r="AO17" s="66"/>
      <c r="AP17" s="66"/>
      <c r="AQ17" s="66"/>
      <c r="AR17" s="66"/>
      <c r="AS17" s="66"/>
      <c r="AT17" s="66"/>
      <c r="AU17" s="66"/>
      <c r="AV17" s="66"/>
      <c r="AW17" s="66"/>
      <c r="AX17" s="66"/>
      <c r="AY17" s="66"/>
      <c r="AZ17" s="66"/>
      <c r="BA17" s="66"/>
      <c r="BB17" s="66"/>
      <c r="BC17" s="66"/>
      <c r="BD17" s="66"/>
      <c r="BE17" s="66"/>
      <c r="BF17" s="66"/>
      <c r="BG17" s="66"/>
      <c r="BH17" s="66"/>
      <c r="BI17" s="66"/>
      <c r="BJ17" s="66"/>
      <c r="BK17" s="66"/>
      <c r="BL17" s="66"/>
      <c r="BM17" s="66"/>
      <c r="BN17" s="66"/>
    </row>
    <row r="18" spans="1:66" s="45" customFormat="1" ht="18">
      <c r="A18" s="66" t="str">
        <f t="shared" si="6"/>
        <v>1.10</v>
      </c>
      <c r="B18" s="67" t="s">
        <v>213</v>
      </c>
      <c r="C18" s="45" t="s">
        <v>16</v>
      </c>
      <c r="D18" s="68"/>
      <c r="E18" s="69"/>
      <c r="F18" s="70" t="str">
        <f t="shared" ref="F18" si="16">IF(ISBLANK(E18)," - ",IF(G18=0,E18,E18+G18-1))</f>
        <v xml:space="preserve"> - </v>
      </c>
      <c r="G18" s="71">
        <v>10</v>
      </c>
      <c r="H18" s="72">
        <v>0</v>
      </c>
      <c r="I18" s="88" t="str">
        <f t="shared" ref="I18" si="17">IF(OR(F18=0,E18=0)," - ",NETWORKDAYS(E18,F18))</f>
        <v xml:space="preserve"> - </v>
      </c>
      <c r="J18" s="89"/>
      <c r="K18" s="66"/>
      <c r="L18" s="66"/>
      <c r="M18" s="66"/>
      <c r="N18" s="66"/>
      <c r="O18" s="66"/>
      <c r="P18" s="66"/>
      <c r="Q18" s="66"/>
      <c r="R18" s="66"/>
      <c r="S18" s="66"/>
      <c r="T18" s="66"/>
      <c r="U18" s="66"/>
      <c r="V18" s="66"/>
      <c r="W18" s="66"/>
      <c r="X18" s="66"/>
      <c r="Y18" s="66"/>
      <c r="Z18" s="66"/>
      <c r="AA18" s="66"/>
      <c r="AB18" s="66"/>
      <c r="AC18" s="66"/>
      <c r="AD18" s="66"/>
      <c r="AE18" s="66"/>
      <c r="AF18" s="66"/>
      <c r="AG18" s="66"/>
      <c r="AH18" s="66"/>
      <c r="AI18" s="66"/>
      <c r="AJ18" s="66"/>
      <c r="AK18" s="66"/>
      <c r="AL18" s="66"/>
      <c r="AM18" s="66"/>
      <c r="AN18" s="66"/>
      <c r="AO18" s="66"/>
      <c r="AP18" s="66"/>
      <c r="AQ18" s="66"/>
      <c r="AR18" s="66"/>
      <c r="AS18" s="66"/>
      <c r="AT18" s="66"/>
      <c r="AU18" s="66"/>
      <c r="AV18" s="66"/>
      <c r="AW18" s="66"/>
      <c r="AX18" s="66"/>
      <c r="AY18" s="66"/>
      <c r="AZ18" s="66"/>
      <c r="BA18" s="66"/>
      <c r="BB18" s="66"/>
      <c r="BC18" s="66"/>
      <c r="BD18" s="66"/>
      <c r="BE18" s="66"/>
      <c r="BF18" s="66"/>
      <c r="BG18" s="66"/>
      <c r="BH18" s="66"/>
      <c r="BI18" s="66"/>
      <c r="BJ18" s="66"/>
      <c r="BK18" s="66"/>
      <c r="BL18" s="66"/>
      <c r="BM18" s="66"/>
      <c r="BN18" s="66"/>
    </row>
    <row r="19" spans="1:66" s="45" customFormat="1" ht="24">
      <c r="A19" s="66" t="str">
        <f t="shared" si="6"/>
        <v>1.11</v>
      </c>
      <c r="B19" s="67" t="s">
        <v>214</v>
      </c>
      <c r="C19" s="45" t="s">
        <v>16</v>
      </c>
      <c r="D19" s="68"/>
      <c r="E19" s="69"/>
      <c r="F19" s="70" t="str">
        <f t="shared" ref="F19" si="18">IF(ISBLANK(E19)," - ",IF(G19=0,E19,E19+G19-1))</f>
        <v xml:space="preserve"> - </v>
      </c>
      <c r="G19" s="71">
        <v>10</v>
      </c>
      <c r="H19" s="72">
        <v>0</v>
      </c>
      <c r="I19" s="88" t="str">
        <f t="shared" ref="I19" si="19">IF(OR(F19=0,E19=0)," - ",NETWORKDAYS(E19,F19))</f>
        <v xml:space="preserve"> - </v>
      </c>
      <c r="J19" s="89"/>
      <c r="K19" s="66"/>
      <c r="L19" s="66"/>
      <c r="M19" s="66"/>
      <c r="N19" s="66"/>
      <c r="O19" s="66"/>
      <c r="P19" s="66"/>
      <c r="Q19" s="66"/>
      <c r="R19" s="66"/>
      <c r="S19" s="66"/>
      <c r="T19" s="66"/>
      <c r="U19" s="66"/>
      <c r="V19" s="66"/>
      <c r="W19" s="66"/>
      <c r="X19" s="66"/>
      <c r="Y19" s="66"/>
      <c r="Z19" s="66"/>
      <c r="AA19" s="66"/>
      <c r="AB19" s="66"/>
      <c r="AC19" s="66"/>
      <c r="AD19" s="66"/>
      <c r="AE19" s="66"/>
      <c r="AF19" s="66"/>
      <c r="AG19" s="66"/>
      <c r="AH19" s="66"/>
      <c r="AI19" s="66"/>
      <c r="AJ19" s="66"/>
      <c r="AK19" s="66"/>
      <c r="AL19" s="66"/>
      <c r="AM19" s="66"/>
      <c r="AN19" s="66"/>
      <c r="AO19" s="66"/>
      <c r="AP19" s="66"/>
      <c r="AQ19" s="66"/>
      <c r="AR19" s="66"/>
      <c r="AS19" s="66"/>
      <c r="AT19" s="66"/>
      <c r="AU19" s="66"/>
      <c r="AV19" s="66"/>
      <c r="AW19" s="66"/>
      <c r="AX19" s="66"/>
      <c r="AY19" s="66"/>
      <c r="AZ19" s="66"/>
      <c r="BA19" s="66"/>
      <c r="BB19" s="66"/>
      <c r="BC19" s="66"/>
      <c r="BD19" s="66"/>
      <c r="BE19" s="66"/>
      <c r="BF19" s="66"/>
      <c r="BG19" s="66"/>
      <c r="BH19" s="66"/>
      <c r="BI19" s="66"/>
      <c r="BJ19" s="66"/>
      <c r="BK19" s="66"/>
      <c r="BL19" s="66"/>
      <c r="BM19" s="66"/>
      <c r="BN19" s="66"/>
    </row>
    <row r="20" spans="1:66" s="45" customFormat="1" ht="18">
      <c r="A20" s="66" t="str">
        <f t="shared" si="6"/>
        <v>1.12</v>
      </c>
      <c r="B20" s="100" t="s">
        <v>179</v>
      </c>
      <c r="C20" s="103" t="s">
        <v>16</v>
      </c>
      <c r="D20" s="68"/>
      <c r="E20" s="69">
        <v>45676</v>
      </c>
      <c r="F20" s="70">
        <f t="shared" si="4"/>
        <v>45683</v>
      </c>
      <c r="G20" s="71">
        <v>8</v>
      </c>
      <c r="H20" s="72">
        <v>0</v>
      </c>
      <c r="I20" s="88">
        <f>IF(OR(F20=0,E20=0)," - ",NETWORKDAYS(E20,F20))</f>
        <v>5</v>
      </c>
      <c r="J20" s="89"/>
      <c r="K20" s="66"/>
      <c r="L20" s="66"/>
      <c r="M20" s="66"/>
      <c r="N20" s="66"/>
      <c r="O20" s="66"/>
      <c r="P20" s="66"/>
      <c r="Q20" s="66"/>
      <c r="R20" s="66"/>
      <c r="S20" s="66"/>
      <c r="T20" s="66"/>
      <c r="U20" s="66"/>
      <c r="V20" s="66"/>
      <c r="W20" s="66"/>
      <c r="X20" s="66"/>
      <c r="Y20" s="66"/>
      <c r="Z20" s="66"/>
      <c r="AA20" s="66"/>
      <c r="AB20" s="66"/>
      <c r="AC20" s="66"/>
      <c r="AD20" s="66"/>
      <c r="AE20" s="66"/>
      <c r="AF20" s="66"/>
      <c r="AG20" s="66"/>
      <c r="AH20" s="66"/>
      <c r="AI20" s="66"/>
      <c r="AJ20" s="66"/>
      <c r="AK20" s="66"/>
      <c r="AL20" s="66"/>
      <c r="AM20" s="66"/>
      <c r="AN20" s="66"/>
      <c r="AO20" s="66"/>
      <c r="AP20" s="66"/>
      <c r="AQ20" s="66"/>
      <c r="AR20" s="66"/>
      <c r="AS20" s="66"/>
      <c r="AT20" s="66"/>
      <c r="AU20" s="66"/>
      <c r="AV20" s="66"/>
      <c r="AW20" s="66"/>
      <c r="AX20" s="66"/>
      <c r="AY20" s="66"/>
      <c r="AZ20" s="66"/>
      <c r="BA20" s="66"/>
      <c r="BB20" s="66"/>
      <c r="BC20" s="66"/>
      <c r="BD20" s="66"/>
      <c r="BE20" s="66"/>
      <c r="BF20" s="66"/>
      <c r="BG20" s="66"/>
      <c r="BH20" s="66"/>
      <c r="BI20" s="66"/>
      <c r="BJ20" s="66"/>
      <c r="BK20" s="66"/>
      <c r="BL20" s="66"/>
      <c r="BM20" s="66"/>
      <c r="BN20" s="66"/>
    </row>
    <row r="21" spans="1:66" s="45" customFormat="1" ht="18">
      <c r="A21" s="66" t="str">
        <f t="shared" si="6"/>
        <v>1.13</v>
      </c>
      <c r="B21" s="98" t="s">
        <v>178</v>
      </c>
      <c r="C21" s="45" t="s">
        <v>15</v>
      </c>
      <c r="D21" s="68"/>
      <c r="E21" s="69">
        <v>45676</v>
      </c>
      <c r="F21" s="70">
        <f t="shared" si="4"/>
        <v>45683</v>
      </c>
      <c r="G21" s="71">
        <v>8</v>
      </c>
      <c r="H21" s="72">
        <v>0</v>
      </c>
      <c r="I21" s="88">
        <f t="shared" si="7"/>
        <v>5</v>
      </c>
      <c r="J21" s="89"/>
      <c r="K21" s="66"/>
      <c r="L21" s="66"/>
      <c r="M21" s="66"/>
      <c r="N21" s="66"/>
      <c r="O21" s="66"/>
      <c r="P21" s="66"/>
      <c r="Q21" s="66"/>
      <c r="R21" s="66"/>
      <c r="S21" s="66"/>
      <c r="T21" s="66"/>
      <c r="U21" s="66"/>
      <c r="V21" s="66"/>
      <c r="W21" s="66"/>
      <c r="X21" s="66"/>
      <c r="Y21" s="66"/>
      <c r="Z21" s="66"/>
      <c r="AA21" s="66"/>
      <c r="AB21" s="66"/>
      <c r="AC21" s="66"/>
      <c r="AD21" s="66"/>
      <c r="AE21" s="66"/>
      <c r="AF21" s="66"/>
      <c r="AG21" s="66"/>
      <c r="AH21" s="66"/>
      <c r="AI21" s="66"/>
      <c r="AJ21" s="66"/>
      <c r="AK21" s="66"/>
      <c r="AL21" s="66"/>
      <c r="AM21" s="66"/>
      <c r="AN21" s="66"/>
      <c r="AO21" s="66"/>
      <c r="AP21" s="66"/>
      <c r="AQ21" s="66"/>
      <c r="AR21" s="66"/>
      <c r="AS21" s="66"/>
      <c r="AT21" s="66"/>
      <c r="AU21" s="66"/>
      <c r="AV21" s="66"/>
      <c r="AW21" s="66"/>
      <c r="AX21" s="66"/>
      <c r="AY21" s="66"/>
      <c r="AZ21" s="66"/>
      <c r="BA21" s="66"/>
      <c r="BB21" s="66"/>
      <c r="BC21" s="66"/>
      <c r="BD21" s="66"/>
      <c r="BE21" s="66"/>
      <c r="BF21" s="66"/>
      <c r="BG21" s="66"/>
      <c r="BH21" s="66"/>
      <c r="BI21" s="66"/>
      <c r="BJ21" s="66"/>
      <c r="BK21" s="66"/>
      <c r="BL21" s="66"/>
      <c r="BM21" s="66"/>
      <c r="BN21" s="66"/>
    </row>
    <row r="22" spans="1:66" s="45" customFormat="1" ht="18">
      <c r="A22" s="66" t="str">
        <f t="shared" si="6"/>
        <v>1.14</v>
      </c>
      <c r="B22" s="67" t="s">
        <v>180</v>
      </c>
      <c r="C22" s="45" t="s">
        <v>16</v>
      </c>
      <c r="D22" s="68"/>
      <c r="E22" s="69">
        <f t="shared" ref="E22:E46" si="20">F20+1</f>
        <v>45684</v>
      </c>
      <c r="F22" s="70">
        <f t="shared" si="4"/>
        <v>45691</v>
      </c>
      <c r="G22" s="71">
        <v>8</v>
      </c>
      <c r="H22" s="72">
        <v>0</v>
      </c>
      <c r="I22" s="88">
        <f t="shared" si="7"/>
        <v>6</v>
      </c>
      <c r="J22" s="89"/>
      <c r="K22" s="66"/>
      <c r="L22" s="66"/>
      <c r="M22" s="66"/>
      <c r="N22" s="66"/>
      <c r="O22" s="66"/>
      <c r="P22" s="66"/>
      <c r="Q22" s="66"/>
      <c r="R22" s="66"/>
      <c r="S22" s="66"/>
      <c r="T22" s="66"/>
      <c r="U22" s="66"/>
      <c r="V22" s="66"/>
      <c r="W22" s="66"/>
      <c r="X22" s="66"/>
      <c r="Y22" s="66"/>
      <c r="Z22" s="66"/>
      <c r="AA22" s="66"/>
      <c r="AB22" s="66"/>
      <c r="AC22" s="66"/>
      <c r="AD22" s="66"/>
      <c r="AE22" s="66"/>
      <c r="AF22" s="66"/>
      <c r="AG22" s="66"/>
      <c r="AH22" s="66"/>
      <c r="AI22" s="66"/>
      <c r="AJ22" s="66"/>
      <c r="AK22" s="66"/>
      <c r="AL22" s="66"/>
      <c r="AM22" s="66"/>
      <c r="AN22" s="66"/>
      <c r="AO22" s="66"/>
      <c r="AP22" s="66"/>
      <c r="AQ22" s="66"/>
      <c r="AR22" s="66"/>
      <c r="AS22" s="66"/>
      <c r="AT22" s="66"/>
      <c r="AU22" s="66"/>
      <c r="AV22" s="66"/>
      <c r="AW22" s="66"/>
      <c r="AX22" s="66"/>
      <c r="AY22" s="66"/>
      <c r="AZ22" s="66"/>
      <c r="BA22" s="66"/>
      <c r="BB22" s="66"/>
      <c r="BC22" s="66"/>
      <c r="BD22" s="66"/>
      <c r="BE22" s="66"/>
      <c r="BF22" s="66"/>
      <c r="BG22" s="66"/>
      <c r="BH22" s="66"/>
      <c r="BI22" s="66"/>
      <c r="BJ22" s="66"/>
      <c r="BK22" s="66"/>
      <c r="BL22" s="66"/>
      <c r="BM22" s="66"/>
      <c r="BN22" s="66"/>
    </row>
    <row r="23" spans="1:66" s="45" customFormat="1" ht="18">
      <c r="A23" s="66" t="str">
        <f t="shared" si="6"/>
        <v>1.15</v>
      </c>
      <c r="B23" s="67" t="s">
        <v>181</v>
      </c>
      <c r="C23" s="45" t="s">
        <v>15</v>
      </c>
      <c r="D23" s="68"/>
      <c r="E23" s="69">
        <f t="shared" si="20"/>
        <v>45684</v>
      </c>
      <c r="F23" s="70">
        <f t="shared" si="4"/>
        <v>45691</v>
      </c>
      <c r="G23" s="71">
        <v>8</v>
      </c>
      <c r="H23" s="72">
        <v>0</v>
      </c>
      <c r="I23" s="88">
        <f t="shared" si="7"/>
        <v>6</v>
      </c>
      <c r="J23" s="89"/>
      <c r="K23" s="66"/>
      <c r="L23" s="66"/>
      <c r="M23" s="66"/>
      <c r="N23" s="66"/>
      <c r="O23" s="66"/>
      <c r="P23" s="66"/>
      <c r="Q23" s="66"/>
      <c r="R23" s="66"/>
      <c r="S23" s="66"/>
      <c r="T23" s="66"/>
      <c r="U23" s="66"/>
      <c r="V23" s="66"/>
      <c r="W23" s="66"/>
      <c r="X23" s="66"/>
      <c r="Y23" s="66"/>
      <c r="Z23" s="66"/>
      <c r="AA23" s="66"/>
      <c r="AB23" s="66"/>
      <c r="AC23" s="66"/>
      <c r="AD23" s="66"/>
      <c r="AE23" s="66"/>
      <c r="AF23" s="66"/>
      <c r="AG23" s="66"/>
      <c r="AH23" s="66"/>
      <c r="AI23" s="66"/>
      <c r="AJ23" s="66"/>
      <c r="AK23" s="66"/>
      <c r="AL23" s="66"/>
      <c r="AM23" s="66"/>
      <c r="AN23" s="66"/>
      <c r="AO23" s="66"/>
      <c r="AP23" s="66"/>
      <c r="AQ23" s="66"/>
      <c r="AR23" s="66"/>
      <c r="AS23" s="66"/>
      <c r="AT23" s="66"/>
      <c r="AU23" s="66"/>
      <c r="AV23" s="66"/>
      <c r="AW23" s="66"/>
      <c r="AX23" s="66"/>
      <c r="AY23" s="66"/>
      <c r="AZ23" s="66"/>
      <c r="BA23" s="66"/>
      <c r="BB23" s="66"/>
      <c r="BC23" s="66"/>
      <c r="BD23" s="66"/>
      <c r="BE23" s="66"/>
      <c r="BF23" s="66"/>
      <c r="BG23" s="66"/>
      <c r="BH23" s="66"/>
      <c r="BI23" s="66"/>
      <c r="BJ23" s="66"/>
      <c r="BK23" s="66"/>
      <c r="BL23" s="66"/>
      <c r="BM23" s="66"/>
      <c r="BN23" s="66"/>
    </row>
    <row r="24" spans="1:66" s="45" customFormat="1" ht="18">
      <c r="A24" s="66" t="str">
        <f t="shared" si="6"/>
        <v>1.16</v>
      </c>
      <c r="B24" s="67" t="s">
        <v>182</v>
      </c>
      <c r="C24" s="45" t="s">
        <v>16</v>
      </c>
      <c r="D24" s="68"/>
      <c r="E24" s="69">
        <f t="shared" si="20"/>
        <v>45692</v>
      </c>
      <c r="F24" s="70">
        <f t="shared" si="4"/>
        <v>45699</v>
      </c>
      <c r="G24" s="71">
        <v>8</v>
      </c>
      <c r="H24" s="72">
        <v>0</v>
      </c>
      <c r="I24" s="88">
        <f t="shared" si="7"/>
        <v>6</v>
      </c>
      <c r="J24" s="89"/>
      <c r="K24" s="66"/>
      <c r="L24" s="66"/>
      <c r="M24" s="66"/>
      <c r="N24" s="66"/>
      <c r="O24" s="66"/>
      <c r="P24" s="66"/>
      <c r="Q24" s="66"/>
      <c r="R24" s="66"/>
      <c r="S24" s="66"/>
      <c r="T24" s="66"/>
      <c r="U24" s="66"/>
      <c r="V24" s="66"/>
      <c r="W24" s="66"/>
      <c r="X24" s="66"/>
      <c r="Y24" s="66"/>
      <c r="Z24" s="66"/>
      <c r="AA24" s="66"/>
      <c r="AB24" s="66"/>
      <c r="AC24" s="66"/>
      <c r="AD24" s="66"/>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row>
    <row r="25" spans="1:66" s="45" customFormat="1" ht="18">
      <c r="A25" s="66" t="str">
        <f t="shared" si="6"/>
        <v>1.17</v>
      </c>
      <c r="B25" s="67" t="s">
        <v>188</v>
      </c>
      <c r="C25" s="45" t="s">
        <v>15</v>
      </c>
      <c r="D25" s="68"/>
      <c r="E25" s="69">
        <f t="shared" si="20"/>
        <v>45692</v>
      </c>
      <c r="F25" s="70">
        <f t="shared" ref="F25" si="21">IF(ISBLANK(E25)," - ",IF(G25=0,E25,E25+G25-1))</f>
        <v>45699</v>
      </c>
      <c r="G25" s="71">
        <v>8</v>
      </c>
      <c r="H25" s="72">
        <v>0</v>
      </c>
      <c r="I25" s="88">
        <f t="shared" ref="I25" si="22">IF(OR(F25=0,E25=0)," - ",NETWORKDAYS(E25,F25))</f>
        <v>6</v>
      </c>
      <c r="J25" s="89"/>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row>
    <row r="26" spans="1:66" s="45" customFormat="1" ht="18">
      <c r="A26" s="66" t="str">
        <f t="shared" si="6"/>
        <v>1.18</v>
      </c>
      <c r="B26" s="99" t="s">
        <v>189</v>
      </c>
      <c r="C26" s="45" t="s">
        <v>16</v>
      </c>
      <c r="D26" s="68"/>
      <c r="E26" s="69">
        <f t="shared" si="20"/>
        <v>45700</v>
      </c>
      <c r="F26" s="70">
        <f t="shared" ref="F26" si="23">IF(ISBLANK(E26)," - ",IF(G26=0,E26,E26+G26-1))</f>
        <v>45707</v>
      </c>
      <c r="G26" s="71">
        <v>8</v>
      </c>
      <c r="H26" s="72">
        <v>0</v>
      </c>
      <c r="I26" s="88">
        <f t="shared" ref="I26" si="24">IF(OR(F26=0,E26=0)," - ",NETWORKDAYS(E26,F26))</f>
        <v>6</v>
      </c>
      <c r="J26" s="89"/>
      <c r="K26" s="66"/>
      <c r="L26" s="66"/>
      <c r="M26" s="66"/>
      <c r="N26" s="66"/>
      <c r="O26" s="66"/>
      <c r="P26" s="66"/>
      <c r="Q26" s="66"/>
      <c r="R26" s="66"/>
      <c r="S26" s="66"/>
      <c r="T26" s="66"/>
      <c r="U26" s="66"/>
      <c r="V26" s="66"/>
      <c r="W26" s="66"/>
      <c r="X26" s="66"/>
      <c r="Y26" s="66"/>
      <c r="Z26" s="66"/>
      <c r="AA26" s="66"/>
      <c r="AB26" s="66"/>
      <c r="AC26" s="66"/>
      <c r="AD26" s="66"/>
      <c r="AE26" s="66"/>
      <c r="AF26" s="66"/>
      <c r="AG26" s="66"/>
      <c r="AH26" s="66"/>
      <c r="AI26" s="66"/>
      <c r="AJ26" s="66"/>
      <c r="AK26" s="66"/>
      <c r="AL26" s="66"/>
      <c r="AM26" s="66"/>
      <c r="AN26" s="66"/>
      <c r="AO26" s="66"/>
      <c r="AP26" s="66"/>
      <c r="AQ26" s="66"/>
      <c r="AR26" s="66"/>
      <c r="AS26" s="66"/>
      <c r="AT26" s="66"/>
      <c r="AU26" s="66"/>
      <c r="AV26" s="66"/>
      <c r="AW26" s="66"/>
      <c r="AX26" s="66"/>
      <c r="AY26" s="66"/>
      <c r="AZ26" s="66"/>
      <c r="BA26" s="66"/>
      <c r="BB26" s="66"/>
      <c r="BC26" s="66"/>
      <c r="BD26" s="66"/>
      <c r="BE26" s="66"/>
      <c r="BF26" s="66"/>
      <c r="BG26" s="66"/>
      <c r="BH26" s="66"/>
      <c r="BI26" s="66"/>
      <c r="BJ26" s="66"/>
      <c r="BK26" s="66"/>
      <c r="BL26" s="66"/>
      <c r="BM26" s="66"/>
      <c r="BN26" s="66"/>
    </row>
    <row r="27" spans="1:66" s="45" customFormat="1" ht="18">
      <c r="A27" s="66" t="str">
        <f t="shared" si="6"/>
        <v>1.19</v>
      </c>
      <c r="B27" s="99" t="s">
        <v>190</v>
      </c>
      <c r="C27" s="45" t="s">
        <v>15</v>
      </c>
      <c r="D27" s="68"/>
      <c r="E27" s="69">
        <f t="shared" si="20"/>
        <v>45700</v>
      </c>
      <c r="F27" s="70">
        <f t="shared" ref="F27:F46" si="25">IF(ISBLANK(E27)," - ",IF(G27=0,E27,E27+G27-1))</f>
        <v>45707</v>
      </c>
      <c r="G27" s="71">
        <v>8</v>
      </c>
      <c r="H27" s="72">
        <v>0</v>
      </c>
      <c r="I27" s="88">
        <f t="shared" ref="I27:I46" si="26">IF(OR(F27=0,E27=0)," - ",NETWORKDAYS(E27,F27))</f>
        <v>6</v>
      </c>
      <c r="J27" s="89"/>
      <c r="K27" s="66"/>
      <c r="L27" s="66"/>
      <c r="M27" s="66"/>
      <c r="N27" s="66"/>
      <c r="O27" s="66"/>
      <c r="P27" s="66"/>
      <c r="Q27" s="66"/>
      <c r="R27" s="66"/>
      <c r="S27" s="66"/>
      <c r="T27" s="66"/>
      <c r="U27" s="66"/>
      <c r="V27" s="66"/>
      <c r="W27" s="66"/>
      <c r="X27" s="66"/>
      <c r="Y27" s="66"/>
      <c r="Z27" s="66"/>
      <c r="AA27" s="66"/>
      <c r="AB27" s="66"/>
      <c r="AC27" s="66"/>
      <c r="AD27" s="66"/>
      <c r="AE27" s="66"/>
      <c r="AF27" s="66"/>
      <c r="AG27" s="66"/>
      <c r="AH27" s="66"/>
      <c r="AI27" s="66"/>
      <c r="AJ27" s="66"/>
      <c r="AK27" s="66"/>
      <c r="AL27" s="66"/>
      <c r="AM27" s="66"/>
      <c r="AN27" s="66"/>
      <c r="AO27" s="66"/>
      <c r="AP27" s="66"/>
      <c r="AQ27" s="66"/>
      <c r="AR27" s="66"/>
      <c r="AS27" s="66"/>
      <c r="AT27" s="66"/>
      <c r="AU27" s="66"/>
      <c r="AV27" s="66"/>
      <c r="AW27" s="66"/>
      <c r="AX27" s="66"/>
      <c r="AY27" s="66"/>
      <c r="AZ27" s="66"/>
      <c r="BA27" s="66"/>
      <c r="BB27" s="66"/>
      <c r="BC27" s="66"/>
      <c r="BD27" s="66"/>
      <c r="BE27" s="66"/>
      <c r="BF27" s="66"/>
      <c r="BG27" s="66"/>
      <c r="BH27" s="66"/>
      <c r="BI27" s="66"/>
      <c r="BJ27" s="66"/>
      <c r="BK27" s="66"/>
      <c r="BL27" s="66"/>
      <c r="BM27" s="66"/>
      <c r="BN27" s="66"/>
    </row>
    <row r="28" spans="1:66" s="45" customFormat="1" ht="18">
      <c r="A28" s="66" t="str">
        <f t="shared" si="6"/>
        <v>1.20</v>
      </c>
      <c r="B28" s="99" t="s">
        <v>191</v>
      </c>
      <c r="C28" s="45" t="s">
        <v>16</v>
      </c>
      <c r="D28" s="68"/>
      <c r="E28" s="69">
        <f t="shared" si="20"/>
        <v>45708</v>
      </c>
      <c r="F28" s="70">
        <f t="shared" si="25"/>
        <v>45715</v>
      </c>
      <c r="G28" s="71">
        <v>8</v>
      </c>
      <c r="H28" s="72">
        <v>0</v>
      </c>
      <c r="I28" s="88">
        <f t="shared" si="26"/>
        <v>6</v>
      </c>
      <c r="J28" s="89"/>
      <c r="K28" s="66"/>
      <c r="L28" s="66"/>
      <c r="M28" s="66"/>
      <c r="N28" s="66"/>
      <c r="O28" s="66"/>
      <c r="P28" s="66"/>
      <c r="Q28" s="66"/>
      <c r="R28" s="66"/>
      <c r="S28" s="66"/>
      <c r="T28" s="66"/>
      <c r="U28" s="66"/>
      <c r="V28" s="66"/>
      <c r="W28" s="66"/>
      <c r="X28" s="66"/>
      <c r="Y28" s="66"/>
      <c r="Z28" s="66"/>
      <c r="AA28" s="66"/>
      <c r="AB28" s="66"/>
      <c r="AC28" s="66"/>
      <c r="AD28" s="66"/>
      <c r="AE28" s="66"/>
      <c r="AF28" s="66"/>
      <c r="AG28" s="66"/>
      <c r="AH28" s="66"/>
      <c r="AI28" s="66"/>
      <c r="AJ28" s="66"/>
      <c r="AK28" s="66"/>
      <c r="AL28" s="66"/>
      <c r="AM28" s="66"/>
      <c r="AN28" s="66"/>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row>
    <row r="29" spans="1:66" s="45" customFormat="1" ht="18">
      <c r="A29" s="66" t="str">
        <f t="shared" si="6"/>
        <v>1.21</v>
      </c>
      <c r="B29" s="99" t="s">
        <v>192</v>
      </c>
      <c r="C29" s="45" t="s">
        <v>15</v>
      </c>
      <c r="D29" s="68"/>
      <c r="E29" s="69">
        <f t="shared" si="20"/>
        <v>45708</v>
      </c>
      <c r="F29" s="70">
        <f t="shared" si="25"/>
        <v>45715</v>
      </c>
      <c r="G29" s="71">
        <v>8</v>
      </c>
      <c r="H29" s="72">
        <v>0</v>
      </c>
      <c r="I29" s="88">
        <f t="shared" si="26"/>
        <v>6</v>
      </c>
      <c r="J29" s="89"/>
      <c r="K29" s="66"/>
      <c r="L29" s="66"/>
      <c r="M29" s="66"/>
      <c r="N29" s="66"/>
      <c r="O29" s="66"/>
      <c r="P29" s="66"/>
      <c r="Q29" s="66"/>
      <c r="R29" s="66"/>
      <c r="S29" s="66"/>
      <c r="T29" s="66"/>
      <c r="U29" s="66"/>
      <c r="V29" s="66"/>
      <c r="W29" s="66"/>
      <c r="X29" s="66"/>
      <c r="Y29" s="66"/>
      <c r="Z29" s="66"/>
      <c r="AA29" s="66"/>
      <c r="AB29" s="66"/>
      <c r="AC29" s="66"/>
      <c r="AD29" s="66"/>
      <c r="AE29" s="66"/>
      <c r="AF29" s="66"/>
      <c r="AG29" s="66"/>
      <c r="AH29" s="66"/>
      <c r="AI29" s="66"/>
      <c r="AJ29" s="66"/>
      <c r="AK29" s="66"/>
      <c r="AL29" s="66"/>
      <c r="AM29" s="66"/>
      <c r="AN29" s="66"/>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row>
    <row r="30" spans="1:66" s="45" customFormat="1" ht="18">
      <c r="A30" s="66" t="str">
        <f t="shared" si="6"/>
        <v>1.22</v>
      </c>
      <c r="B30" s="99" t="s">
        <v>193</v>
      </c>
      <c r="C30" s="45" t="s">
        <v>16</v>
      </c>
      <c r="D30" s="68"/>
      <c r="E30" s="69">
        <f t="shared" si="20"/>
        <v>45716</v>
      </c>
      <c r="F30" s="70">
        <f t="shared" si="25"/>
        <v>45723</v>
      </c>
      <c r="G30" s="71">
        <v>8</v>
      </c>
      <c r="H30" s="72">
        <v>0</v>
      </c>
      <c r="I30" s="88">
        <f t="shared" si="26"/>
        <v>6</v>
      </c>
      <c r="J30" s="89"/>
      <c r="K30" s="66"/>
      <c r="L30" s="66"/>
      <c r="M30" s="66"/>
      <c r="N30" s="66"/>
      <c r="O30" s="66"/>
      <c r="P30" s="66"/>
      <c r="Q30" s="66"/>
      <c r="R30" s="66"/>
      <c r="S30" s="66"/>
      <c r="T30" s="66"/>
      <c r="U30" s="66"/>
      <c r="V30" s="66"/>
      <c r="W30" s="66"/>
      <c r="X30" s="66"/>
      <c r="Y30" s="66"/>
      <c r="Z30" s="66"/>
      <c r="AA30" s="66"/>
      <c r="AB30" s="66"/>
      <c r="AC30" s="66"/>
      <c r="AD30" s="66"/>
      <c r="AE30" s="66"/>
      <c r="AF30" s="66"/>
      <c r="AG30" s="66"/>
      <c r="AH30" s="66"/>
      <c r="AI30" s="66"/>
      <c r="AJ30" s="66"/>
      <c r="AK30" s="66"/>
      <c r="AL30" s="66"/>
      <c r="AM30" s="66"/>
      <c r="AN30" s="66"/>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row>
    <row r="31" spans="1:66" s="45" customFormat="1" ht="18">
      <c r="A31" s="66" t="str">
        <f t="shared" si="6"/>
        <v>1.23</v>
      </c>
      <c r="B31" s="99" t="s">
        <v>194</v>
      </c>
      <c r="C31" s="45" t="s">
        <v>15</v>
      </c>
      <c r="D31" s="68"/>
      <c r="E31" s="69">
        <f t="shared" si="20"/>
        <v>45716</v>
      </c>
      <c r="F31" s="70">
        <f t="shared" si="25"/>
        <v>45723</v>
      </c>
      <c r="G31" s="71">
        <v>8</v>
      </c>
      <c r="H31" s="72">
        <v>0</v>
      </c>
      <c r="I31" s="88">
        <f t="shared" si="26"/>
        <v>6</v>
      </c>
      <c r="J31" s="89"/>
      <c r="K31" s="66"/>
      <c r="L31" s="66"/>
      <c r="M31" s="66"/>
      <c r="N31" s="66"/>
      <c r="O31" s="66"/>
      <c r="P31" s="66"/>
      <c r="Q31" s="66"/>
      <c r="R31" s="66"/>
      <c r="S31" s="66"/>
      <c r="T31" s="66"/>
      <c r="U31" s="66"/>
      <c r="V31" s="66"/>
      <c r="W31" s="66"/>
      <c r="X31" s="66"/>
      <c r="Y31" s="66"/>
      <c r="Z31" s="66"/>
      <c r="AA31" s="66"/>
      <c r="AB31" s="66"/>
      <c r="AC31" s="66"/>
      <c r="AD31" s="66"/>
      <c r="AE31" s="66"/>
      <c r="AF31" s="66"/>
      <c r="AG31" s="66"/>
      <c r="AH31" s="66"/>
      <c r="AI31" s="66"/>
      <c r="AJ31" s="66"/>
      <c r="AK31" s="66"/>
      <c r="AL31" s="66"/>
      <c r="AM31" s="66"/>
      <c r="AN31" s="66"/>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row>
    <row r="32" spans="1:66" s="45" customFormat="1" ht="18">
      <c r="A32" s="66" t="str">
        <f t="shared" si="6"/>
        <v>1.24</v>
      </c>
      <c r="B32" s="99" t="s">
        <v>195</v>
      </c>
      <c r="C32" s="45" t="s">
        <v>16</v>
      </c>
      <c r="D32" s="68"/>
      <c r="E32" s="69">
        <f t="shared" si="20"/>
        <v>45724</v>
      </c>
      <c r="F32" s="70">
        <f t="shared" si="25"/>
        <v>45731</v>
      </c>
      <c r="G32" s="71">
        <v>8</v>
      </c>
      <c r="H32" s="72">
        <v>0</v>
      </c>
      <c r="I32" s="88">
        <f t="shared" si="26"/>
        <v>5</v>
      </c>
      <c r="J32" s="89"/>
      <c r="K32" s="66"/>
      <c r="L32" s="66"/>
      <c r="M32" s="66"/>
      <c r="N32" s="66"/>
      <c r="O32" s="66"/>
      <c r="P32" s="66"/>
      <c r="Q32" s="66"/>
      <c r="R32" s="66"/>
      <c r="S32" s="66"/>
      <c r="T32" s="66"/>
      <c r="U32" s="66"/>
      <c r="V32" s="66"/>
      <c r="W32" s="66"/>
      <c r="X32" s="66"/>
      <c r="Y32" s="66"/>
      <c r="Z32" s="66"/>
      <c r="AA32" s="66"/>
      <c r="AB32" s="66"/>
      <c r="AC32" s="66"/>
      <c r="AD32" s="66"/>
      <c r="AE32" s="66"/>
      <c r="AF32" s="66"/>
      <c r="AG32" s="66"/>
      <c r="AH32" s="66"/>
      <c r="AI32" s="66"/>
      <c r="AJ32" s="66"/>
      <c r="AK32" s="66"/>
      <c r="AL32" s="66"/>
      <c r="AM32" s="66"/>
      <c r="AN32" s="66"/>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row>
    <row r="33" spans="1:66" s="45" customFormat="1" ht="18">
      <c r="A33" s="66" t="str">
        <f t="shared" si="6"/>
        <v>1.25</v>
      </c>
      <c r="B33" s="99" t="s">
        <v>196</v>
      </c>
      <c r="C33" s="45" t="s">
        <v>15</v>
      </c>
      <c r="D33" s="68"/>
      <c r="E33" s="69">
        <f t="shared" si="20"/>
        <v>45724</v>
      </c>
      <c r="F33" s="70">
        <f t="shared" si="25"/>
        <v>45731</v>
      </c>
      <c r="G33" s="71">
        <v>8</v>
      </c>
      <c r="H33" s="72">
        <v>0</v>
      </c>
      <c r="I33" s="88">
        <f t="shared" si="26"/>
        <v>5</v>
      </c>
      <c r="J33" s="89"/>
      <c r="K33" s="66"/>
      <c r="L33" s="66"/>
      <c r="M33" s="66"/>
      <c r="N33" s="66"/>
      <c r="O33" s="66"/>
      <c r="P33" s="66"/>
      <c r="Q33" s="66"/>
      <c r="R33" s="66"/>
      <c r="S33" s="66"/>
      <c r="T33" s="66"/>
      <c r="U33" s="66"/>
      <c r="V33" s="66"/>
      <c r="W33" s="66"/>
      <c r="X33" s="66"/>
      <c r="Y33" s="66"/>
      <c r="Z33" s="66"/>
      <c r="AA33" s="66"/>
      <c r="AB33" s="66"/>
      <c r="AC33" s="66"/>
      <c r="AD33" s="66"/>
      <c r="AE33" s="66"/>
      <c r="AF33" s="66"/>
      <c r="AG33" s="66"/>
      <c r="AH33" s="66"/>
      <c r="AI33" s="66"/>
      <c r="AJ33" s="66"/>
      <c r="AK33" s="66"/>
      <c r="AL33" s="66"/>
      <c r="AM33" s="66"/>
      <c r="AN33" s="66"/>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row>
    <row r="34" spans="1:66" s="45" customFormat="1" ht="18">
      <c r="A34" s="66" t="str">
        <f t="shared" si="6"/>
        <v>1.26</v>
      </c>
      <c r="B34" s="99" t="s">
        <v>197</v>
      </c>
      <c r="C34" s="45" t="s">
        <v>16</v>
      </c>
      <c r="D34" s="68"/>
      <c r="E34" s="69">
        <f t="shared" si="20"/>
        <v>45732</v>
      </c>
      <c r="F34" s="70">
        <f t="shared" si="25"/>
        <v>45739</v>
      </c>
      <c r="G34" s="71">
        <v>8</v>
      </c>
      <c r="H34" s="72">
        <v>0</v>
      </c>
      <c r="I34" s="88">
        <f t="shared" si="26"/>
        <v>5</v>
      </c>
      <c r="J34" s="89"/>
      <c r="K34" s="66"/>
      <c r="L34" s="66"/>
      <c r="M34" s="66"/>
      <c r="N34" s="66"/>
      <c r="O34" s="66"/>
      <c r="P34" s="66"/>
      <c r="Q34" s="66"/>
      <c r="R34" s="66"/>
      <c r="S34" s="66"/>
      <c r="T34" s="66"/>
      <c r="U34" s="66"/>
      <c r="V34" s="66"/>
      <c r="W34" s="66"/>
      <c r="X34" s="66"/>
      <c r="Y34" s="66"/>
      <c r="Z34" s="66"/>
      <c r="AA34" s="66"/>
      <c r="AB34" s="66"/>
      <c r="AC34" s="66"/>
      <c r="AD34" s="66"/>
      <c r="AE34" s="66"/>
      <c r="AF34" s="66"/>
      <c r="AG34" s="66"/>
      <c r="AH34" s="66"/>
      <c r="AI34" s="66"/>
      <c r="AJ34" s="66"/>
      <c r="AK34" s="66"/>
      <c r="AL34" s="66"/>
      <c r="AM34" s="66"/>
      <c r="AN34" s="66"/>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row>
    <row r="35" spans="1:66" s="45" customFormat="1" ht="18">
      <c r="A35" s="66" t="str">
        <f t="shared" si="6"/>
        <v>1.27</v>
      </c>
      <c r="B35" s="99" t="s">
        <v>198</v>
      </c>
      <c r="C35" s="45" t="s">
        <v>15</v>
      </c>
      <c r="D35" s="68"/>
      <c r="E35" s="69">
        <f t="shared" si="20"/>
        <v>45732</v>
      </c>
      <c r="F35" s="70">
        <f t="shared" si="25"/>
        <v>45739</v>
      </c>
      <c r="G35" s="71">
        <v>8</v>
      </c>
      <c r="H35" s="72">
        <v>0</v>
      </c>
      <c r="I35" s="88">
        <f t="shared" si="26"/>
        <v>5</v>
      </c>
      <c r="J35" s="89"/>
      <c r="K35" s="66"/>
      <c r="L35" s="66"/>
      <c r="M35" s="66"/>
      <c r="N35" s="66"/>
      <c r="O35" s="66"/>
      <c r="P35" s="66"/>
      <c r="Q35" s="66"/>
      <c r="R35" s="66"/>
      <c r="S35" s="66"/>
      <c r="T35" s="66"/>
      <c r="U35" s="66"/>
      <c r="V35" s="66"/>
      <c r="W35" s="66"/>
      <c r="X35" s="66"/>
      <c r="Y35" s="66"/>
      <c r="Z35" s="66"/>
      <c r="AA35" s="66"/>
      <c r="AB35" s="66"/>
      <c r="AC35" s="66"/>
      <c r="AD35" s="66"/>
      <c r="AE35" s="66"/>
      <c r="AF35" s="66"/>
      <c r="AG35" s="66"/>
      <c r="AH35" s="66"/>
      <c r="AI35" s="66"/>
      <c r="AJ35" s="66"/>
      <c r="AK35" s="66"/>
      <c r="AL35" s="66"/>
      <c r="AM35" s="66"/>
      <c r="AN35" s="66"/>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row>
    <row r="36" spans="1:66" s="45" customFormat="1" ht="18">
      <c r="A36" s="66" t="str">
        <f t="shared" si="6"/>
        <v>1.28</v>
      </c>
      <c r="B36" s="99" t="s">
        <v>199</v>
      </c>
      <c r="C36" s="45" t="s">
        <v>16</v>
      </c>
      <c r="D36" s="68"/>
      <c r="E36" s="69">
        <f t="shared" si="20"/>
        <v>45740</v>
      </c>
      <c r="F36" s="70">
        <f t="shared" si="25"/>
        <v>45755</v>
      </c>
      <c r="G36" s="71">
        <v>16</v>
      </c>
      <c r="H36" s="72">
        <v>0</v>
      </c>
      <c r="I36" s="88">
        <f t="shared" si="26"/>
        <v>12</v>
      </c>
      <c r="J36" s="89"/>
      <c r="K36" s="66"/>
      <c r="L36" s="66"/>
      <c r="M36" s="66"/>
      <c r="N36" s="66"/>
      <c r="O36" s="66"/>
      <c r="P36" s="66"/>
      <c r="Q36" s="66"/>
      <c r="R36" s="66"/>
      <c r="S36" s="66"/>
      <c r="T36" s="66"/>
      <c r="U36" s="66"/>
      <c r="V36" s="66"/>
      <c r="W36" s="66"/>
      <c r="X36" s="66"/>
      <c r="Y36" s="66"/>
      <c r="Z36" s="66"/>
      <c r="AA36" s="66"/>
      <c r="AB36" s="66"/>
      <c r="AC36" s="66"/>
      <c r="AD36" s="66"/>
      <c r="AE36" s="66"/>
      <c r="AF36" s="66"/>
      <c r="AG36" s="66"/>
      <c r="AH36" s="66"/>
      <c r="AI36" s="66"/>
      <c r="AJ36" s="66"/>
      <c r="AK36" s="66"/>
      <c r="AL36" s="66"/>
      <c r="AM36" s="66"/>
      <c r="AN36" s="66"/>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row>
    <row r="37" spans="1:66" s="45" customFormat="1" ht="18">
      <c r="A37" s="66" t="str">
        <f t="shared" si="6"/>
        <v>1.29</v>
      </c>
      <c r="B37" s="99" t="s">
        <v>200</v>
      </c>
      <c r="C37" s="45" t="s">
        <v>15</v>
      </c>
      <c r="D37" s="68"/>
      <c r="E37" s="69">
        <f t="shared" si="20"/>
        <v>45740</v>
      </c>
      <c r="F37" s="70">
        <f t="shared" si="25"/>
        <v>45755</v>
      </c>
      <c r="G37" s="71">
        <v>16</v>
      </c>
      <c r="H37" s="72">
        <v>0</v>
      </c>
      <c r="I37" s="88">
        <f t="shared" si="26"/>
        <v>12</v>
      </c>
      <c r="J37" s="89"/>
      <c r="K37" s="66"/>
      <c r="L37" s="66"/>
      <c r="M37" s="66"/>
      <c r="N37" s="66"/>
      <c r="O37" s="66"/>
      <c r="P37" s="66"/>
      <c r="Q37" s="66"/>
      <c r="R37" s="66"/>
      <c r="S37" s="66"/>
      <c r="T37" s="66"/>
      <c r="U37" s="66"/>
      <c r="V37" s="66"/>
      <c r="W37" s="66"/>
      <c r="X37" s="66"/>
      <c r="Y37" s="66"/>
      <c r="Z37" s="66"/>
      <c r="AA37" s="66"/>
      <c r="AB37" s="66"/>
      <c r="AC37" s="66"/>
      <c r="AD37" s="66"/>
      <c r="AE37" s="66"/>
      <c r="AF37" s="66"/>
      <c r="AG37" s="66"/>
      <c r="AH37" s="66"/>
      <c r="AI37" s="66"/>
      <c r="AJ37" s="66"/>
      <c r="AK37" s="66"/>
      <c r="AL37" s="66"/>
      <c r="AM37" s="66"/>
      <c r="AN37" s="66"/>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row>
    <row r="38" spans="1:66" s="45" customFormat="1" ht="18">
      <c r="A38" s="66" t="str">
        <f t="shared" si="6"/>
        <v>1.30</v>
      </c>
      <c r="B38" s="99" t="s">
        <v>201</v>
      </c>
      <c r="C38" s="45" t="s">
        <v>16</v>
      </c>
      <c r="D38" s="68"/>
      <c r="E38" s="69">
        <f t="shared" si="20"/>
        <v>45756</v>
      </c>
      <c r="F38" s="70">
        <f t="shared" si="25"/>
        <v>45763</v>
      </c>
      <c r="G38" s="71">
        <v>8</v>
      </c>
      <c r="H38" s="72">
        <v>0</v>
      </c>
      <c r="I38" s="88">
        <f t="shared" si="26"/>
        <v>6</v>
      </c>
      <c r="J38" s="89"/>
      <c r="K38" s="66"/>
      <c r="L38" s="66"/>
      <c r="M38" s="66"/>
      <c r="N38" s="66"/>
      <c r="O38" s="66"/>
      <c r="P38" s="66"/>
      <c r="Q38" s="66"/>
      <c r="R38" s="66"/>
      <c r="S38" s="66"/>
      <c r="T38" s="66"/>
      <c r="U38" s="66"/>
      <c r="V38" s="66"/>
      <c r="W38" s="66"/>
      <c r="X38" s="66"/>
      <c r="Y38" s="66"/>
      <c r="Z38" s="66"/>
      <c r="AA38" s="66"/>
      <c r="AB38" s="66"/>
      <c r="AC38" s="66"/>
      <c r="AD38" s="66"/>
      <c r="AE38" s="66"/>
      <c r="AF38" s="66"/>
      <c r="AG38" s="66"/>
      <c r="AH38" s="66"/>
      <c r="AI38" s="66"/>
      <c r="AJ38" s="66"/>
      <c r="AK38" s="66"/>
      <c r="AL38" s="66"/>
      <c r="AM38" s="66"/>
      <c r="AN38" s="66"/>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row>
    <row r="39" spans="1:66" s="45" customFormat="1" ht="18">
      <c r="A39" s="66" t="str">
        <f t="shared" si="6"/>
        <v>1.31</v>
      </c>
      <c r="B39" s="99" t="s">
        <v>202</v>
      </c>
      <c r="C39" s="45" t="s">
        <v>15</v>
      </c>
      <c r="D39" s="68"/>
      <c r="E39" s="69">
        <f t="shared" si="20"/>
        <v>45756</v>
      </c>
      <c r="F39" s="70">
        <f t="shared" si="25"/>
        <v>45763</v>
      </c>
      <c r="G39" s="71">
        <v>8</v>
      </c>
      <c r="H39" s="72">
        <v>0</v>
      </c>
      <c r="I39" s="88">
        <f t="shared" si="26"/>
        <v>6</v>
      </c>
      <c r="J39" s="89"/>
      <c r="K39" s="66"/>
      <c r="L39" s="66"/>
      <c r="M39" s="66"/>
      <c r="N39" s="66"/>
      <c r="O39" s="66"/>
      <c r="P39" s="66"/>
      <c r="Q39" s="66"/>
      <c r="R39" s="66"/>
      <c r="S39" s="66"/>
      <c r="T39" s="66"/>
      <c r="U39" s="66"/>
      <c r="V39" s="66"/>
      <c r="W39" s="66"/>
      <c r="X39" s="66"/>
      <c r="Y39" s="66"/>
      <c r="Z39" s="66"/>
      <c r="AA39" s="66"/>
      <c r="AB39" s="66"/>
      <c r="AC39" s="66"/>
      <c r="AD39" s="66"/>
      <c r="AE39" s="66"/>
      <c r="AF39" s="66"/>
      <c r="AG39" s="66"/>
      <c r="AH39" s="66"/>
      <c r="AI39" s="66"/>
      <c r="AJ39" s="66"/>
      <c r="AK39" s="66"/>
      <c r="AL39" s="66"/>
      <c r="AM39" s="66"/>
      <c r="AN39" s="66"/>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row>
    <row r="40" spans="1:66" s="45" customFormat="1" ht="18">
      <c r="A40" s="66" t="str">
        <f t="shared" si="6"/>
        <v>1.32</v>
      </c>
      <c r="B40" s="99" t="s">
        <v>203</v>
      </c>
      <c r="C40" s="45" t="s">
        <v>16</v>
      </c>
      <c r="D40" s="68"/>
      <c r="E40" s="69">
        <f t="shared" si="20"/>
        <v>45764</v>
      </c>
      <c r="F40" s="70">
        <f t="shared" si="25"/>
        <v>45771</v>
      </c>
      <c r="G40" s="71">
        <v>8</v>
      </c>
      <c r="H40" s="72">
        <v>0</v>
      </c>
      <c r="I40" s="88">
        <f t="shared" si="26"/>
        <v>6</v>
      </c>
      <c r="J40" s="89"/>
      <c r="K40" s="66"/>
      <c r="L40" s="66"/>
      <c r="M40" s="66"/>
      <c r="N40" s="66"/>
      <c r="O40" s="66"/>
      <c r="P40" s="66"/>
      <c r="Q40" s="66"/>
      <c r="R40" s="66"/>
      <c r="S40" s="66"/>
      <c r="T40" s="66"/>
      <c r="U40" s="66"/>
      <c r="V40" s="66"/>
      <c r="W40" s="66"/>
      <c r="X40" s="66"/>
      <c r="Y40" s="66"/>
      <c r="Z40" s="66"/>
      <c r="AA40" s="66"/>
      <c r="AB40" s="66"/>
      <c r="AC40" s="66"/>
      <c r="AD40" s="66"/>
      <c r="AE40" s="66"/>
      <c r="AF40" s="66"/>
      <c r="AG40" s="66"/>
      <c r="AH40" s="66"/>
      <c r="AI40" s="66"/>
      <c r="AJ40" s="66"/>
      <c r="AK40" s="66"/>
      <c r="AL40" s="66"/>
      <c r="AM40" s="66"/>
      <c r="AN40" s="66"/>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row>
    <row r="41" spans="1:66" s="45" customFormat="1" ht="18">
      <c r="A41" s="66" t="str">
        <f t="shared" si="6"/>
        <v>1.33</v>
      </c>
      <c r="B41" s="99" t="s">
        <v>204</v>
      </c>
      <c r="C41" s="45" t="s">
        <v>15</v>
      </c>
      <c r="D41" s="68"/>
      <c r="E41" s="69">
        <f t="shared" si="20"/>
        <v>45764</v>
      </c>
      <c r="F41" s="70">
        <f t="shared" si="25"/>
        <v>45771</v>
      </c>
      <c r="G41" s="71">
        <v>8</v>
      </c>
      <c r="H41" s="72">
        <v>0</v>
      </c>
      <c r="I41" s="88">
        <f t="shared" si="26"/>
        <v>6</v>
      </c>
      <c r="J41" s="89"/>
      <c r="K41" s="66"/>
      <c r="L41" s="66"/>
      <c r="M41" s="66"/>
      <c r="N41" s="66"/>
      <c r="O41" s="66"/>
      <c r="P41" s="66"/>
      <c r="Q41" s="66"/>
      <c r="R41" s="66"/>
      <c r="S41" s="66"/>
      <c r="T41" s="66"/>
      <c r="U41" s="66"/>
      <c r="V41" s="66"/>
      <c r="W41" s="66"/>
      <c r="X41" s="66"/>
      <c r="Y41" s="66"/>
      <c r="Z41" s="66"/>
      <c r="AA41" s="66"/>
      <c r="AB41" s="66"/>
      <c r="AC41" s="66"/>
      <c r="AD41" s="66"/>
      <c r="AE41" s="66"/>
      <c r="AF41" s="66"/>
      <c r="AG41" s="66"/>
      <c r="AH41" s="66"/>
      <c r="AI41" s="66"/>
      <c r="AJ41" s="66"/>
      <c r="AK41" s="66"/>
      <c r="AL41" s="66"/>
      <c r="AM41" s="66"/>
      <c r="AN41" s="66"/>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row>
    <row r="42" spans="1:66" s="45" customFormat="1" ht="18">
      <c r="A42" s="66" t="str">
        <f t="shared" si="6"/>
        <v>1.34</v>
      </c>
      <c r="B42" s="99" t="s">
        <v>205</v>
      </c>
      <c r="C42" s="45" t="s">
        <v>16</v>
      </c>
      <c r="D42" s="68"/>
      <c r="E42" s="69">
        <f t="shared" si="20"/>
        <v>45772</v>
      </c>
      <c r="F42" s="70">
        <f t="shared" si="25"/>
        <v>45779</v>
      </c>
      <c r="G42" s="71">
        <v>8</v>
      </c>
      <c r="H42" s="72">
        <v>0</v>
      </c>
      <c r="I42" s="88">
        <f t="shared" si="26"/>
        <v>6</v>
      </c>
      <c r="J42" s="89"/>
      <c r="K42" s="66"/>
      <c r="L42" s="66"/>
      <c r="M42" s="66"/>
      <c r="N42" s="66"/>
      <c r="O42" s="66"/>
      <c r="P42" s="66"/>
      <c r="Q42" s="66"/>
      <c r="R42" s="66"/>
      <c r="S42" s="66"/>
      <c r="T42" s="66"/>
      <c r="U42" s="66"/>
      <c r="V42" s="66"/>
      <c r="W42" s="66"/>
      <c r="X42" s="66"/>
      <c r="Y42" s="66"/>
      <c r="Z42" s="66"/>
      <c r="AA42" s="66"/>
      <c r="AB42" s="66"/>
      <c r="AC42" s="66"/>
      <c r="AD42" s="66"/>
      <c r="AE42" s="66"/>
      <c r="AF42" s="66"/>
      <c r="AG42" s="66"/>
      <c r="AH42" s="66"/>
      <c r="AI42" s="66"/>
      <c r="AJ42" s="66"/>
      <c r="AK42" s="66"/>
      <c r="AL42" s="66"/>
      <c r="AM42" s="66"/>
      <c r="AN42" s="66"/>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row>
    <row r="43" spans="1:66" s="45" customFormat="1" ht="18">
      <c r="A43" s="66" t="str">
        <f t="shared" si="6"/>
        <v>1.35</v>
      </c>
      <c r="B43" s="99" t="s">
        <v>206</v>
      </c>
      <c r="C43" s="45" t="s">
        <v>15</v>
      </c>
      <c r="D43" s="68"/>
      <c r="E43" s="69">
        <f t="shared" si="20"/>
        <v>45772</v>
      </c>
      <c r="F43" s="70">
        <f t="shared" si="25"/>
        <v>45779</v>
      </c>
      <c r="G43" s="71">
        <v>8</v>
      </c>
      <c r="H43" s="72">
        <v>0</v>
      </c>
      <c r="I43" s="88">
        <f t="shared" si="26"/>
        <v>6</v>
      </c>
      <c r="J43" s="89"/>
      <c r="K43" s="66"/>
      <c r="L43" s="66"/>
      <c r="M43" s="66"/>
      <c r="N43" s="66"/>
      <c r="O43" s="66"/>
      <c r="P43" s="66"/>
      <c r="Q43" s="66"/>
      <c r="R43" s="66"/>
      <c r="S43" s="66"/>
      <c r="T43" s="66"/>
      <c r="U43" s="66"/>
      <c r="V43" s="66"/>
      <c r="W43" s="66"/>
      <c r="X43" s="66"/>
      <c r="Y43" s="66"/>
      <c r="Z43" s="66"/>
      <c r="AA43" s="66"/>
      <c r="AB43" s="66"/>
      <c r="AC43" s="66"/>
      <c r="AD43" s="66"/>
      <c r="AE43" s="66"/>
      <c r="AF43" s="66"/>
      <c r="AG43" s="66"/>
      <c r="AH43" s="66"/>
      <c r="AI43" s="66"/>
      <c r="AJ43" s="66"/>
      <c r="AK43" s="66"/>
      <c r="AL43" s="66"/>
      <c r="AM43" s="66"/>
      <c r="AN43" s="66"/>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row>
    <row r="44" spans="1:66" s="45" customFormat="1" ht="18">
      <c r="A44" s="66" t="str">
        <f t="shared" si="6"/>
        <v>1.36</v>
      </c>
      <c r="B44" s="99" t="s">
        <v>207</v>
      </c>
      <c r="C44" s="45" t="s">
        <v>16</v>
      </c>
      <c r="D44" s="68"/>
      <c r="E44" s="69">
        <f t="shared" si="20"/>
        <v>45780</v>
      </c>
      <c r="F44" s="70">
        <f t="shared" si="25"/>
        <v>45787</v>
      </c>
      <c r="G44" s="71">
        <v>8</v>
      </c>
      <c r="H44" s="72">
        <v>0</v>
      </c>
      <c r="I44" s="88">
        <f t="shared" si="26"/>
        <v>5</v>
      </c>
      <c r="J44" s="89"/>
      <c r="K44" s="66"/>
      <c r="L44" s="66"/>
      <c r="M44" s="66"/>
      <c r="N44" s="66"/>
      <c r="O44" s="66"/>
      <c r="P44" s="66"/>
      <c r="Q44" s="66"/>
      <c r="R44" s="66"/>
      <c r="S44" s="66"/>
      <c r="T44" s="66"/>
      <c r="U44" s="66"/>
      <c r="V44" s="66"/>
      <c r="W44" s="66"/>
      <c r="X44" s="66"/>
      <c r="Y44" s="66"/>
      <c r="Z44" s="66"/>
      <c r="AA44" s="66"/>
      <c r="AB44" s="66"/>
      <c r="AC44" s="66"/>
      <c r="AD44" s="66"/>
      <c r="AE44" s="66"/>
      <c r="AF44" s="66"/>
      <c r="AG44" s="66"/>
      <c r="AH44" s="66"/>
      <c r="AI44" s="66"/>
      <c r="AJ44" s="66"/>
      <c r="AK44" s="66"/>
      <c r="AL44" s="66"/>
      <c r="AM44" s="66"/>
      <c r="AN44" s="66"/>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row>
    <row r="45" spans="1:66" s="45" customFormat="1" ht="18">
      <c r="A45" s="66" t="str">
        <f t="shared" si="6"/>
        <v>1.37</v>
      </c>
      <c r="B45" s="99" t="s">
        <v>208</v>
      </c>
      <c r="C45" s="45" t="s">
        <v>15</v>
      </c>
      <c r="D45" s="68"/>
      <c r="E45" s="69">
        <f t="shared" si="20"/>
        <v>45780</v>
      </c>
      <c r="F45" s="70">
        <f t="shared" si="25"/>
        <v>45787</v>
      </c>
      <c r="G45" s="71">
        <v>8</v>
      </c>
      <c r="H45" s="72">
        <v>0</v>
      </c>
      <c r="I45" s="88">
        <f t="shared" si="26"/>
        <v>5</v>
      </c>
      <c r="J45" s="89"/>
      <c r="K45" s="66"/>
      <c r="L45" s="66"/>
      <c r="M45" s="66"/>
      <c r="N45" s="66"/>
      <c r="O45" s="66"/>
      <c r="P45" s="66"/>
      <c r="Q45" s="66"/>
      <c r="R45" s="66"/>
      <c r="S45" s="66"/>
      <c r="T45" s="66"/>
      <c r="U45" s="66"/>
      <c r="V45" s="66"/>
      <c r="W45" s="66"/>
      <c r="X45" s="66"/>
      <c r="Y45" s="66"/>
      <c r="Z45" s="66"/>
      <c r="AA45" s="66"/>
      <c r="AB45" s="66"/>
      <c r="AC45" s="66"/>
      <c r="AD45" s="66"/>
      <c r="AE45" s="66"/>
      <c r="AF45" s="66"/>
      <c r="AG45" s="66"/>
      <c r="AH45" s="66"/>
      <c r="AI45" s="66"/>
      <c r="AJ45" s="66"/>
      <c r="AK45" s="66"/>
      <c r="AL45" s="66"/>
      <c r="AM45" s="66"/>
      <c r="AN45" s="66"/>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row>
    <row r="46" spans="1:66" s="45" customFormat="1" ht="18">
      <c r="A46" s="66" t="str">
        <f t="shared" si="6"/>
        <v>1.38</v>
      </c>
      <c r="B46" s="99" t="s">
        <v>209</v>
      </c>
      <c r="C46" s="45" t="s">
        <v>16</v>
      </c>
      <c r="D46" s="68"/>
      <c r="E46" s="69">
        <f t="shared" si="20"/>
        <v>45788</v>
      </c>
      <c r="F46" s="70">
        <f t="shared" si="25"/>
        <v>45795</v>
      </c>
      <c r="G46" s="71">
        <v>8</v>
      </c>
      <c r="H46" s="72">
        <v>0</v>
      </c>
      <c r="I46" s="88">
        <f t="shared" si="26"/>
        <v>5</v>
      </c>
      <c r="J46" s="89"/>
      <c r="K46" s="66"/>
      <c r="L46" s="66"/>
      <c r="M46" s="66"/>
      <c r="N46" s="66"/>
      <c r="O46" s="66"/>
      <c r="P46" s="66"/>
      <c r="Q46" s="66"/>
      <c r="R46" s="66"/>
      <c r="S46" s="66"/>
      <c r="T46" s="66"/>
      <c r="U46" s="66"/>
      <c r="V46" s="66"/>
      <c r="W46" s="66"/>
      <c r="X46" s="66"/>
      <c r="Y46" s="66"/>
      <c r="Z46" s="66"/>
      <c r="AA46" s="66"/>
      <c r="AB46" s="66"/>
      <c r="AC46" s="66"/>
      <c r="AD46" s="66"/>
      <c r="AE46" s="66"/>
      <c r="AF46" s="66"/>
      <c r="AG46" s="66"/>
      <c r="AH46" s="66"/>
      <c r="AI46" s="66"/>
      <c r="AJ46" s="66"/>
      <c r="AK46" s="66"/>
      <c r="AL46" s="66"/>
      <c r="AM46" s="66"/>
      <c r="AN46" s="66"/>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row>
    <row r="47" spans="1:66" s="45" customFormat="1" ht="18">
      <c r="A47" s="66"/>
      <c r="B47" s="67"/>
      <c r="D47" s="68"/>
      <c r="E47" s="69"/>
      <c r="F47" s="70"/>
      <c r="G47" s="71"/>
      <c r="H47" s="72"/>
      <c r="I47" s="88"/>
      <c r="J47" s="89"/>
      <c r="K47" s="66"/>
      <c r="L47" s="66"/>
      <c r="M47" s="66"/>
      <c r="N47" s="66"/>
      <c r="O47" s="66"/>
      <c r="P47" s="66"/>
      <c r="Q47" s="66"/>
      <c r="R47" s="66"/>
      <c r="S47" s="66"/>
      <c r="T47" s="66"/>
      <c r="U47" s="66"/>
      <c r="V47" s="66"/>
      <c r="W47" s="66"/>
      <c r="X47" s="66"/>
      <c r="Y47" s="66"/>
      <c r="Z47" s="66"/>
      <c r="AA47" s="66"/>
      <c r="AB47" s="66"/>
      <c r="AC47" s="66"/>
      <c r="AD47" s="66"/>
      <c r="AE47" s="66"/>
      <c r="AF47" s="66"/>
      <c r="AG47" s="66"/>
      <c r="AH47" s="66"/>
      <c r="AI47" s="66"/>
      <c r="AJ47" s="66"/>
      <c r="AK47" s="66"/>
      <c r="AL47" s="66"/>
      <c r="AM47" s="66"/>
      <c r="AN47" s="66"/>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row>
    <row r="48" spans="1:66" s="45" customFormat="1" ht="18">
      <c r="A48" s="66"/>
      <c r="B48" s="67"/>
      <c r="D48" s="68"/>
      <c r="E48" s="69"/>
      <c r="F48" s="70"/>
      <c r="G48" s="71"/>
      <c r="H48" s="72"/>
      <c r="I48" s="88"/>
      <c r="J48" s="89"/>
      <c r="K48" s="66"/>
      <c r="L48" s="66"/>
      <c r="M48" s="66"/>
      <c r="N48" s="66"/>
      <c r="O48" s="66"/>
      <c r="P48" s="66"/>
      <c r="Q48" s="66"/>
      <c r="R48" s="66"/>
      <c r="S48" s="66"/>
      <c r="T48" s="66"/>
      <c r="U48" s="66"/>
      <c r="V48" s="66"/>
      <c r="W48" s="66"/>
      <c r="X48" s="66"/>
      <c r="Y48" s="66"/>
      <c r="Z48" s="66"/>
      <c r="AA48" s="66"/>
      <c r="AB48" s="66"/>
      <c r="AC48" s="66"/>
      <c r="AD48" s="66"/>
      <c r="AE48" s="66"/>
      <c r="AF48" s="66"/>
      <c r="AG48" s="66"/>
      <c r="AH48" s="66"/>
      <c r="AI48" s="66"/>
      <c r="AJ48" s="66"/>
      <c r="AK48" s="66"/>
      <c r="AL48" s="66"/>
      <c r="AM48" s="66"/>
      <c r="AN48" s="66"/>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row>
    <row r="49" spans="1:66" s="45" customFormat="1" ht="18">
      <c r="A49" s="66"/>
      <c r="B49" s="67"/>
      <c r="D49" s="68"/>
      <c r="E49" s="69"/>
      <c r="F49" s="70"/>
      <c r="G49" s="71"/>
      <c r="H49" s="72"/>
      <c r="I49" s="88"/>
      <c r="J49" s="89"/>
      <c r="K49" s="66"/>
      <c r="L49" s="66"/>
      <c r="M49" s="66"/>
      <c r="N49" s="66"/>
      <c r="O49" s="66"/>
      <c r="P49" s="66"/>
      <c r="Q49" s="66"/>
      <c r="R49" s="66"/>
      <c r="S49" s="66"/>
      <c r="T49" s="66"/>
      <c r="U49" s="66"/>
      <c r="V49" s="66"/>
      <c r="W49" s="66"/>
      <c r="X49" s="66"/>
      <c r="Y49" s="66"/>
      <c r="Z49" s="66"/>
      <c r="AA49" s="66"/>
      <c r="AB49" s="66"/>
      <c r="AC49" s="66"/>
      <c r="AD49" s="66"/>
      <c r="AE49" s="66"/>
      <c r="AF49" s="66"/>
      <c r="AG49" s="66"/>
      <c r="AH49" s="66"/>
      <c r="AI49" s="66"/>
      <c r="AJ49" s="66"/>
      <c r="AK49" s="66"/>
      <c r="AL49" s="66"/>
      <c r="AM49" s="66"/>
      <c r="AN49" s="66"/>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row>
    <row r="50" spans="1:66" s="45" customFormat="1" ht="18">
      <c r="A50" s="66"/>
      <c r="B50" s="67"/>
      <c r="D50" s="68"/>
      <c r="E50" s="69"/>
      <c r="F50" s="70"/>
      <c r="G50" s="71"/>
      <c r="H50" s="72"/>
      <c r="I50" s="88"/>
      <c r="J50" s="89"/>
      <c r="K50" s="66"/>
      <c r="L50" s="66"/>
      <c r="M50" s="66"/>
      <c r="N50" s="66"/>
      <c r="O50" s="66"/>
      <c r="P50" s="66"/>
      <c r="Q50" s="66"/>
      <c r="R50" s="66"/>
      <c r="S50" s="66"/>
      <c r="T50" s="66"/>
      <c r="U50" s="66"/>
      <c r="V50" s="66"/>
      <c r="W50" s="66"/>
      <c r="X50" s="66"/>
      <c r="Y50" s="66"/>
      <c r="Z50" s="66"/>
      <c r="AA50" s="66"/>
      <c r="AB50" s="66"/>
      <c r="AC50" s="66"/>
      <c r="AD50" s="66"/>
      <c r="AE50" s="66"/>
      <c r="AF50" s="66"/>
      <c r="AG50" s="66"/>
      <c r="AH50" s="66"/>
      <c r="AI50" s="66"/>
      <c r="AJ50" s="66"/>
      <c r="AK50" s="66"/>
      <c r="AL50" s="66"/>
      <c r="AM50" s="66"/>
      <c r="AN50" s="66"/>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row>
    <row r="51" spans="1:66" s="45" customFormat="1" ht="18">
      <c r="A51" s="66"/>
      <c r="B51" s="67"/>
      <c r="D51" s="68"/>
      <c r="E51" s="69"/>
      <c r="F51" s="70"/>
      <c r="G51" s="71"/>
      <c r="H51" s="72"/>
      <c r="I51" s="88"/>
      <c r="J51" s="89"/>
      <c r="K51" s="66"/>
      <c r="L51" s="66"/>
      <c r="M51" s="66"/>
      <c r="N51" s="66"/>
      <c r="O51" s="66"/>
      <c r="P51" s="66"/>
      <c r="Q51" s="66"/>
      <c r="R51" s="66"/>
      <c r="S51" s="66"/>
      <c r="T51" s="66"/>
      <c r="U51" s="66"/>
      <c r="V51" s="66"/>
      <c r="W51" s="66"/>
      <c r="X51" s="66"/>
      <c r="Y51" s="66"/>
      <c r="Z51" s="66"/>
      <c r="AA51" s="66"/>
      <c r="AB51" s="66"/>
      <c r="AC51" s="66"/>
      <c r="AD51" s="66"/>
      <c r="AE51" s="66"/>
      <c r="AF51" s="66"/>
      <c r="AG51" s="66"/>
      <c r="AH51" s="66"/>
      <c r="AI51" s="66"/>
      <c r="AJ51" s="66"/>
      <c r="AK51" s="66"/>
      <c r="AL51" s="66"/>
      <c r="AM51" s="66"/>
      <c r="AN51" s="66"/>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row>
    <row r="52" spans="1:66" s="45" customFormat="1" ht="18">
      <c r="A52" s="66"/>
      <c r="B52" s="67"/>
      <c r="D52" s="68"/>
      <c r="E52" s="69"/>
      <c r="F52" s="70"/>
      <c r="G52" s="71"/>
      <c r="H52" s="72"/>
      <c r="I52" s="88"/>
      <c r="J52" s="89"/>
      <c r="K52" s="66"/>
      <c r="L52" s="66"/>
      <c r="M52" s="66"/>
      <c r="N52" s="66"/>
      <c r="O52" s="66"/>
      <c r="P52" s="66"/>
      <c r="Q52" s="66"/>
      <c r="R52" s="66"/>
      <c r="S52" s="66"/>
      <c r="T52" s="66"/>
      <c r="U52" s="66"/>
      <c r="V52" s="66"/>
      <c r="W52" s="66"/>
      <c r="X52" s="66"/>
      <c r="Y52" s="66"/>
      <c r="Z52" s="66"/>
      <c r="AA52" s="66"/>
      <c r="AB52" s="66"/>
      <c r="AC52" s="66"/>
      <c r="AD52" s="66"/>
      <c r="AE52" s="66"/>
      <c r="AF52" s="66"/>
      <c r="AG52" s="66"/>
      <c r="AH52" s="66"/>
      <c r="AI52" s="66"/>
      <c r="AJ52" s="66"/>
      <c r="AK52" s="66"/>
      <c r="AL52" s="66"/>
      <c r="AM52" s="66"/>
      <c r="AN52" s="66"/>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row>
    <row r="53" spans="1:66" s="45" customFormat="1" ht="18">
      <c r="A53" s="66"/>
      <c r="B53" s="67"/>
      <c r="D53" s="68"/>
      <c r="E53" s="69"/>
      <c r="F53" s="70"/>
      <c r="G53" s="71"/>
      <c r="H53" s="72"/>
      <c r="I53" s="88"/>
      <c r="J53" s="89"/>
      <c r="K53" s="66"/>
      <c r="L53" s="66"/>
      <c r="M53" s="66"/>
      <c r="N53" s="66"/>
      <c r="O53" s="66"/>
      <c r="P53" s="66"/>
      <c r="Q53" s="66"/>
      <c r="R53" s="66"/>
      <c r="S53" s="66"/>
      <c r="T53" s="66"/>
      <c r="U53" s="66"/>
      <c r="V53" s="66"/>
      <c r="W53" s="66"/>
      <c r="X53" s="66"/>
      <c r="Y53" s="66"/>
      <c r="Z53" s="66"/>
      <c r="AA53" s="66"/>
      <c r="AB53" s="66"/>
      <c r="AC53" s="66"/>
      <c r="AD53" s="66"/>
      <c r="AE53" s="66"/>
      <c r="AF53" s="66"/>
      <c r="AG53" s="66"/>
      <c r="AH53" s="66"/>
      <c r="AI53" s="66"/>
      <c r="AJ53" s="66"/>
      <c r="AK53" s="66"/>
      <c r="AL53" s="66"/>
      <c r="AM53" s="66"/>
      <c r="AN53" s="66"/>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row>
    <row r="54" spans="1:66" s="45" customFormat="1" ht="18">
      <c r="A54" s="66"/>
      <c r="B54" s="67"/>
      <c r="D54" s="68"/>
      <c r="E54" s="69"/>
      <c r="F54" s="70"/>
      <c r="G54" s="71"/>
      <c r="H54" s="72"/>
      <c r="I54" s="88"/>
      <c r="J54" s="89"/>
      <c r="K54" s="66"/>
      <c r="L54" s="66"/>
      <c r="M54" s="66"/>
      <c r="N54" s="66"/>
      <c r="O54" s="66"/>
      <c r="P54" s="66"/>
      <c r="Q54" s="66"/>
      <c r="R54" s="66"/>
      <c r="S54" s="66"/>
      <c r="T54" s="66"/>
      <c r="U54" s="66"/>
      <c r="V54" s="66"/>
      <c r="W54" s="66"/>
      <c r="X54" s="66"/>
      <c r="Y54" s="66"/>
      <c r="Z54" s="66"/>
      <c r="AA54" s="66"/>
      <c r="AB54" s="66"/>
      <c r="AC54" s="66"/>
      <c r="AD54" s="66"/>
      <c r="AE54" s="66"/>
      <c r="AF54" s="66"/>
      <c r="AG54" s="66"/>
      <c r="AH54" s="66"/>
      <c r="AI54" s="66"/>
      <c r="AJ54" s="66"/>
      <c r="AK54" s="66"/>
      <c r="AL54" s="66"/>
      <c r="AM54" s="66"/>
      <c r="AN54" s="66"/>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row>
    <row r="55" spans="1:66" s="45" customFormat="1" ht="18">
      <c r="A55" s="66"/>
      <c r="B55" s="67"/>
      <c r="D55" s="68"/>
      <c r="E55" s="69"/>
      <c r="F55" s="70"/>
      <c r="G55" s="71"/>
      <c r="H55" s="72"/>
      <c r="I55" s="88"/>
      <c r="J55" s="89"/>
      <c r="K55" s="66"/>
      <c r="L55" s="66"/>
      <c r="M55" s="66"/>
      <c r="N55" s="66"/>
      <c r="O55" s="66"/>
      <c r="P55" s="66"/>
      <c r="Q55" s="66"/>
      <c r="R55" s="66"/>
      <c r="S55" s="66"/>
      <c r="T55" s="66"/>
      <c r="U55" s="66"/>
      <c r="V55" s="66"/>
      <c r="W55" s="66"/>
      <c r="X55" s="66"/>
      <c r="Y55" s="66"/>
      <c r="Z55" s="66"/>
      <c r="AA55" s="66"/>
      <c r="AB55" s="66"/>
      <c r="AC55" s="66"/>
      <c r="AD55" s="66"/>
      <c r="AE55" s="66"/>
      <c r="AF55" s="66"/>
      <c r="AG55" s="66"/>
      <c r="AH55" s="66"/>
      <c r="AI55" s="66"/>
      <c r="AJ55" s="66"/>
      <c r="AK55" s="66"/>
      <c r="AL55" s="66"/>
      <c r="AM55" s="66"/>
      <c r="AN55" s="66"/>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row>
    <row r="56" spans="1:66" s="45" customFormat="1" ht="18">
      <c r="A56" s="66"/>
      <c r="B56" s="67"/>
      <c r="D56" s="68"/>
      <c r="E56" s="69"/>
      <c r="F56" s="70"/>
      <c r="G56" s="71"/>
      <c r="H56" s="72"/>
      <c r="I56" s="88"/>
      <c r="J56" s="89"/>
      <c r="K56" s="66"/>
      <c r="L56" s="66"/>
      <c r="M56" s="66"/>
      <c r="N56" s="66"/>
      <c r="O56" s="66"/>
      <c r="P56" s="66"/>
      <c r="Q56" s="66"/>
      <c r="R56" s="66"/>
      <c r="S56" s="66"/>
      <c r="T56" s="66"/>
      <c r="U56" s="66"/>
      <c r="V56" s="66"/>
      <c r="W56" s="66"/>
      <c r="X56" s="66"/>
      <c r="Y56" s="66"/>
      <c r="Z56" s="66"/>
      <c r="AA56" s="66"/>
      <c r="AB56" s="66"/>
      <c r="AC56" s="66"/>
      <c r="AD56" s="66"/>
      <c r="AE56" s="66"/>
      <c r="AF56" s="66"/>
      <c r="AG56" s="66"/>
      <c r="AH56" s="66"/>
      <c r="AI56" s="66"/>
      <c r="AJ56" s="66"/>
      <c r="AK56" s="66"/>
      <c r="AL56" s="66"/>
      <c r="AM56" s="66"/>
      <c r="AN56" s="66"/>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row>
    <row r="57" spans="1:66" s="45" customFormat="1" ht="18">
      <c r="A57" s="66"/>
      <c r="B57" s="67"/>
      <c r="D57" s="68"/>
      <c r="E57" s="69"/>
      <c r="F57" s="70"/>
      <c r="G57" s="71"/>
      <c r="H57" s="72"/>
      <c r="I57" s="88"/>
      <c r="J57" s="89"/>
      <c r="K57" s="66"/>
      <c r="L57" s="66"/>
      <c r="M57" s="66"/>
      <c r="N57" s="66"/>
      <c r="O57" s="66"/>
      <c r="P57" s="66"/>
      <c r="Q57" s="66"/>
      <c r="R57" s="66"/>
      <c r="S57" s="66"/>
      <c r="T57" s="66"/>
      <c r="U57" s="66"/>
      <c r="V57" s="66"/>
      <c r="W57" s="66"/>
      <c r="X57" s="66"/>
      <c r="Y57" s="66"/>
      <c r="Z57" s="66"/>
      <c r="AA57" s="66"/>
      <c r="AB57" s="66"/>
      <c r="AC57" s="66"/>
      <c r="AD57" s="66"/>
      <c r="AE57" s="66"/>
      <c r="AF57" s="66"/>
      <c r="AG57" s="66"/>
      <c r="AH57" s="66"/>
      <c r="AI57" s="66"/>
      <c r="AJ57" s="66"/>
      <c r="AK57" s="66"/>
      <c r="AL57" s="66"/>
      <c r="AM57" s="66"/>
      <c r="AN57" s="66"/>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row>
    <row r="58" spans="1:66" s="45" customFormat="1" ht="18">
      <c r="A58" s="66"/>
      <c r="B58" s="67"/>
      <c r="D58" s="68"/>
      <c r="E58" s="69"/>
      <c r="F58" s="70"/>
      <c r="G58" s="71"/>
      <c r="H58" s="72"/>
      <c r="I58" s="88"/>
      <c r="J58" s="89"/>
      <c r="K58" s="66"/>
      <c r="L58" s="66"/>
      <c r="M58" s="66"/>
      <c r="N58" s="66"/>
      <c r="O58" s="66"/>
      <c r="P58" s="66"/>
      <c r="Q58" s="66"/>
      <c r="R58" s="66"/>
      <c r="S58" s="66"/>
      <c r="T58" s="66"/>
      <c r="U58" s="66"/>
      <c r="V58" s="66"/>
      <c r="W58" s="66"/>
      <c r="X58" s="66"/>
      <c r="Y58" s="66"/>
      <c r="Z58" s="66"/>
      <c r="AA58" s="66"/>
      <c r="AB58" s="66"/>
      <c r="AC58" s="66"/>
      <c r="AD58" s="66"/>
      <c r="AE58" s="66"/>
      <c r="AF58" s="66"/>
      <c r="AG58" s="66"/>
      <c r="AH58" s="66"/>
      <c r="AI58" s="66"/>
      <c r="AJ58" s="66"/>
      <c r="AK58" s="66"/>
      <c r="AL58" s="66"/>
      <c r="AM58" s="66"/>
      <c r="AN58" s="66"/>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row>
    <row r="59" spans="1:66" s="45" customFormat="1" ht="18">
      <c r="A59" s="66"/>
      <c r="B59" s="67"/>
      <c r="D59" s="68"/>
      <c r="E59" s="69"/>
      <c r="F59" s="70"/>
      <c r="G59" s="71"/>
      <c r="H59" s="72"/>
      <c r="I59" s="88"/>
      <c r="J59" s="89"/>
      <c r="K59" s="66"/>
      <c r="L59" s="66"/>
      <c r="M59" s="66"/>
      <c r="N59" s="66"/>
      <c r="O59" s="66"/>
      <c r="P59" s="66"/>
      <c r="Q59" s="66"/>
      <c r="R59" s="66"/>
      <c r="S59" s="66"/>
      <c r="T59" s="66"/>
      <c r="U59" s="66"/>
      <c r="V59" s="66"/>
      <c r="W59" s="66"/>
      <c r="X59" s="66"/>
      <c r="Y59" s="66"/>
      <c r="Z59" s="66"/>
      <c r="AA59" s="66"/>
      <c r="AB59" s="66"/>
      <c r="AC59" s="66"/>
      <c r="AD59" s="66"/>
      <c r="AE59" s="66"/>
      <c r="AF59" s="66"/>
      <c r="AG59" s="66"/>
      <c r="AH59" s="66"/>
      <c r="AI59" s="66"/>
      <c r="AJ59" s="66"/>
      <c r="AK59" s="66"/>
      <c r="AL59" s="66"/>
      <c r="AM59" s="66"/>
      <c r="AN59" s="66"/>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row>
    <row r="60" spans="1:66" s="45" customFormat="1" ht="18">
      <c r="A60" s="66"/>
      <c r="B60" s="67"/>
      <c r="D60" s="68"/>
      <c r="E60" s="69"/>
      <c r="F60" s="70"/>
      <c r="G60" s="71"/>
      <c r="H60" s="72"/>
      <c r="I60" s="88"/>
      <c r="J60" s="89"/>
      <c r="K60" s="66"/>
      <c r="L60" s="66"/>
      <c r="M60" s="66"/>
      <c r="N60" s="66"/>
      <c r="O60" s="66"/>
      <c r="P60" s="66"/>
      <c r="Q60" s="66"/>
      <c r="R60" s="66"/>
      <c r="S60" s="66"/>
      <c r="T60" s="66"/>
      <c r="U60" s="66"/>
      <c r="V60" s="66"/>
      <c r="W60" s="66"/>
      <c r="X60" s="66"/>
      <c r="Y60" s="66"/>
      <c r="Z60" s="66"/>
      <c r="AA60" s="66"/>
      <c r="AB60" s="66"/>
      <c r="AC60" s="66"/>
      <c r="AD60" s="66"/>
      <c r="AE60" s="66"/>
      <c r="AF60" s="66"/>
      <c r="AG60" s="66"/>
      <c r="AH60" s="66"/>
      <c r="AI60" s="66"/>
      <c r="AJ60" s="66"/>
      <c r="AK60" s="66"/>
      <c r="AL60" s="66"/>
      <c r="AM60" s="66"/>
      <c r="AN60" s="66"/>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row>
    <row r="61" spans="1:66" s="45" customFormat="1" ht="18">
      <c r="A61" s="66"/>
      <c r="B61" s="67"/>
      <c r="D61" s="68"/>
      <c r="E61" s="69"/>
      <c r="F61" s="70"/>
      <c r="G61" s="71"/>
      <c r="H61" s="72"/>
      <c r="I61" s="88"/>
      <c r="J61" s="89"/>
      <c r="K61" s="66"/>
      <c r="L61" s="66"/>
      <c r="M61" s="66"/>
      <c r="N61" s="66"/>
      <c r="O61" s="66"/>
      <c r="P61" s="66"/>
      <c r="Q61" s="66"/>
      <c r="R61" s="66"/>
      <c r="S61" s="66"/>
      <c r="T61" s="66"/>
      <c r="U61" s="66"/>
      <c r="V61" s="66"/>
      <c r="W61" s="66"/>
      <c r="X61" s="66"/>
      <c r="Y61" s="66"/>
      <c r="Z61" s="66"/>
      <c r="AA61" s="66"/>
      <c r="AB61" s="66"/>
      <c r="AC61" s="66"/>
      <c r="AD61" s="66"/>
      <c r="AE61" s="66"/>
      <c r="AF61" s="66"/>
      <c r="AG61" s="66"/>
      <c r="AH61" s="66"/>
      <c r="AI61" s="66"/>
      <c r="AJ61" s="66"/>
      <c r="AK61" s="66"/>
      <c r="AL61" s="66"/>
      <c r="AM61" s="66"/>
      <c r="AN61" s="66"/>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row>
    <row r="62" spans="1:66" s="45" customFormat="1" ht="18">
      <c r="A62" s="66"/>
      <c r="B62" s="67"/>
      <c r="D62" s="68"/>
      <c r="E62" s="69"/>
      <c r="F62" s="70"/>
      <c r="G62" s="71"/>
      <c r="H62" s="72"/>
      <c r="I62" s="88"/>
      <c r="J62" s="89"/>
      <c r="K62" s="66"/>
      <c r="L62" s="66"/>
      <c r="M62" s="66"/>
      <c r="N62" s="66"/>
      <c r="O62" s="66"/>
      <c r="P62" s="66"/>
      <c r="Q62" s="66"/>
      <c r="R62" s="66"/>
      <c r="S62" s="66"/>
      <c r="T62" s="66"/>
      <c r="U62" s="66"/>
      <c r="V62" s="66"/>
      <c r="W62" s="66"/>
      <c r="X62" s="66"/>
      <c r="Y62" s="66"/>
      <c r="Z62" s="66"/>
      <c r="AA62" s="66"/>
      <c r="AB62" s="66"/>
      <c r="AC62" s="66"/>
      <c r="AD62" s="66"/>
      <c r="AE62" s="66"/>
      <c r="AF62" s="66"/>
      <c r="AG62" s="66"/>
      <c r="AH62" s="66"/>
      <c r="AI62" s="66"/>
      <c r="AJ62" s="66"/>
      <c r="AK62" s="66"/>
      <c r="AL62" s="66"/>
      <c r="AM62" s="66"/>
      <c r="AN62" s="66"/>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row>
    <row r="63" spans="1:66" s="45" customFormat="1" ht="18">
      <c r="A63" s="66"/>
      <c r="B63" s="67"/>
      <c r="D63" s="68"/>
      <c r="E63" s="69"/>
      <c r="F63" s="70"/>
      <c r="G63" s="71"/>
      <c r="H63" s="72"/>
      <c r="I63" s="88"/>
      <c r="J63" s="89"/>
      <c r="K63" s="66"/>
      <c r="L63" s="66"/>
      <c r="M63" s="66"/>
      <c r="N63" s="66"/>
      <c r="O63" s="66"/>
      <c r="P63" s="66"/>
      <c r="Q63" s="66"/>
      <c r="R63" s="66"/>
      <c r="S63" s="66"/>
      <c r="T63" s="66"/>
      <c r="U63" s="66"/>
      <c r="V63" s="66"/>
      <c r="W63" s="66"/>
      <c r="X63" s="66"/>
      <c r="Y63" s="66"/>
      <c r="Z63" s="66"/>
      <c r="AA63" s="66"/>
      <c r="AB63" s="66"/>
      <c r="AC63" s="66"/>
      <c r="AD63" s="66"/>
      <c r="AE63" s="66"/>
      <c r="AF63" s="66"/>
      <c r="AG63" s="66"/>
      <c r="AH63" s="66"/>
      <c r="AI63" s="66"/>
      <c r="AJ63" s="66"/>
      <c r="AK63" s="66"/>
      <c r="AL63" s="66"/>
      <c r="AM63" s="66"/>
      <c r="AN63" s="66"/>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row>
    <row r="64" spans="1:66" s="45" customFormat="1" ht="18">
      <c r="A64" s="66"/>
      <c r="B64" s="67"/>
      <c r="D64" s="68"/>
      <c r="E64" s="69"/>
      <c r="F64" s="70"/>
      <c r="G64" s="71"/>
      <c r="H64" s="72"/>
      <c r="I64" s="88"/>
      <c r="J64" s="89"/>
      <c r="K64" s="66"/>
      <c r="L64" s="66"/>
      <c r="M64" s="66"/>
      <c r="N64" s="66"/>
      <c r="O64" s="66"/>
      <c r="P64" s="66"/>
      <c r="Q64" s="66"/>
      <c r="R64" s="66"/>
      <c r="S64" s="66"/>
      <c r="T64" s="66"/>
      <c r="U64" s="66"/>
      <c r="V64" s="66"/>
      <c r="W64" s="66"/>
      <c r="X64" s="66"/>
      <c r="Y64" s="66"/>
      <c r="Z64" s="66"/>
      <c r="AA64" s="66"/>
      <c r="AB64" s="66"/>
      <c r="AC64" s="66"/>
      <c r="AD64" s="66"/>
      <c r="AE64" s="66"/>
      <c r="AF64" s="66"/>
      <c r="AG64" s="66"/>
      <c r="AH64" s="66"/>
      <c r="AI64" s="66"/>
      <c r="AJ64" s="66"/>
      <c r="AK64" s="66"/>
      <c r="AL64" s="66"/>
      <c r="AM64" s="66"/>
      <c r="AN64" s="66"/>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row>
    <row r="65" spans="1:66" s="45" customFormat="1" ht="18">
      <c r="A65" s="66"/>
      <c r="B65" s="67"/>
      <c r="D65" s="68"/>
      <c r="E65" s="69"/>
      <c r="F65" s="70"/>
      <c r="G65" s="71"/>
      <c r="H65" s="72"/>
      <c r="I65" s="88"/>
      <c r="J65" s="89"/>
      <c r="K65" s="66"/>
      <c r="L65" s="66"/>
      <c r="M65" s="66"/>
      <c r="N65" s="66"/>
      <c r="O65" s="66"/>
      <c r="P65" s="66"/>
      <c r="Q65" s="66"/>
      <c r="R65" s="66"/>
      <c r="S65" s="66"/>
      <c r="T65" s="66"/>
      <c r="U65" s="66"/>
      <c r="V65" s="66"/>
      <c r="W65" s="66"/>
      <c r="X65" s="66"/>
      <c r="Y65" s="66"/>
      <c r="Z65" s="66"/>
      <c r="AA65" s="66"/>
      <c r="AB65" s="66"/>
      <c r="AC65" s="66"/>
      <c r="AD65" s="66"/>
      <c r="AE65" s="66"/>
      <c r="AF65" s="66"/>
      <c r="AG65" s="66"/>
      <c r="AH65" s="66"/>
      <c r="AI65" s="66"/>
      <c r="AJ65" s="66"/>
      <c r="AK65" s="66"/>
      <c r="AL65" s="66"/>
      <c r="AM65" s="66"/>
      <c r="AN65" s="66"/>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row>
    <row r="66" spans="1:66" s="44" customFormat="1" ht="18" hidden="1">
      <c r="A66" s="73" t="str">
        <f>IF(ISERROR(VALUE(SUBSTITUTE(prevWBS,".",""))),"1",IF(ISERROR(FIND("`",SUBSTITUTE(prevWBS,".","`",1))),TEXT(VALUE(prevWBS)+1,"#"),TEXT(VALUE(LEFT(prevWBS,FIND("`",SUBSTITUTE(prevWBS,".","`",1))-1))+1,"#")))</f>
        <v>1</v>
      </c>
      <c r="B66" s="74" t="s">
        <v>17</v>
      </c>
      <c r="D66" s="75"/>
      <c r="E66" s="76"/>
      <c r="F66" s="76" t="str">
        <f t="shared" ref="F66:F71" si="27">IF(ISBLANK(E66)," - ",IF(G66=0,E66,E66+G66-1))</f>
        <v xml:space="preserve"> - </v>
      </c>
      <c r="G66" s="77"/>
      <c r="H66" s="78"/>
      <c r="I66" s="90" t="str">
        <f t="shared" si="5"/>
        <v xml:space="preserve"> - </v>
      </c>
      <c r="J66" s="91"/>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row>
    <row r="67" spans="1:66" s="45" customFormat="1" ht="18" hidden="1">
      <c r="A67" s="66" t="str">
        <f t="shared" ref="A67:A105" si="28">IF(ISERROR(VALUE(SUBSTITUTE(prevWBS,".",""))),"0.1",IF(ISERROR(FIND("`",SUBSTITUTE(prevWBS,".","`",1))),prevWBS&amp;".1",LEFT(prevWBS,FIND("`",SUBSTITUTE(prevWBS,".","`",1)))&amp;IF(ISERROR(FIND("`",SUBSTITUTE(prevWBS,".","`",2))),VALUE(RIGHT(prevWBS,LEN(prevWBS)-FIND("`",SUBSTITUTE(prevWBS,".","`",1))))+1,VALUE(MID(prevWBS,FIND("`",SUBSTITUTE(prevWBS,".","`",1))+1,(FIND("`",SUBSTITUTE(prevWBS,".","`",2))-FIND("`",SUBSTITUTE(prevWBS,".","`",1))-1)))+1)))</f>
        <v>1.1</v>
      </c>
      <c r="B67" s="67" t="s">
        <v>18</v>
      </c>
      <c r="C67" s="45" t="s">
        <v>19</v>
      </c>
      <c r="D67" s="68"/>
      <c r="E67" s="69">
        <v>46057</v>
      </c>
      <c r="F67" s="70">
        <f t="shared" si="27"/>
        <v>46063</v>
      </c>
      <c r="G67" s="71">
        <v>7</v>
      </c>
      <c r="H67" s="72">
        <v>0</v>
      </c>
      <c r="I67" s="88">
        <f t="shared" si="5"/>
        <v>5</v>
      </c>
      <c r="J67" s="89"/>
      <c r="K67" s="66"/>
      <c r="L67" s="66"/>
      <c r="M67" s="66"/>
      <c r="N67" s="66"/>
      <c r="O67" s="66"/>
      <c r="P67" s="66"/>
      <c r="Q67" s="66"/>
      <c r="R67" s="66"/>
      <c r="S67" s="66"/>
      <c r="T67" s="66"/>
      <c r="U67" s="66"/>
      <c r="V67" s="66"/>
      <c r="W67" s="66"/>
      <c r="X67" s="66"/>
      <c r="Y67" s="66"/>
      <c r="Z67" s="66"/>
      <c r="AA67" s="66"/>
      <c r="AB67" s="66"/>
      <c r="AC67" s="66"/>
      <c r="AD67" s="66"/>
      <c r="AE67" s="66"/>
      <c r="AF67" s="66"/>
      <c r="AG67" s="66"/>
      <c r="AH67" s="66"/>
      <c r="AI67" s="66"/>
      <c r="AJ67" s="66"/>
      <c r="AK67" s="66"/>
      <c r="AL67" s="66"/>
      <c r="AM67" s="66"/>
      <c r="AN67" s="66"/>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row>
    <row r="68" spans="1:66" s="45" customFormat="1" ht="18" hidden="1">
      <c r="A68" s="66" t="str">
        <f t="shared" si="28"/>
        <v>1.2</v>
      </c>
      <c r="B68" s="67" t="s">
        <v>20</v>
      </c>
      <c r="C68" s="45" t="s">
        <v>15</v>
      </c>
      <c r="D68" s="68"/>
      <c r="E68" s="69">
        <v>46064</v>
      </c>
      <c r="F68" s="70">
        <f t="shared" si="27"/>
        <v>46070</v>
      </c>
      <c r="G68" s="71">
        <v>7</v>
      </c>
      <c r="H68" s="72">
        <v>0</v>
      </c>
      <c r="I68" s="88">
        <f t="shared" si="5"/>
        <v>5</v>
      </c>
      <c r="J68" s="89"/>
      <c r="K68" s="66"/>
      <c r="L68" s="66"/>
      <c r="M68" s="66"/>
      <c r="N68" s="66"/>
      <c r="O68" s="66"/>
      <c r="P68" s="66"/>
      <c r="Q68" s="66"/>
      <c r="R68" s="66"/>
      <c r="S68" s="66"/>
      <c r="T68" s="66"/>
      <c r="U68" s="66"/>
      <c r="V68" s="66"/>
      <c r="W68" s="66"/>
      <c r="X68" s="66"/>
      <c r="Y68" s="66"/>
      <c r="Z68" s="66"/>
      <c r="AA68" s="66"/>
      <c r="AB68" s="66"/>
      <c r="AC68" s="66"/>
      <c r="AD68" s="66"/>
      <c r="AE68" s="66"/>
      <c r="AF68" s="66"/>
      <c r="AG68" s="66"/>
      <c r="AH68" s="66"/>
      <c r="AI68" s="66"/>
      <c r="AJ68" s="66"/>
      <c r="AK68" s="66"/>
      <c r="AL68" s="66"/>
      <c r="AM68" s="66"/>
      <c r="AN68" s="66"/>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row>
    <row r="69" spans="1:66" s="45" customFormat="1" ht="44.25" hidden="1" customHeight="1">
      <c r="A69" s="66" t="str">
        <f t="shared" si="28"/>
        <v>1.3</v>
      </c>
      <c r="B69" s="67" t="s">
        <v>21</v>
      </c>
      <c r="C69" s="45" t="s">
        <v>16</v>
      </c>
      <c r="D69" s="68"/>
      <c r="E69" s="69">
        <v>46064</v>
      </c>
      <c r="F69" s="70">
        <f t="shared" si="27"/>
        <v>46070</v>
      </c>
      <c r="G69" s="71">
        <v>7</v>
      </c>
      <c r="H69" s="72">
        <v>0</v>
      </c>
      <c r="I69" s="88">
        <f t="shared" si="5"/>
        <v>5</v>
      </c>
      <c r="J69" s="89"/>
      <c r="K69" s="66"/>
      <c r="L69" s="66"/>
      <c r="M69" s="66"/>
      <c r="N69" s="66"/>
      <c r="O69" s="66"/>
      <c r="P69" s="66"/>
      <c r="Q69" s="66"/>
      <c r="R69" s="66"/>
      <c r="S69" s="66"/>
      <c r="T69" s="66"/>
      <c r="U69" s="66"/>
      <c r="V69" s="66"/>
      <c r="W69" s="66"/>
      <c r="X69" s="66"/>
      <c r="Y69" s="66"/>
      <c r="Z69" s="66"/>
      <c r="AA69" s="66"/>
      <c r="AB69" s="66"/>
      <c r="AC69" s="66"/>
      <c r="AD69" s="66"/>
      <c r="AE69" s="66"/>
      <c r="AF69" s="66"/>
      <c r="AG69" s="66"/>
      <c r="AH69" s="66"/>
      <c r="AI69" s="66"/>
      <c r="AJ69" s="66"/>
      <c r="AK69" s="66"/>
      <c r="AL69" s="66"/>
      <c r="AM69" s="66"/>
      <c r="AN69" s="66"/>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row>
    <row r="70" spans="1:66" s="45" customFormat="1" ht="18" hidden="1">
      <c r="A70" s="66" t="str">
        <f t="shared" si="28"/>
        <v>1.4</v>
      </c>
      <c r="B70" s="67" t="s">
        <v>22</v>
      </c>
      <c r="C70" s="45" t="s">
        <v>15</v>
      </c>
      <c r="D70" s="68"/>
      <c r="E70" s="69">
        <v>46071</v>
      </c>
      <c r="F70" s="70">
        <f t="shared" si="27"/>
        <v>46077</v>
      </c>
      <c r="G70" s="71">
        <v>7</v>
      </c>
      <c r="H70" s="72">
        <v>0</v>
      </c>
      <c r="I70" s="88">
        <f t="shared" si="5"/>
        <v>5</v>
      </c>
      <c r="J70" s="89"/>
      <c r="K70" s="66"/>
      <c r="L70" s="66"/>
      <c r="M70" s="66"/>
      <c r="N70" s="66"/>
      <c r="O70" s="66"/>
      <c r="P70" s="66"/>
      <c r="Q70" s="66"/>
      <c r="R70" s="66"/>
      <c r="S70" s="66"/>
      <c r="T70" s="66"/>
      <c r="U70" s="66"/>
      <c r="V70" s="66"/>
      <c r="W70" s="66"/>
      <c r="X70" s="66"/>
      <c r="Y70" s="66"/>
      <c r="Z70" s="66"/>
      <c r="AA70" s="66"/>
      <c r="AB70" s="66"/>
      <c r="AC70" s="66"/>
      <c r="AD70" s="66"/>
      <c r="AE70" s="66"/>
      <c r="AF70" s="66"/>
      <c r="AG70" s="66"/>
      <c r="AH70" s="66"/>
      <c r="AI70" s="66"/>
      <c r="AJ70" s="66"/>
      <c r="AK70" s="66"/>
      <c r="AL70" s="66"/>
      <c r="AM70" s="66"/>
      <c r="AN70" s="66"/>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row>
    <row r="71" spans="1:66" s="45" customFormat="1" ht="18" hidden="1">
      <c r="A71" s="66" t="str">
        <f t="shared" si="28"/>
        <v>1.5</v>
      </c>
      <c r="B71" s="67" t="s">
        <v>23</v>
      </c>
      <c r="C71" s="45" t="s">
        <v>16</v>
      </c>
      <c r="D71" s="68"/>
      <c r="E71" s="69">
        <v>46071</v>
      </c>
      <c r="F71" s="70">
        <f t="shared" si="27"/>
        <v>46077</v>
      </c>
      <c r="G71" s="71">
        <v>7</v>
      </c>
      <c r="H71" s="72">
        <v>0</v>
      </c>
      <c r="I71" s="88">
        <f t="shared" si="5"/>
        <v>5</v>
      </c>
      <c r="J71" s="89"/>
      <c r="K71" s="66"/>
      <c r="L71" s="66"/>
      <c r="M71" s="66"/>
      <c r="N71" s="66"/>
      <c r="O71" s="66"/>
      <c r="P71" s="66"/>
      <c r="Q71" s="66"/>
      <c r="R71" s="66"/>
      <c r="S71" s="66"/>
      <c r="T71" s="66"/>
      <c r="U71" s="66"/>
      <c r="V71" s="66"/>
      <c r="W71" s="66"/>
      <c r="X71" s="66"/>
      <c r="Y71" s="66"/>
      <c r="Z71" s="66"/>
      <c r="AA71" s="66"/>
      <c r="AB71" s="66"/>
      <c r="AC71" s="66"/>
      <c r="AD71" s="66"/>
      <c r="AE71" s="66"/>
      <c r="AF71" s="66"/>
      <c r="AG71" s="66"/>
      <c r="AH71" s="66"/>
      <c r="AI71" s="66"/>
      <c r="AJ71" s="66"/>
      <c r="AK71" s="66"/>
      <c r="AL71" s="66"/>
      <c r="AM71" s="66"/>
      <c r="AN71" s="66"/>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row>
    <row r="72" spans="1:66" s="45" customFormat="1" ht="18" hidden="1">
      <c r="A72" s="66" t="str">
        <f t="shared" si="28"/>
        <v>1.6</v>
      </c>
      <c r="B72" s="67" t="s">
        <v>24</v>
      </c>
      <c r="C72" s="45" t="s">
        <v>15</v>
      </c>
      <c r="D72" s="68"/>
      <c r="E72" s="69">
        <v>46078</v>
      </c>
      <c r="F72" s="70">
        <f t="shared" ref="F72:F86" si="29">IF(ISBLANK(E72)," - ",IF(G72=0,E72,E72+G72-1))</f>
        <v>46084</v>
      </c>
      <c r="G72" s="71">
        <v>7</v>
      </c>
      <c r="H72" s="72">
        <v>0</v>
      </c>
      <c r="I72" s="88">
        <f t="shared" ref="I72:I86" si="30">IF(OR(F72=0,E72=0)," - ",NETWORKDAYS(E72,F72))</f>
        <v>5</v>
      </c>
      <c r="J72" s="89"/>
      <c r="K72" s="66"/>
      <c r="L72" s="66"/>
      <c r="M72" s="66"/>
      <c r="N72" s="66"/>
      <c r="O72" s="66"/>
      <c r="P72" s="66"/>
      <c r="Q72" s="66"/>
      <c r="R72" s="66"/>
      <c r="S72" s="66"/>
      <c r="T72" s="66"/>
      <c r="U72" s="66"/>
      <c r="V72" s="66"/>
      <c r="W72" s="66"/>
      <c r="X72" s="66"/>
      <c r="Y72" s="66"/>
      <c r="Z72" s="66"/>
      <c r="AA72" s="66"/>
      <c r="AB72" s="66"/>
      <c r="AC72" s="66"/>
      <c r="AD72" s="66"/>
      <c r="AE72" s="66"/>
      <c r="AF72" s="66"/>
      <c r="AG72" s="66"/>
      <c r="AH72" s="66"/>
      <c r="AI72" s="66"/>
      <c r="AJ72" s="66"/>
      <c r="AK72" s="66"/>
      <c r="AL72" s="66"/>
      <c r="AM72" s="66"/>
      <c r="AN72" s="66"/>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row>
    <row r="73" spans="1:66" s="45" customFormat="1" ht="18" hidden="1">
      <c r="A73" s="66" t="str">
        <f t="shared" si="28"/>
        <v>1.7</v>
      </c>
      <c r="B73" s="67" t="s">
        <v>25</v>
      </c>
      <c r="C73" s="45" t="s">
        <v>16</v>
      </c>
      <c r="D73" s="68"/>
      <c r="E73" s="69">
        <v>46078</v>
      </c>
      <c r="F73" s="70">
        <f t="shared" si="29"/>
        <v>46084</v>
      </c>
      <c r="G73" s="71">
        <v>7</v>
      </c>
      <c r="H73" s="72">
        <v>0</v>
      </c>
      <c r="I73" s="88">
        <f t="shared" si="30"/>
        <v>5</v>
      </c>
      <c r="J73" s="89"/>
      <c r="K73" s="66"/>
      <c r="L73" s="66"/>
      <c r="M73" s="66"/>
      <c r="N73" s="66"/>
      <c r="O73" s="66"/>
      <c r="P73" s="66"/>
      <c r="Q73" s="66"/>
      <c r="R73" s="66"/>
      <c r="S73" s="66"/>
      <c r="T73" s="66"/>
      <c r="U73" s="66"/>
      <c r="V73" s="66"/>
      <c r="W73" s="66"/>
      <c r="X73" s="66"/>
      <c r="Y73" s="66"/>
      <c r="Z73" s="66"/>
      <c r="AA73" s="66"/>
      <c r="AB73" s="66"/>
      <c r="AC73" s="66"/>
      <c r="AD73" s="66"/>
      <c r="AE73" s="66"/>
      <c r="AF73" s="66"/>
      <c r="AG73" s="66"/>
      <c r="AH73" s="66"/>
      <c r="AI73" s="66"/>
      <c r="AJ73" s="66"/>
      <c r="AK73" s="66"/>
      <c r="AL73" s="66"/>
      <c r="AM73" s="66"/>
      <c r="AN73" s="66"/>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row>
    <row r="74" spans="1:66" s="45" customFormat="1" ht="18" hidden="1">
      <c r="A74" s="66" t="str">
        <f t="shared" si="28"/>
        <v>1.8</v>
      </c>
      <c r="B74" s="67" t="s">
        <v>26</v>
      </c>
      <c r="C74" s="45" t="s">
        <v>27</v>
      </c>
      <c r="D74" s="68"/>
      <c r="E74" s="69">
        <v>46057</v>
      </c>
      <c r="F74" s="70">
        <f t="shared" si="29"/>
        <v>46063</v>
      </c>
      <c r="G74" s="71">
        <v>7</v>
      </c>
      <c r="H74" s="72">
        <v>0</v>
      </c>
      <c r="I74" s="88">
        <f t="shared" si="30"/>
        <v>5</v>
      </c>
      <c r="J74" s="89"/>
      <c r="K74" s="66"/>
      <c r="L74" s="66"/>
      <c r="M74" s="66"/>
      <c r="N74" s="66"/>
      <c r="O74" s="66"/>
      <c r="P74" s="66"/>
      <c r="Q74" s="66"/>
      <c r="R74" s="66"/>
      <c r="S74" s="66"/>
      <c r="T74" s="66"/>
      <c r="U74" s="66"/>
      <c r="V74" s="66"/>
      <c r="W74" s="66"/>
      <c r="X74" s="66"/>
      <c r="Y74" s="66"/>
      <c r="Z74" s="66"/>
      <c r="AA74" s="66"/>
      <c r="AB74" s="66"/>
      <c r="AC74" s="66"/>
      <c r="AD74" s="66"/>
      <c r="AE74" s="66"/>
      <c r="AF74" s="66"/>
      <c r="AG74" s="66"/>
      <c r="AH74" s="66"/>
      <c r="AI74" s="66"/>
      <c r="AJ74" s="66"/>
      <c r="AK74" s="66"/>
      <c r="AL74" s="66"/>
      <c r="AM74" s="66"/>
      <c r="AN74" s="66"/>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row>
    <row r="75" spans="1:66" s="45" customFormat="1" ht="18" hidden="1">
      <c r="A75" s="66" t="str">
        <f t="shared" si="28"/>
        <v>1.9</v>
      </c>
      <c r="B75" s="67" t="s">
        <v>28</v>
      </c>
      <c r="C75" s="45" t="s">
        <v>15</v>
      </c>
      <c r="D75" s="68"/>
      <c r="E75" s="69">
        <v>46085</v>
      </c>
      <c r="F75" s="70">
        <f t="shared" si="29"/>
        <v>46091</v>
      </c>
      <c r="G75" s="71">
        <v>7</v>
      </c>
      <c r="H75" s="72">
        <v>0</v>
      </c>
      <c r="I75" s="88">
        <f t="shared" si="30"/>
        <v>5</v>
      </c>
      <c r="J75" s="89"/>
      <c r="K75" s="66"/>
      <c r="L75" s="66"/>
      <c r="M75" s="66"/>
      <c r="N75" s="66"/>
      <c r="O75" s="66"/>
      <c r="P75" s="66"/>
      <c r="Q75" s="66"/>
      <c r="R75" s="66"/>
      <c r="S75" s="66"/>
      <c r="T75" s="66"/>
      <c r="U75" s="66"/>
      <c r="V75" s="66"/>
      <c r="W75" s="66"/>
      <c r="X75" s="66"/>
      <c r="Y75" s="66"/>
      <c r="Z75" s="66"/>
      <c r="AA75" s="66"/>
      <c r="AB75" s="66"/>
      <c r="AC75" s="66"/>
      <c r="AD75" s="66"/>
      <c r="AE75" s="66"/>
      <c r="AF75" s="66"/>
      <c r="AG75" s="66"/>
      <c r="AH75" s="66"/>
      <c r="AI75" s="66"/>
      <c r="AJ75" s="66"/>
      <c r="AK75" s="66"/>
      <c r="AL75" s="66"/>
      <c r="AM75" s="66"/>
      <c r="AN75" s="66"/>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row>
    <row r="76" spans="1:66" s="45" customFormat="1" ht="18" hidden="1">
      <c r="A76" s="66" t="str">
        <f t="shared" si="28"/>
        <v>1.10</v>
      </c>
      <c r="B76" s="67" t="s">
        <v>29</v>
      </c>
      <c r="C76" s="45" t="s">
        <v>16</v>
      </c>
      <c r="D76" s="68"/>
      <c r="E76" s="69">
        <v>46085</v>
      </c>
      <c r="F76" s="70">
        <f t="shared" si="29"/>
        <v>46091</v>
      </c>
      <c r="G76" s="71">
        <v>7</v>
      </c>
      <c r="H76" s="72">
        <v>0</v>
      </c>
      <c r="I76" s="88">
        <f t="shared" si="30"/>
        <v>5</v>
      </c>
      <c r="J76" s="89"/>
      <c r="K76" s="66"/>
      <c r="L76" s="66"/>
      <c r="M76" s="66"/>
      <c r="N76" s="66"/>
      <c r="O76" s="66"/>
      <c r="P76" s="66"/>
      <c r="Q76" s="66"/>
      <c r="R76" s="66"/>
      <c r="S76" s="66"/>
      <c r="T76" s="66"/>
      <c r="U76" s="66"/>
      <c r="V76" s="66"/>
      <c r="W76" s="66"/>
      <c r="X76" s="66"/>
      <c r="Y76" s="66"/>
      <c r="Z76" s="66"/>
      <c r="AA76" s="66"/>
      <c r="AB76" s="66"/>
      <c r="AC76" s="66"/>
      <c r="AD76" s="66"/>
      <c r="AE76" s="66"/>
      <c r="AF76" s="66"/>
      <c r="AG76" s="66"/>
      <c r="AH76" s="66"/>
      <c r="AI76" s="66"/>
      <c r="AJ76" s="66"/>
      <c r="AK76" s="66"/>
      <c r="AL76" s="66"/>
      <c r="AM76" s="66"/>
      <c r="AN76" s="66"/>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row>
    <row r="77" spans="1:66" s="45" customFormat="1" ht="18" hidden="1">
      <c r="A77" s="66" t="str">
        <f t="shared" si="28"/>
        <v>1.11</v>
      </c>
      <c r="B77" s="67" t="s">
        <v>30</v>
      </c>
      <c r="C77" s="45" t="s">
        <v>16</v>
      </c>
      <c r="D77" s="68"/>
      <c r="E77" s="69">
        <v>46092</v>
      </c>
      <c r="F77" s="70">
        <f t="shared" si="29"/>
        <v>46098</v>
      </c>
      <c r="G77" s="71">
        <v>7</v>
      </c>
      <c r="H77" s="72">
        <v>0</v>
      </c>
      <c r="I77" s="88">
        <f t="shared" si="30"/>
        <v>5</v>
      </c>
      <c r="J77" s="89"/>
      <c r="K77" s="66"/>
      <c r="L77" s="66"/>
      <c r="M77" s="66"/>
      <c r="N77" s="66"/>
      <c r="O77" s="66"/>
      <c r="P77" s="66"/>
      <c r="Q77" s="66"/>
      <c r="R77" s="66"/>
      <c r="S77" s="66"/>
      <c r="T77" s="66"/>
      <c r="U77" s="66"/>
      <c r="V77" s="66"/>
      <c r="W77" s="66"/>
      <c r="X77" s="66"/>
      <c r="Y77" s="66"/>
      <c r="Z77" s="66"/>
      <c r="AA77" s="66"/>
      <c r="AB77" s="66"/>
      <c r="AC77" s="66"/>
      <c r="AD77" s="66"/>
      <c r="AE77" s="66"/>
      <c r="AF77" s="66"/>
      <c r="AG77" s="66"/>
      <c r="AH77" s="66"/>
      <c r="AI77" s="66"/>
      <c r="AJ77" s="66"/>
      <c r="AK77" s="66"/>
      <c r="AL77" s="66"/>
      <c r="AM77" s="66"/>
      <c r="AN77" s="66"/>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row>
    <row r="78" spans="1:66" s="45" customFormat="1" ht="18" hidden="1">
      <c r="A78" s="66" t="str">
        <f t="shared" si="28"/>
        <v>1.12</v>
      </c>
      <c r="B78" s="67" t="s">
        <v>31</v>
      </c>
      <c r="C78" s="45" t="s">
        <v>15</v>
      </c>
      <c r="D78" s="68"/>
      <c r="E78" s="69">
        <v>46092</v>
      </c>
      <c r="F78" s="70">
        <f t="shared" si="29"/>
        <v>46098</v>
      </c>
      <c r="G78" s="71">
        <v>7</v>
      </c>
      <c r="H78" s="72">
        <v>0</v>
      </c>
      <c r="I78" s="88">
        <f t="shared" si="30"/>
        <v>5</v>
      </c>
      <c r="J78" s="89"/>
      <c r="K78" s="66"/>
      <c r="L78" s="66"/>
      <c r="M78" s="66"/>
      <c r="N78" s="66"/>
      <c r="O78" s="66"/>
      <c r="P78" s="66"/>
      <c r="Q78" s="66"/>
      <c r="R78" s="66"/>
      <c r="S78" s="66"/>
      <c r="T78" s="66"/>
      <c r="U78" s="66"/>
      <c r="V78" s="66"/>
      <c r="W78" s="66"/>
      <c r="X78" s="66"/>
      <c r="Y78" s="66"/>
      <c r="Z78" s="66"/>
      <c r="AA78" s="66"/>
      <c r="AB78" s="66"/>
      <c r="AC78" s="66"/>
      <c r="AD78" s="66"/>
      <c r="AE78" s="66"/>
      <c r="AF78" s="66"/>
      <c r="AG78" s="66"/>
      <c r="AH78" s="66"/>
      <c r="AI78" s="66"/>
      <c r="AJ78" s="66"/>
      <c r="AK78" s="66"/>
      <c r="AL78" s="66"/>
      <c r="AM78" s="66"/>
      <c r="AN78" s="66"/>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row>
    <row r="79" spans="1:66" s="45" customFormat="1" ht="18" hidden="1">
      <c r="A79" s="66" t="str">
        <f t="shared" si="28"/>
        <v>1.13</v>
      </c>
      <c r="B79" s="67" t="s">
        <v>32</v>
      </c>
      <c r="C79" s="45" t="s">
        <v>16</v>
      </c>
      <c r="D79" s="68"/>
      <c r="E79" s="69">
        <v>46099</v>
      </c>
      <c r="F79" s="70">
        <f t="shared" si="29"/>
        <v>46105</v>
      </c>
      <c r="G79" s="71">
        <v>7</v>
      </c>
      <c r="H79" s="72">
        <v>0</v>
      </c>
      <c r="I79" s="88">
        <f t="shared" si="30"/>
        <v>5</v>
      </c>
      <c r="J79" s="89"/>
      <c r="K79" s="66"/>
      <c r="L79" s="66"/>
      <c r="M79" s="66"/>
      <c r="N79" s="66"/>
      <c r="O79" s="66"/>
      <c r="P79" s="66"/>
      <c r="Q79" s="66"/>
      <c r="R79" s="66"/>
      <c r="S79" s="66"/>
      <c r="T79" s="66"/>
      <c r="U79" s="66"/>
      <c r="V79" s="66"/>
      <c r="W79" s="66"/>
      <c r="X79" s="66"/>
      <c r="Y79" s="66"/>
      <c r="Z79" s="66"/>
      <c r="AA79" s="66"/>
      <c r="AB79" s="66"/>
      <c r="AC79" s="66"/>
      <c r="AD79" s="66"/>
      <c r="AE79" s="66"/>
      <c r="AF79" s="66"/>
      <c r="AG79" s="66"/>
      <c r="AH79" s="66"/>
      <c r="AI79" s="66"/>
      <c r="AJ79" s="66"/>
      <c r="AK79" s="66"/>
      <c r="AL79" s="66"/>
      <c r="AM79" s="66"/>
      <c r="AN79" s="66"/>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row>
    <row r="80" spans="1:66" s="45" customFormat="1" ht="18" hidden="1">
      <c r="A80" s="66" t="str">
        <f t="shared" si="28"/>
        <v>1.14</v>
      </c>
      <c r="B80" s="67" t="s">
        <v>33</v>
      </c>
      <c r="C80" s="45" t="s">
        <v>16</v>
      </c>
      <c r="D80" s="68"/>
      <c r="E80" s="69">
        <v>46106</v>
      </c>
      <c r="F80" s="70">
        <f t="shared" ref="F80" si="31">IF(ISBLANK(E80)," - ",IF(G80=0,E80,E80+G80-1))</f>
        <v>46112</v>
      </c>
      <c r="G80" s="71">
        <v>7</v>
      </c>
      <c r="H80" s="72">
        <v>0</v>
      </c>
      <c r="I80" s="88">
        <f t="shared" ref="I80" si="32">IF(OR(F80=0,E80=0)," - ",NETWORKDAYS(E80,F80))</f>
        <v>5</v>
      </c>
      <c r="J80" s="89"/>
      <c r="K80" s="66"/>
      <c r="L80" s="66"/>
      <c r="M80" s="66"/>
      <c r="N80" s="66"/>
      <c r="O80" s="66"/>
      <c r="P80" s="66"/>
      <c r="Q80" s="66"/>
      <c r="R80" s="66"/>
      <c r="S80" s="66"/>
      <c r="T80" s="66"/>
      <c r="U80" s="66"/>
      <c r="V80" s="66"/>
      <c r="W80" s="66"/>
      <c r="X80" s="66"/>
      <c r="Y80" s="66"/>
      <c r="Z80" s="66"/>
      <c r="AA80" s="66"/>
      <c r="AB80" s="66"/>
      <c r="AC80" s="66"/>
      <c r="AD80" s="66"/>
      <c r="AE80" s="66"/>
      <c r="AF80" s="66"/>
      <c r="AG80" s="66"/>
      <c r="AH80" s="66"/>
      <c r="AI80" s="66"/>
      <c r="AJ80" s="66"/>
      <c r="AK80" s="66"/>
      <c r="AL80" s="66"/>
      <c r="AM80" s="66"/>
      <c r="AN80" s="66"/>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row>
    <row r="81" spans="1:66" s="45" customFormat="1" ht="18" hidden="1">
      <c r="A81" s="66" t="str">
        <f t="shared" si="28"/>
        <v>1.15</v>
      </c>
      <c r="B81" s="67" t="s">
        <v>34</v>
      </c>
      <c r="C81" s="45" t="s">
        <v>16</v>
      </c>
      <c r="D81" s="68"/>
      <c r="E81" s="69">
        <v>46106</v>
      </c>
      <c r="F81" s="70">
        <f t="shared" ref="F81" si="33">IF(ISBLANK(E81)," - ",IF(G81=0,E81,E81+G81-1))</f>
        <v>46112</v>
      </c>
      <c r="G81" s="71">
        <v>7</v>
      </c>
      <c r="H81" s="72">
        <v>0</v>
      </c>
      <c r="I81" s="88">
        <f t="shared" ref="I81" si="34">IF(OR(F81=0,E81=0)," - ",NETWORKDAYS(E81,F81))</f>
        <v>5</v>
      </c>
      <c r="J81" s="89"/>
      <c r="K81" s="66"/>
      <c r="L81" s="66"/>
      <c r="M81" s="66"/>
      <c r="N81" s="66"/>
      <c r="O81" s="66"/>
      <c r="P81" s="66"/>
      <c r="Q81" s="66"/>
      <c r="R81" s="66"/>
      <c r="S81" s="66"/>
      <c r="T81" s="66"/>
      <c r="U81" s="66"/>
      <c r="V81" s="66"/>
      <c r="W81" s="66"/>
      <c r="X81" s="66"/>
      <c r="Y81" s="66"/>
      <c r="Z81" s="66"/>
      <c r="AA81" s="66"/>
      <c r="AB81" s="66"/>
      <c r="AC81" s="66"/>
      <c r="AD81" s="66"/>
      <c r="AE81" s="66"/>
      <c r="AF81" s="66"/>
      <c r="AG81" s="66"/>
      <c r="AH81" s="66"/>
      <c r="AI81" s="66"/>
      <c r="AJ81" s="66"/>
      <c r="AK81" s="66"/>
      <c r="AL81" s="66"/>
      <c r="AM81" s="66"/>
      <c r="AN81" s="66"/>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row>
    <row r="82" spans="1:66" s="45" customFormat="1" ht="18" hidden="1">
      <c r="A82" s="66" t="str">
        <f t="shared" si="28"/>
        <v>1.16</v>
      </c>
      <c r="B82" s="67" t="s">
        <v>35</v>
      </c>
      <c r="C82" s="45" t="s">
        <v>16</v>
      </c>
      <c r="D82" s="68"/>
      <c r="E82" s="69">
        <v>46113</v>
      </c>
      <c r="F82" s="70">
        <f t="shared" si="29"/>
        <v>46119</v>
      </c>
      <c r="G82" s="71">
        <v>7</v>
      </c>
      <c r="H82" s="72">
        <v>0</v>
      </c>
      <c r="I82" s="88">
        <f t="shared" si="30"/>
        <v>5</v>
      </c>
      <c r="J82" s="89"/>
      <c r="K82" s="66"/>
      <c r="L82" s="66"/>
      <c r="M82" s="66"/>
      <c r="N82" s="66"/>
      <c r="O82" s="66"/>
      <c r="P82" s="66"/>
      <c r="Q82" s="66"/>
      <c r="R82" s="66"/>
      <c r="S82" s="66"/>
      <c r="T82" s="66"/>
      <c r="U82" s="66"/>
      <c r="V82" s="66"/>
      <c r="W82" s="66"/>
      <c r="X82" s="66"/>
      <c r="Y82" s="66"/>
      <c r="Z82" s="66"/>
      <c r="AA82" s="66"/>
      <c r="AB82" s="66"/>
      <c r="AC82" s="66"/>
      <c r="AD82" s="66"/>
      <c r="AE82" s="66"/>
      <c r="AF82" s="66"/>
      <c r="AG82" s="66"/>
      <c r="AH82" s="66"/>
      <c r="AI82" s="66"/>
      <c r="AJ82" s="66"/>
      <c r="AK82" s="66"/>
      <c r="AL82" s="66"/>
      <c r="AM82" s="66"/>
      <c r="AN82" s="66"/>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row>
    <row r="83" spans="1:66" s="45" customFormat="1" ht="18" hidden="1">
      <c r="A83" s="66" t="str">
        <f t="shared" si="28"/>
        <v>1.17</v>
      </c>
      <c r="B83" s="67" t="s">
        <v>36</v>
      </c>
      <c r="C83" s="45" t="s">
        <v>15</v>
      </c>
      <c r="D83" s="68"/>
      <c r="E83" s="69">
        <v>46113</v>
      </c>
      <c r="F83" s="70">
        <f t="shared" si="29"/>
        <v>46119</v>
      </c>
      <c r="G83" s="71">
        <v>7</v>
      </c>
      <c r="H83" s="72">
        <v>0</v>
      </c>
      <c r="I83" s="88">
        <f t="shared" si="30"/>
        <v>5</v>
      </c>
      <c r="J83" s="89"/>
      <c r="K83" s="66"/>
      <c r="L83" s="66"/>
      <c r="M83" s="66"/>
      <c r="N83" s="66"/>
      <c r="O83" s="66"/>
      <c r="P83" s="66"/>
      <c r="Q83" s="66"/>
      <c r="R83" s="66"/>
      <c r="S83" s="66"/>
      <c r="T83" s="66"/>
      <c r="U83" s="66"/>
      <c r="V83" s="66"/>
      <c r="W83" s="66"/>
      <c r="X83" s="66"/>
      <c r="Y83" s="66"/>
      <c r="Z83" s="66"/>
      <c r="AA83" s="66"/>
      <c r="AB83" s="66"/>
      <c r="AC83" s="66"/>
      <c r="AD83" s="66"/>
      <c r="AE83" s="66"/>
      <c r="AF83" s="66"/>
      <c r="AG83" s="66"/>
      <c r="AH83" s="66"/>
      <c r="AI83" s="66"/>
      <c r="AJ83" s="66"/>
      <c r="AK83" s="66"/>
      <c r="AL83" s="66"/>
      <c r="AM83" s="66"/>
      <c r="AN83" s="66"/>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row>
    <row r="84" spans="1:66" s="45" customFormat="1" ht="18" hidden="1">
      <c r="A84" s="66" t="str">
        <f t="shared" si="28"/>
        <v>1.18</v>
      </c>
      <c r="B84" s="67" t="s">
        <v>37</v>
      </c>
      <c r="C84" s="45" t="s">
        <v>16</v>
      </c>
      <c r="D84" s="68"/>
      <c r="E84" s="69">
        <v>46120</v>
      </c>
      <c r="F84" s="70">
        <f t="shared" si="29"/>
        <v>46126</v>
      </c>
      <c r="G84" s="71">
        <v>7</v>
      </c>
      <c r="H84" s="72">
        <v>0</v>
      </c>
      <c r="I84" s="88">
        <f t="shared" si="30"/>
        <v>5</v>
      </c>
      <c r="J84" s="89"/>
      <c r="K84" s="66"/>
      <c r="L84" s="66"/>
      <c r="M84" s="66"/>
      <c r="N84" s="66"/>
      <c r="O84" s="66"/>
      <c r="P84" s="66"/>
      <c r="Q84" s="66"/>
      <c r="R84" s="66"/>
      <c r="S84" s="66"/>
      <c r="T84" s="66"/>
      <c r="U84" s="66"/>
      <c r="V84" s="66"/>
      <c r="W84" s="66"/>
      <c r="X84" s="66"/>
      <c r="Y84" s="66"/>
      <c r="Z84" s="66"/>
      <c r="AA84" s="66"/>
      <c r="AB84" s="66"/>
      <c r="AC84" s="66"/>
      <c r="AD84" s="66"/>
      <c r="AE84" s="66"/>
      <c r="AF84" s="66"/>
      <c r="AG84" s="66"/>
      <c r="AH84" s="66"/>
      <c r="AI84" s="66"/>
      <c r="AJ84" s="66"/>
      <c r="AK84" s="66"/>
      <c r="AL84" s="66"/>
      <c r="AM84" s="66"/>
      <c r="AN84" s="66"/>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row>
    <row r="85" spans="1:66" s="45" customFormat="1" ht="18" hidden="1">
      <c r="A85" s="66" t="str">
        <f t="shared" si="28"/>
        <v>1.19</v>
      </c>
      <c r="B85" s="67" t="s">
        <v>38</v>
      </c>
      <c r="C85" s="45" t="s">
        <v>15</v>
      </c>
      <c r="D85" s="68"/>
      <c r="E85" s="69">
        <v>46120</v>
      </c>
      <c r="F85" s="70">
        <f t="shared" si="29"/>
        <v>46126</v>
      </c>
      <c r="G85" s="71">
        <v>7</v>
      </c>
      <c r="H85" s="72">
        <v>0</v>
      </c>
      <c r="I85" s="88">
        <f t="shared" si="30"/>
        <v>5</v>
      </c>
      <c r="J85" s="89"/>
      <c r="K85" s="66"/>
      <c r="L85" s="66"/>
      <c r="M85" s="66"/>
      <c r="N85" s="66"/>
      <c r="O85" s="66"/>
      <c r="P85" s="66"/>
      <c r="Q85" s="66"/>
      <c r="R85" s="66"/>
      <c r="S85" s="66"/>
      <c r="T85" s="66"/>
      <c r="U85" s="66"/>
      <c r="V85" s="66"/>
      <c r="W85" s="66"/>
      <c r="X85" s="66"/>
      <c r="Y85" s="66"/>
      <c r="Z85" s="66"/>
      <c r="AA85" s="66"/>
      <c r="AB85" s="66"/>
      <c r="AC85" s="66"/>
      <c r="AD85" s="66"/>
      <c r="AE85" s="66"/>
      <c r="AF85" s="66"/>
      <c r="AG85" s="66"/>
      <c r="AH85" s="66"/>
      <c r="AI85" s="66"/>
      <c r="AJ85" s="66"/>
      <c r="AK85" s="66"/>
      <c r="AL85" s="66"/>
      <c r="AM85" s="66"/>
      <c r="AN85" s="66"/>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row>
    <row r="86" spans="1:66" s="45" customFormat="1" ht="18" hidden="1">
      <c r="A86" s="66" t="str">
        <f t="shared" si="28"/>
        <v>1.20</v>
      </c>
      <c r="B86" s="67" t="s">
        <v>39</v>
      </c>
      <c r="C86" s="45" t="s">
        <v>16</v>
      </c>
      <c r="D86" s="68"/>
      <c r="E86" s="69">
        <v>46127</v>
      </c>
      <c r="F86" s="70">
        <f t="shared" si="29"/>
        <v>46133</v>
      </c>
      <c r="G86" s="71">
        <v>7</v>
      </c>
      <c r="H86" s="72">
        <v>0</v>
      </c>
      <c r="I86" s="88">
        <f t="shared" si="30"/>
        <v>5</v>
      </c>
      <c r="J86" s="89"/>
      <c r="K86" s="66"/>
      <c r="L86" s="66"/>
      <c r="M86" s="66"/>
      <c r="N86" s="66"/>
      <c r="O86" s="66"/>
      <c r="P86" s="66"/>
      <c r="Q86" s="66"/>
      <c r="R86" s="66"/>
      <c r="S86" s="66"/>
      <c r="T86" s="66"/>
      <c r="U86" s="66"/>
      <c r="V86" s="66"/>
      <c r="W86" s="66"/>
      <c r="X86" s="66"/>
      <c r="Y86" s="66"/>
      <c r="Z86" s="66"/>
      <c r="AA86" s="66"/>
      <c r="AB86" s="66"/>
      <c r="AC86" s="66"/>
      <c r="AD86" s="66"/>
      <c r="AE86" s="66"/>
      <c r="AF86" s="66"/>
      <c r="AG86" s="66"/>
      <c r="AH86" s="66"/>
      <c r="AI86" s="66"/>
      <c r="AJ86" s="66"/>
      <c r="AK86" s="66"/>
      <c r="AL86" s="66"/>
      <c r="AM86" s="66"/>
      <c r="AN86" s="66"/>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row>
    <row r="87" spans="1:66" s="45" customFormat="1" ht="18" hidden="1">
      <c r="A87" s="66" t="str">
        <f t="shared" si="28"/>
        <v>1.21</v>
      </c>
      <c r="B87" s="67" t="s">
        <v>40</v>
      </c>
      <c r="C87" s="45" t="s">
        <v>15</v>
      </c>
      <c r="D87" s="68"/>
      <c r="E87" s="69">
        <v>46127</v>
      </c>
      <c r="F87" s="70">
        <f t="shared" ref="F87:F97" si="35">IF(ISBLANK(E87)," - ",IF(G87=0,E87,E87+G87-1))</f>
        <v>46133</v>
      </c>
      <c r="G87" s="71">
        <v>7</v>
      </c>
      <c r="H87" s="72">
        <v>0</v>
      </c>
      <c r="I87" s="88">
        <f t="shared" ref="I87:I95" si="36">IF(OR(F87=0,E87=0)," - ",NETWORKDAYS(E87,F87))</f>
        <v>5</v>
      </c>
      <c r="J87" s="89"/>
      <c r="K87" s="66"/>
      <c r="L87" s="66"/>
      <c r="M87" s="66"/>
      <c r="N87" s="66"/>
      <c r="O87" s="66"/>
      <c r="P87" s="66"/>
      <c r="Q87" s="66"/>
      <c r="R87" s="66"/>
      <c r="S87" s="66"/>
      <c r="T87" s="66"/>
      <c r="U87" s="66"/>
      <c r="V87" s="66"/>
      <c r="W87" s="66"/>
      <c r="X87" s="66"/>
      <c r="Y87" s="66"/>
      <c r="Z87" s="66"/>
      <c r="AA87" s="66"/>
      <c r="AB87" s="66"/>
      <c r="AC87" s="66"/>
      <c r="AD87" s="66"/>
      <c r="AE87" s="66"/>
      <c r="AF87" s="66"/>
      <c r="AG87" s="66"/>
      <c r="AH87" s="66"/>
      <c r="AI87" s="66"/>
      <c r="AJ87" s="66"/>
      <c r="AK87" s="66"/>
      <c r="AL87" s="66"/>
      <c r="AM87" s="66"/>
      <c r="AN87" s="66"/>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row>
    <row r="88" spans="1:66" s="45" customFormat="1" ht="18" hidden="1">
      <c r="A88" s="66" t="str">
        <f t="shared" si="28"/>
        <v>1.22</v>
      </c>
      <c r="B88" s="67" t="s">
        <v>41</v>
      </c>
      <c r="C88" s="45" t="s">
        <v>16</v>
      </c>
      <c r="D88" s="68"/>
      <c r="E88" s="69">
        <v>46134</v>
      </c>
      <c r="F88" s="70">
        <f t="shared" si="35"/>
        <v>46140</v>
      </c>
      <c r="G88" s="71">
        <v>7</v>
      </c>
      <c r="H88" s="72">
        <v>0</v>
      </c>
      <c r="I88" s="88">
        <f t="shared" si="36"/>
        <v>5</v>
      </c>
      <c r="J88" s="89"/>
      <c r="K88" s="66"/>
      <c r="L88" s="66"/>
      <c r="M88" s="66"/>
      <c r="N88" s="66"/>
      <c r="O88" s="66"/>
      <c r="P88" s="66"/>
      <c r="Q88" s="66"/>
      <c r="R88" s="66"/>
      <c r="S88" s="66"/>
      <c r="T88" s="66"/>
      <c r="U88" s="66"/>
      <c r="V88" s="66"/>
      <c r="W88" s="66"/>
      <c r="X88" s="66"/>
      <c r="Y88" s="66"/>
      <c r="Z88" s="66"/>
      <c r="AA88" s="66"/>
      <c r="AB88" s="66"/>
      <c r="AC88" s="66"/>
      <c r="AD88" s="66"/>
      <c r="AE88" s="66"/>
      <c r="AF88" s="66"/>
      <c r="AG88" s="66"/>
      <c r="AH88" s="66"/>
      <c r="AI88" s="66"/>
      <c r="AJ88" s="66"/>
      <c r="AK88" s="66"/>
      <c r="AL88" s="66"/>
      <c r="AM88" s="66"/>
      <c r="AN88" s="66"/>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row>
    <row r="89" spans="1:66" s="45" customFormat="1" ht="18" hidden="1">
      <c r="A89" s="66" t="str">
        <f t="shared" si="28"/>
        <v>1.23</v>
      </c>
      <c r="B89" s="67" t="s">
        <v>42</v>
      </c>
      <c r="C89" s="45" t="s">
        <v>15</v>
      </c>
      <c r="D89" s="68"/>
      <c r="E89" s="69">
        <v>46134</v>
      </c>
      <c r="F89" s="70">
        <f t="shared" ref="F89:F90" si="37">IF(ISBLANK(E89)," - ",IF(G89=0,E89,E89+G89-1))</f>
        <v>46140</v>
      </c>
      <c r="G89" s="71">
        <v>7</v>
      </c>
      <c r="H89" s="72">
        <v>0</v>
      </c>
      <c r="I89" s="88">
        <f t="shared" ref="I89:I90" si="38">IF(OR(F89=0,E89=0)," - ",NETWORKDAYS(E89,F89))</f>
        <v>5</v>
      </c>
      <c r="J89" s="89"/>
      <c r="K89" s="66"/>
      <c r="L89" s="66"/>
      <c r="M89" s="66"/>
      <c r="N89" s="66"/>
      <c r="O89" s="66"/>
      <c r="P89" s="66"/>
      <c r="Q89" s="66"/>
      <c r="R89" s="66"/>
      <c r="S89" s="66"/>
      <c r="T89" s="66"/>
      <c r="U89" s="66"/>
      <c r="V89" s="66"/>
      <c r="W89" s="66"/>
      <c r="X89" s="66"/>
      <c r="Y89" s="66"/>
      <c r="Z89" s="66"/>
      <c r="AA89" s="66"/>
      <c r="AB89" s="66"/>
      <c r="AC89" s="66"/>
      <c r="AD89" s="66"/>
      <c r="AE89" s="66"/>
      <c r="AF89" s="66"/>
      <c r="AG89" s="66"/>
      <c r="AH89" s="66"/>
      <c r="AI89" s="66"/>
      <c r="AJ89" s="66"/>
      <c r="AK89" s="66"/>
      <c r="AL89" s="66"/>
      <c r="AM89" s="66"/>
      <c r="AN89" s="66"/>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row>
    <row r="90" spans="1:66" s="45" customFormat="1" ht="18" hidden="1">
      <c r="A90" s="66" t="str">
        <f t="shared" si="28"/>
        <v>1.24</v>
      </c>
      <c r="B90" s="67" t="s">
        <v>43</v>
      </c>
      <c r="C90" s="45" t="s">
        <v>16</v>
      </c>
      <c r="D90" s="68"/>
      <c r="E90" s="69">
        <v>46141</v>
      </c>
      <c r="F90" s="70">
        <f t="shared" si="37"/>
        <v>46147</v>
      </c>
      <c r="G90" s="71">
        <v>7</v>
      </c>
      <c r="H90" s="72">
        <v>0</v>
      </c>
      <c r="I90" s="88">
        <f t="shared" si="38"/>
        <v>5</v>
      </c>
      <c r="J90" s="89"/>
      <c r="K90" s="66"/>
      <c r="L90" s="66"/>
      <c r="M90" s="66"/>
      <c r="N90" s="66"/>
      <c r="O90" s="66"/>
      <c r="P90" s="66"/>
      <c r="Q90" s="66"/>
      <c r="R90" s="66"/>
      <c r="S90" s="66"/>
      <c r="T90" s="66"/>
      <c r="U90" s="66"/>
      <c r="V90" s="66"/>
      <c r="W90" s="66"/>
      <c r="X90" s="66"/>
      <c r="Y90" s="66"/>
      <c r="Z90" s="66"/>
      <c r="AA90" s="66"/>
      <c r="AB90" s="66"/>
      <c r="AC90" s="66"/>
      <c r="AD90" s="66"/>
      <c r="AE90" s="66"/>
      <c r="AF90" s="66"/>
      <c r="AG90" s="66"/>
      <c r="AH90" s="66"/>
      <c r="AI90" s="66"/>
      <c r="AJ90" s="66"/>
      <c r="AK90" s="66"/>
      <c r="AL90" s="66"/>
      <c r="AM90" s="66"/>
      <c r="AN90" s="66"/>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row>
    <row r="91" spans="1:66" s="45" customFormat="1" ht="18" hidden="1">
      <c r="A91" s="66" t="str">
        <f t="shared" si="28"/>
        <v>1.25</v>
      </c>
      <c r="B91" s="67" t="s">
        <v>44</v>
      </c>
      <c r="C91" s="45" t="s">
        <v>16</v>
      </c>
      <c r="D91" s="68"/>
      <c r="E91" s="69">
        <v>46141</v>
      </c>
      <c r="F91" s="70">
        <f t="shared" ref="F91:F93" si="39">IF(ISBLANK(E91)," - ",IF(G91=0,E91,E91+G91-1))</f>
        <v>46147</v>
      </c>
      <c r="G91" s="71">
        <v>7</v>
      </c>
      <c r="H91" s="72">
        <v>0</v>
      </c>
      <c r="I91" s="88">
        <f t="shared" ref="I91:I93" si="40">IF(OR(F91=0,E91=0)," - ",NETWORKDAYS(E91,F91))</f>
        <v>5</v>
      </c>
      <c r="J91" s="89"/>
      <c r="K91" s="66"/>
      <c r="L91" s="66"/>
      <c r="M91" s="66"/>
      <c r="N91" s="66"/>
      <c r="O91" s="66"/>
      <c r="P91" s="66"/>
      <c r="Q91" s="66"/>
      <c r="R91" s="66"/>
      <c r="S91" s="66"/>
      <c r="T91" s="66"/>
      <c r="U91" s="66"/>
      <c r="V91" s="66"/>
      <c r="W91" s="66"/>
      <c r="X91" s="66"/>
      <c r="Y91" s="66"/>
      <c r="Z91" s="66"/>
      <c r="AA91" s="66"/>
      <c r="AB91" s="66"/>
      <c r="AC91" s="66"/>
      <c r="AD91" s="66"/>
      <c r="AE91" s="66"/>
      <c r="AF91" s="66"/>
      <c r="AG91" s="66"/>
      <c r="AH91" s="66"/>
      <c r="AI91" s="66"/>
      <c r="AJ91" s="66"/>
      <c r="AK91" s="66"/>
      <c r="AL91" s="66"/>
      <c r="AM91" s="66"/>
      <c r="AN91" s="66"/>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row>
    <row r="92" spans="1:66" s="45" customFormat="1" ht="18" hidden="1">
      <c r="A92" s="66" t="str">
        <f t="shared" si="28"/>
        <v>1.26</v>
      </c>
      <c r="B92" s="67" t="s">
        <v>45</v>
      </c>
      <c r="C92" s="45" t="s">
        <v>16</v>
      </c>
      <c r="D92" s="68"/>
      <c r="E92" s="69">
        <v>46148</v>
      </c>
      <c r="F92" s="70">
        <f t="shared" si="39"/>
        <v>46154</v>
      </c>
      <c r="G92" s="71">
        <v>7</v>
      </c>
      <c r="H92" s="72">
        <v>0</v>
      </c>
      <c r="I92" s="88">
        <f t="shared" si="40"/>
        <v>5</v>
      </c>
      <c r="J92" s="89"/>
      <c r="K92" s="66"/>
      <c r="L92" s="66"/>
      <c r="M92" s="66"/>
      <c r="N92" s="66"/>
      <c r="O92" s="66"/>
      <c r="P92" s="66"/>
      <c r="Q92" s="66"/>
      <c r="R92" s="66"/>
      <c r="S92" s="66"/>
      <c r="T92" s="66"/>
      <c r="U92" s="66"/>
      <c r="V92" s="66"/>
      <c r="W92" s="66"/>
      <c r="X92" s="66"/>
      <c r="Y92" s="66"/>
      <c r="Z92" s="66"/>
      <c r="AA92" s="66"/>
      <c r="AB92" s="66"/>
      <c r="AC92" s="66"/>
      <c r="AD92" s="66"/>
      <c r="AE92" s="66"/>
      <c r="AF92" s="66"/>
      <c r="AG92" s="66"/>
      <c r="AH92" s="66"/>
      <c r="AI92" s="66"/>
      <c r="AJ92" s="66"/>
      <c r="AK92" s="66"/>
      <c r="AL92" s="66"/>
      <c r="AM92" s="66"/>
      <c r="AN92" s="66"/>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row>
    <row r="93" spans="1:66" s="45" customFormat="1" ht="18" hidden="1">
      <c r="A93" s="66" t="str">
        <f t="shared" si="28"/>
        <v>1.27</v>
      </c>
      <c r="B93" s="67" t="s">
        <v>46</v>
      </c>
      <c r="C93" s="45" t="s">
        <v>16</v>
      </c>
      <c r="D93" s="68"/>
      <c r="E93" s="69">
        <v>46148</v>
      </c>
      <c r="F93" s="70">
        <f t="shared" si="39"/>
        <v>46154</v>
      </c>
      <c r="G93" s="71">
        <v>7</v>
      </c>
      <c r="H93" s="72">
        <v>0</v>
      </c>
      <c r="I93" s="88">
        <f t="shared" si="40"/>
        <v>5</v>
      </c>
      <c r="J93" s="89"/>
      <c r="K93" s="66"/>
      <c r="L93" s="66"/>
      <c r="M93" s="66"/>
      <c r="N93" s="66"/>
      <c r="O93" s="66"/>
      <c r="P93" s="66"/>
      <c r="Q93" s="66"/>
      <c r="R93" s="66"/>
      <c r="S93" s="66"/>
      <c r="T93" s="66"/>
      <c r="U93" s="66"/>
      <c r="V93" s="66"/>
      <c r="W93" s="66"/>
      <c r="X93" s="66"/>
      <c r="Y93" s="66"/>
      <c r="Z93" s="66"/>
      <c r="AA93" s="66"/>
      <c r="AB93" s="66"/>
      <c r="AC93" s="66"/>
      <c r="AD93" s="66"/>
      <c r="AE93" s="66"/>
      <c r="AF93" s="66"/>
      <c r="AG93" s="66"/>
      <c r="AH93" s="66"/>
      <c r="AI93" s="66"/>
      <c r="AJ93" s="66"/>
      <c r="AK93" s="66"/>
      <c r="AL93" s="66"/>
      <c r="AM93" s="66"/>
      <c r="AN93" s="66"/>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row>
    <row r="94" spans="1:66" s="44" customFormat="1" ht="18" hidden="1">
      <c r="A94" s="73" t="str">
        <f>IF(ISERROR(VALUE(SUBSTITUTE(prevWBS,".",""))),"1",IF(ISERROR(FIND("`",SUBSTITUTE(prevWBS,".","`",1))),TEXT(VALUE(prevWBS)+1,"#"),TEXT(VALUE(LEFT(prevWBS,FIND("`",SUBSTITUTE(prevWBS,".","`",1))-1))+1,"#")))</f>
        <v>2</v>
      </c>
      <c r="B94" s="74" t="s">
        <v>47</v>
      </c>
      <c r="D94" s="75"/>
      <c r="E94" s="76"/>
      <c r="F94" s="76" t="str">
        <f t="shared" si="35"/>
        <v xml:space="preserve"> - </v>
      </c>
      <c r="G94" s="77"/>
      <c r="H94" s="78"/>
      <c r="I94" s="90" t="str">
        <f t="shared" si="36"/>
        <v xml:space="preserve"> - </v>
      </c>
      <c r="J94" s="91"/>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row>
    <row r="95" spans="1:66" s="45" customFormat="1" ht="18" hidden="1">
      <c r="A95" s="66" t="str">
        <f t="shared" si="28"/>
        <v>2.1</v>
      </c>
      <c r="B95" s="95" t="s">
        <v>48</v>
      </c>
      <c r="C95" s="45" t="s">
        <v>27</v>
      </c>
      <c r="D95" s="68"/>
      <c r="E95" s="69">
        <v>46034</v>
      </c>
      <c r="F95" s="70">
        <f t="shared" si="35"/>
        <v>46038</v>
      </c>
      <c r="G95" s="71">
        <v>5</v>
      </c>
      <c r="H95" s="72">
        <v>0</v>
      </c>
      <c r="I95" s="88">
        <f t="shared" si="36"/>
        <v>5</v>
      </c>
      <c r="J95" s="89"/>
      <c r="K95" s="66"/>
      <c r="L95" s="66"/>
      <c r="M95" s="66"/>
      <c r="N95" s="66"/>
      <c r="O95" s="66"/>
      <c r="P95" s="66"/>
      <c r="Q95" s="66"/>
      <c r="R95" s="66"/>
      <c r="S95" s="66"/>
      <c r="T95" s="66"/>
      <c r="U95" s="66"/>
      <c r="V95" s="66"/>
      <c r="W95" s="66"/>
      <c r="X95" s="66"/>
      <c r="Y95" s="66"/>
      <c r="Z95" s="66"/>
      <c r="AA95" s="66"/>
      <c r="AB95" s="66"/>
      <c r="AC95" s="66"/>
      <c r="AD95" s="66"/>
      <c r="AE95" s="66"/>
      <c r="AF95" s="66"/>
      <c r="AG95" s="66"/>
      <c r="AH95" s="66"/>
      <c r="AI95" s="66"/>
      <c r="AJ95" s="66"/>
      <c r="AK95" s="66"/>
      <c r="AL95" s="66"/>
      <c r="AM95" s="66"/>
      <c r="AN95" s="66"/>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row>
    <row r="96" spans="1:66" s="45" customFormat="1" ht="18" hidden="1">
      <c r="A96" s="66" t="str">
        <f t="shared" si="28"/>
        <v>2.2</v>
      </c>
      <c r="B96" s="95" t="s">
        <v>49</v>
      </c>
      <c r="C96" s="45" t="s">
        <v>50</v>
      </c>
      <c r="D96" s="68"/>
      <c r="E96" s="69">
        <v>46023</v>
      </c>
      <c r="F96" s="70">
        <f t="shared" si="35"/>
        <v>46032</v>
      </c>
      <c r="G96" s="71">
        <v>10</v>
      </c>
      <c r="H96" s="72">
        <v>0</v>
      </c>
      <c r="I96" s="88">
        <v>6</v>
      </c>
      <c r="J96" s="89"/>
      <c r="K96" s="66"/>
      <c r="L96" s="66"/>
      <c r="M96" s="66"/>
      <c r="N96" s="66"/>
      <c r="O96" s="66"/>
      <c r="P96" s="66"/>
      <c r="Q96" s="66"/>
      <c r="R96" s="66"/>
      <c r="S96" s="66"/>
      <c r="T96" s="66"/>
      <c r="U96" s="66"/>
      <c r="V96" s="66"/>
      <c r="W96" s="66"/>
      <c r="X96" s="66"/>
      <c r="Y96" s="66"/>
      <c r="Z96" s="66"/>
      <c r="AA96" s="66"/>
      <c r="AB96" s="66"/>
      <c r="AC96" s="66"/>
      <c r="AD96" s="66"/>
      <c r="AE96" s="66"/>
      <c r="AF96" s="66"/>
      <c r="AG96" s="66"/>
      <c r="AH96" s="66"/>
      <c r="AI96" s="66"/>
      <c r="AJ96" s="66"/>
      <c r="AK96" s="66"/>
      <c r="AL96" s="66"/>
      <c r="AM96" s="66"/>
      <c r="AN96" s="66"/>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row>
    <row r="97" spans="1:66" s="45" customFormat="1" ht="45" hidden="1" customHeight="1">
      <c r="A97" s="66" t="str">
        <f t="shared" si="28"/>
        <v>2.3</v>
      </c>
      <c r="B97" s="95" t="s">
        <v>51</v>
      </c>
      <c r="C97" s="45" t="s">
        <v>19</v>
      </c>
      <c r="D97" s="68"/>
      <c r="E97" s="69">
        <v>46034</v>
      </c>
      <c r="F97" s="70">
        <f t="shared" si="35"/>
        <v>46038</v>
      </c>
      <c r="G97" s="71">
        <v>5</v>
      </c>
      <c r="H97" s="72">
        <v>0</v>
      </c>
      <c r="I97" s="88">
        <v>5</v>
      </c>
      <c r="J97" s="89"/>
      <c r="K97" s="66"/>
      <c r="L97" s="66"/>
      <c r="M97" s="66"/>
      <c r="N97" s="66"/>
      <c r="O97" s="66"/>
      <c r="P97" s="66"/>
      <c r="Q97" s="66"/>
      <c r="R97" s="66"/>
      <c r="S97" s="66"/>
      <c r="T97" s="66"/>
      <c r="U97" s="66"/>
      <c r="V97" s="66"/>
      <c r="W97" s="66"/>
      <c r="X97" s="66"/>
      <c r="Y97" s="66"/>
      <c r="Z97" s="66"/>
      <c r="AA97" s="66"/>
      <c r="AB97" s="66"/>
      <c r="AC97" s="66"/>
      <c r="AD97" s="66"/>
      <c r="AE97" s="66"/>
      <c r="AF97" s="66"/>
      <c r="AG97" s="66"/>
      <c r="AH97" s="66"/>
      <c r="AI97" s="66"/>
      <c r="AJ97" s="66"/>
      <c r="AK97" s="66"/>
      <c r="AL97" s="66"/>
      <c r="AM97" s="66"/>
      <c r="AN97" s="66"/>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row>
    <row r="98" spans="1:66" s="44" customFormat="1" ht="18" hidden="1">
      <c r="A98" s="73" t="str">
        <f>IF(ISERROR(VALUE(SUBSTITUTE(prevWBS,".",""))),"1",IF(ISERROR(FIND("`",SUBSTITUTE(prevWBS,".","`",1))),TEXT(VALUE(prevWBS)+1,"#"),TEXT(VALUE(LEFT(prevWBS,FIND("`",SUBSTITUTE(prevWBS,".","`",1))-1))+1,"#")))</f>
        <v>3</v>
      </c>
      <c r="B98" s="74" t="s">
        <v>52</v>
      </c>
      <c r="D98" s="75"/>
      <c r="E98" s="76"/>
      <c r="F98" s="76" t="str">
        <f t="shared" ref="F98:F103" si="41">IF(ISBLANK(E98)," - ",IF(G98=0,E98,E98+G98-1))</f>
        <v xml:space="preserve"> - </v>
      </c>
      <c r="G98" s="77"/>
      <c r="H98" s="78"/>
      <c r="I98" s="90" t="str">
        <f t="shared" ref="I98" si="42">IF(OR(F98=0,E98=0)," - ",NETWORKDAYS(E98,F98))</f>
        <v xml:space="preserve"> - </v>
      </c>
      <c r="J98" s="91"/>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row>
    <row r="99" spans="1:66" s="45" customFormat="1" ht="18" hidden="1">
      <c r="A99" s="66" t="str">
        <f t="shared" si="28"/>
        <v>3.1</v>
      </c>
      <c r="B99" s="95" t="s">
        <v>53</v>
      </c>
      <c r="C99" s="45" t="s">
        <v>27</v>
      </c>
      <c r="D99" s="68"/>
      <c r="E99" s="69">
        <v>46041</v>
      </c>
      <c r="F99" s="70">
        <f t="shared" si="41"/>
        <v>46044</v>
      </c>
      <c r="G99" s="71">
        <v>4</v>
      </c>
      <c r="H99" s="72">
        <v>0</v>
      </c>
      <c r="I99" s="88">
        <v>4</v>
      </c>
      <c r="J99" s="89"/>
      <c r="K99" s="66"/>
      <c r="L99" s="66"/>
      <c r="M99" s="66"/>
      <c r="N99" s="66"/>
      <c r="O99" s="66"/>
      <c r="P99" s="66"/>
      <c r="Q99" s="66"/>
      <c r="R99" s="66"/>
      <c r="S99" s="66"/>
      <c r="T99" s="66"/>
      <c r="U99" s="66"/>
      <c r="V99" s="66"/>
      <c r="W99" s="66"/>
      <c r="X99" s="66"/>
      <c r="Y99" s="66"/>
      <c r="Z99" s="66"/>
      <c r="AA99" s="66"/>
      <c r="AB99" s="66"/>
      <c r="AC99" s="66"/>
      <c r="AD99" s="66"/>
      <c r="AE99" s="66"/>
      <c r="AF99" s="66"/>
      <c r="AG99" s="66"/>
      <c r="AH99" s="66"/>
      <c r="AI99" s="66"/>
      <c r="AJ99" s="66"/>
      <c r="AK99" s="66"/>
      <c r="AL99" s="66"/>
      <c r="AM99" s="66"/>
      <c r="AN99" s="66"/>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row>
    <row r="100" spans="1:66" s="45" customFormat="1" ht="18" hidden="1">
      <c r="A100" s="66" t="str">
        <f t="shared" si="28"/>
        <v>3.2</v>
      </c>
      <c r="B100" s="95" t="s">
        <v>54</v>
      </c>
      <c r="C100" s="45" t="s">
        <v>19</v>
      </c>
      <c r="D100" s="68"/>
      <c r="E100" s="69">
        <v>46041</v>
      </c>
      <c r="F100" s="70">
        <f t="shared" si="41"/>
        <v>46044</v>
      </c>
      <c r="G100" s="71">
        <v>4</v>
      </c>
      <c r="H100" s="72">
        <v>0</v>
      </c>
      <c r="I100" s="88">
        <v>4</v>
      </c>
      <c r="J100" s="89"/>
      <c r="K100" s="66"/>
      <c r="L100" s="66"/>
      <c r="M100" s="66"/>
      <c r="N100" s="66"/>
      <c r="O100" s="66"/>
      <c r="P100" s="66"/>
      <c r="Q100" s="66"/>
      <c r="R100" s="66"/>
      <c r="S100" s="66"/>
      <c r="T100" s="66"/>
      <c r="U100" s="66"/>
      <c r="V100" s="66"/>
      <c r="W100" s="66"/>
      <c r="X100" s="66"/>
      <c r="Y100" s="66"/>
      <c r="Z100" s="66"/>
      <c r="AA100" s="66"/>
      <c r="AB100" s="66"/>
      <c r="AC100" s="66"/>
      <c r="AD100" s="66"/>
      <c r="AE100" s="66"/>
      <c r="AF100" s="66"/>
      <c r="AG100" s="66"/>
      <c r="AH100" s="66"/>
      <c r="AI100" s="66"/>
      <c r="AJ100" s="66"/>
      <c r="AK100" s="66"/>
      <c r="AL100" s="66"/>
      <c r="AM100" s="66"/>
      <c r="AN100" s="66"/>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row>
    <row r="101" spans="1:66" s="45" customFormat="1" ht="18" hidden="1">
      <c r="A101" s="66" t="str">
        <f t="shared" si="28"/>
        <v>3.3</v>
      </c>
      <c r="B101" s="95" t="s">
        <v>55</v>
      </c>
      <c r="C101" s="45" t="s">
        <v>15</v>
      </c>
      <c r="D101" s="68"/>
      <c r="E101" s="69">
        <v>46045</v>
      </c>
      <c r="F101" s="70">
        <f t="shared" si="41"/>
        <v>46050</v>
      </c>
      <c r="G101" s="71">
        <v>6</v>
      </c>
      <c r="H101" s="72">
        <v>0</v>
      </c>
      <c r="I101" s="88">
        <v>4</v>
      </c>
      <c r="J101" s="89"/>
      <c r="K101" s="66"/>
      <c r="L101" s="66"/>
      <c r="M101" s="66"/>
      <c r="N101" s="66"/>
      <c r="O101" s="66"/>
      <c r="P101" s="66"/>
      <c r="Q101" s="66"/>
      <c r="R101" s="66"/>
      <c r="S101" s="66"/>
      <c r="T101" s="66"/>
      <c r="U101" s="66"/>
      <c r="V101" s="66"/>
      <c r="W101" s="66"/>
      <c r="X101" s="66"/>
      <c r="Y101" s="66"/>
      <c r="Z101" s="66"/>
      <c r="AA101" s="66"/>
      <c r="AB101" s="66"/>
      <c r="AC101" s="66"/>
      <c r="AD101" s="66"/>
      <c r="AE101" s="66"/>
      <c r="AF101" s="66"/>
      <c r="AG101" s="66"/>
      <c r="AH101" s="66"/>
      <c r="AI101" s="66"/>
      <c r="AJ101" s="66"/>
      <c r="AK101" s="66"/>
      <c r="AL101" s="66"/>
      <c r="AM101" s="66"/>
      <c r="AN101" s="66"/>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row>
    <row r="102" spans="1:66" s="45" customFormat="1" ht="18" hidden="1">
      <c r="A102" s="66" t="str">
        <f t="shared" si="28"/>
        <v>3.4</v>
      </c>
      <c r="B102" s="95" t="s">
        <v>56</v>
      </c>
      <c r="C102" s="45" t="s">
        <v>15</v>
      </c>
      <c r="D102" s="68"/>
      <c r="E102" s="69">
        <v>46051</v>
      </c>
      <c r="F102" s="70">
        <f t="shared" si="41"/>
        <v>46056</v>
      </c>
      <c r="G102" s="71">
        <v>6</v>
      </c>
      <c r="H102" s="72">
        <v>0</v>
      </c>
      <c r="I102" s="88">
        <v>4</v>
      </c>
      <c r="J102" s="89"/>
      <c r="K102" s="66"/>
      <c r="L102" s="66"/>
      <c r="M102" s="66"/>
      <c r="N102" s="66"/>
      <c r="O102" s="66"/>
      <c r="P102" s="66"/>
      <c r="Q102" s="66"/>
      <c r="R102" s="66"/>
      <c r="S102" s="66"/>
      <c r="T102" s="66"/>
      <c r="U102" s="66"/>
      <c r="V102" s="66"/>
      <c r="W102" s="66"/>
      <c r="X102" s="66"/>
      <c r="Y102" s="66"/>
      <c r="Z102" s="66"/>
      <c r="AA102" s="66"/>
      <c r="AB102" s="66"/>
      <c r="AC102" s="66"/>
      <c r="AD102" s="66"/>
      <c r="AE102" s="66"/>
      <c r="AF102" s="66"/>
      <c r="AG102" s="66"/>
      <c r="AH102" s="66"/>
      <c r="AI102" s="66"/>
      <c r="AJ102" s="66"/>
      <c r="AK102" s="66"/>
      <c r="AL102" s="66"/>
      <c r="AM102" s="66"/>
      <c r="AN102" s="66"/>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row>
    <row r="103" spans="1:66" s="45" customFormat="1" ht="18" hidden="1">
      <c r="A103" s="66" t="str">
        <f t="shared" si="28"/>
        <v>3.5</v>
      </c>
      <c r="B103" s="95" t="s">
        <v>57</v>
      </c>
      <c r="C103" s="45" t="s">
        <v>16</v>
      </c>
      <c r="D103" s="68"/>
      <c r="E103" s="69">
        <v>46045</v>
      </c>
      <c r="F103" s="70">
        <f t="shared" si="41"/>
        <v>46050</v>
      </c>
      <c r="G103" s="71">
        <v>6</v>
      </c>
      <c r="H103" s="72">
        <v>0</v>
      </c>
      <c r="I103" s="88">
        <v>4</v>
      </c>
      <c r="J103" s="89"/>
      <c r="K103" s="66"/>
      <c r="L103" s="66"/>
      <c r="M103" s="66"/>
      <c r="N103" s="66"/>
      <c r="O103" s="66"/>
      <c r="P103" s="66"/>
      <c r="Q103" s="66"/>
      <c r="R103" s="66"/>
      <c r="S103" s="66"/>
      <c r="T103" s="66"/>
      <c r="U103" s="66"/>
      <c r="V103" s="66"/>
      <c r="W103" s="66"/>
      <c r="X103" s="66"/>
      <c r="Y103" s="66"/>
      <c r="Z103" s="66"/>
      <c r="AA103" s="66"/>
      <c r="AB103" s="66"/>
      <c r="AC103" s="66"/>
      <c r="AD103" s="66"/>
      <c r="AE103" s="66"/>
      <c r="AF103" s="66"/>
      <c r="AG103" s="66"/>
      <c r="AH103" s="66"/>
      <c r="AI103" s="66"/>
      <c r="AJ103" s="66"/>
      <c r="AK103" s="66"/>
      <c r="AL103" s="66"/>
      <c r="AM103" s="66"/>
      <c r="AN103" s="66"/>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row>
    <row r="104" spans="1:66" s="44" customFormat="1" ht="18" hidden="1">
      <c r="A104" s="73" t="str">
        <f>IF(ISERROR(VALUE(SUBSTITUTE(prevWBS,".",""))),"1",IF(ISERROR(FIND("`",SUBSTITUTE(prevWBS,".","`",1))),TEXT(VALUE(prevWBS)+1,"#"),TEXT(VALUE(LEFT(prevWBS,FIND("`",SUBSTITUTE(prevWBS,".","`",1))-1))+1,"#")))</f>
        <v>4</v>
      </c>
      <c r="B104" s="74" t="s">
        <v>58</v>
      </c>
      <c r="D104" s="75"/>
      <c r="E104" s="76"/>
      <c r="F104" s="76" t="str">
        <f t="shared" ref="F104:F105" si="43">IF(ISBLANK(E104)," - ",IF(G104=0,E104,E104+G104-1))</f>
        <v xml:space="preserve"> - </v>
      </c>
      <c r="G104" s="77"/>
      <c r="H104" s="78"/>
      <c r="I104" s="90" t="str">
        <f t="shared" ref="I104" si="44">IF(OR(F104=0,E104=0)," - ",NETWORKDAYS(E104,F104))</f>
        <v xml:space="preserve"> - </v>
      </c>
      <c r="J104" s="91"/>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row>
    <row r="105" spans="1:66" s="45" customFormat="1" ht="18" hidden="1">
      <c r="A105" s="66" t="str">
        <f t="shared" si="28"/>
        <v>4.1</v>
      </c>
      <c r="B105" s="95" t="s">
        <v>59</v>
      </c>
      <c r="C105" s="45" t="s">
        <v>27</v>
      </c>
      <c r="D105" s="68"/>
      <c r="E105" s="69">
        <v>46051</v>
      </c>
      <c r="F105" s="70">
        <f t="shared" si="43"/>
        <v>46056</v>
      </c>
      <c r="G105" s="71">
        <v>6</v>
      </c>
      <c r="H105" s="72">
        <v>0</v>
      </c>
      <c r="I105" s="88">
        <v>4</v>
      </c>
      <c r="J105" s="89"/>
      <c r="K105" s="66"/>
      <c r="L105" s="66"/>
      <c r="M105" s="66"/>
      <c r="N105" s="66"/>
      <c r="O105" s="66"/>
      <c r="P105" s="66"/>
      <c r="Q105" s="66"/>
      <c r="R105" s="66"/>
      <c r="S105" s="66"/>
      <c r="T105" s="66"/>
      <c r="U105" s="66"/>
      <c r="V105" s="66"/>
      <c r="W105" s="66"/>
      <c r="X105" s="66"/>
      <c r="Y105" s="66"/>
      <c r="Z105" s="66"/>
      <c r="AA105" s="66"/>
      <c r="AB105" s="66"/>
      <c r="AC105" s="66"/>
      <c r="AD105" s="66"/>
      <c r="AE105" s="66"/>
      <c r="AF105" s="66"/>
      <c r="AG105" s="66"/>
      <c r="AH105" s="66"/>
      <c r="AI105" s="66"/>
      <c r="AJ105" s="66"/>
      <c r="AK105" s="66"/>
      <c r="AL105" s="66"/>
      <c r="AM105" s="66"/>
      <c r="AN105" s="66"/>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row>
  </sheetData>
  <sheetProtection formatCells="0" formatColumns="0" formatRows="0" insertRows="0" deleteRows="0"/>
  <mergeCells count="19">
    <mergeCell ref="K1:AE1"/>
    <mergeCell ref="C4:E4"/>
    <mergeCell ref="K4:Q4"/>
    <mergeCell ref="R4:X4"/>
    <mergeCell ref="Y4:AE4"/>
    <mergeCell ref="AF4:AL4"/>
    <mergeCell ref="AM4:AS4"/>
    <mergeCell ref="AT4:AZ4"/>
    <mergeCell ref="BA4:BG4"/>
    <mergeCell ref="BH4:BN4"/>
    <mergeCell ref="AM5:AS5"/>
    <mergeCell ref="AT5:AZ5"/>
    <mergeCell ref="BA5:BG5"/>
    <mergeCell ref="BH5:BN5"/>
    <mergeCell ref="C5:E5"/>
    <mergeCell ref="K5:Q5"/>
    <mergeCell ref="R5:X5"/>
    <mergeCell ref="Y5:AE5"/>
    <mergeCell ref="AF5:AL5"/>
  </mergeCells>
  <conditionalFormatting sqref="H8:H10 H66:H71">
    <cfRule type="dataBar" priority="166">
      <dataBar>
        <cfvo type="num" val="0"/>
        <cfvo type="num" val="1"/>
        <color theme="0" tint="-0.34998626667073579"/>
      </dataBar>
      <extLst>
        <ext xmlns:x14="http://schemas.microsoft.com/office/spreadsheetml/2009/9/main" uri="{B025F937-C7B1-47D3-B67F-A62EFF666E3E}">
          <x14:id>{D834253C-2637-4CD8-BB87-5780A1DCFB68}</x14:id>
        </ext>
      </extLst>
    </cfRule>
  </conditionalFormatting>
  <conditionalFormatting sqref="H11">
    <cfRule type="dataBar" priority="53">
      <dataBar>
        <cfvo type="num" val="0"/>
        <cfvo type="num" val="1"/>
        <color theme="0" tint="-0.34998626667073579"/>
      </dataBar>
      <extLst>
        <ext xmlns:x14="http://schemas.microsoft.com/office/spreadsheetml/2009/9/main" uri="{B025F937-C7B1-47D3-B67F-A62EFF666E3E}">
          <x14:id>{9DBCF6A1-040E-42DB-8847-078569C48B8A}</x14:id>
        </ext>
      </extLst>
    </cfRule>
  </conditionalFormatting>
  <conditionalFormatting sqref="H12:H15">
    <cfRule type="dataBar" priority="49">
      <dataBar>
        <cfvo type="num" val="0"/>
        <cfvo type="num" val="1"/>
        <color theme="0" tint="-0.34998626667073579"/>
      </dataBar>
      <extLst>
        <ext xmlns:x14="http://schemas.microsoft.com/office/spreadsheetml/2009/9/main" uri="{B025F937-C7B1-47D3-B67F-A62EFF666E3E}">
          <x14:id>{BFC745BB-0CC0-42B8-8CC2-ACE24C0EB15C}</x14:id>
        </ext>
      </extLst>
    </cfRule>
  </conditionalFormatting>
  <conditionalFormatting sqref="H16:H19">
    <cfRule type="dataBar" priority="45">
      <dataBar>
        <cfvo type="num" val="0"/>
        <cfvo type="num" val="1"/>
        <color theme="0" tint="-0.34998626667073579"/>
      </dataBar>
      <extLst>
        <ext xmlns:x14="http://schemas.microsoft.com/office/spreadsheetml/2009/9/main" uri="{B025F937-C7B1-47D3-B67F-A62EFF666E3E}">
          <x14:id>{FA5CC67D-61F1-4CC3-AC50-36FEE0097B6B}</x14:id>
        </ext>
      </extLst>
    </cfRule>
  </conditionalFormatting>
  <conditionalFormatting sqref="H20">
    <cfRule type="dataBar" priority="33">
      <dataBar>
        <cfvo type="num" val="0"/>
        <cfvo type="num" val="1"/>
        <color theme="0" tint="-0.34998626667073579"/>
      </dataBar>
      <extLst>
        <ext xmlns:x14="http://schemas.microsoft.com/office/spreadsheetml/2009/9/main" uri="{B025F937-C7B1-47D3-B67F-A62EFF666E3E}">
          <x14:id>{A15FFD4D-71F6-4F94-91C5-3D7A56139C96}</x14:id>
        </ext>
      </extLst>
    </cfRule>
  </conditionalFormatting>
  <conditionalFormatting sqref="H21">
    <cfRule type="dataBar" priority="29">
      <dataBar>
        <cfvo type="num" val="0"/>
        <cfvo type="num" val="1"/>
        <color theme="0" tint="-0.34998626667073579"/>
      </dataBar>
      <extLst>
        <ext xmlns:x14="http://schemas.microsoft.com/office/spreadsheetml/2009/9/main" uri="{B025F937-C7B1-47D3-B67F-A62EFF666E3E}">
          <x14:id>{EC7A5987-0317-4F8F-B036-0AAA4FFCEF18}</x14:id>
        </ext>
      </extLst>
    </cfRule>
  </conditionalFormatting>
  <conditionalFormatting sqref="H22">
    <cfRule type="dataBar" priority="25">
      <dataBar>
        <cfvo type="num" val="0"/>
        <cfvo type="num" val="1"/>
        <color theme="0" tint="-0.34998626667073579"/>
      </dataBar>
      <extLst>
        <ext xmlns:x14="http://schemas.microsoft.com/office/spreadsheetml/2009/9/main" uri="{B025F937-C7B1-47D3-B67F-A62EFF666E3E}">
          <x14:id>{1ABC0867-9008-4CB7-A012-4723BF84D318}</x14:id>
        </ext>
      </extLst>
    </cfRule>
  </conditionalFormatting>
  <conditionalFormatting sqref="H23">
    <cfRule type="dataBar" priority="21">
      <dataBar>
        <cfvo type="num" val="0"/>
        <cfvo type="num" val="1"/>
        <color theme="0" tint="-0.34998626667073579"/>
      </dataBar>
      <extLst>
        <ext xmlns:x14="http://schemas.microsoft.com/office/spreadsheetml/2009/9/main" uri="{B025F937-C7B1-47D3-B67F-A62EFF666E3E}">
          <x14:id>{E8DE2DCF-2ACE-439A-B5AD-8BAA49CB0177}</x14:id>
        </ext>
      </extLst>
    </cfRule>
  </conditionalFormatting>
  <conditionalFormatting sqref="H24">
    <cfRule type="dataBar" priority="17">
      <dataBar>
        <cfvo type="num" val="0"/>
        <cfvo type="num" val="1"/>
        <color theme="0" tint="-0.34998626667073579"/>
      </dataBar>
      <extLst>
        <ext xmlns:x14="http://schemas.microsoft.com/office/spreadsheetml/2009/9/main" uri="{B025F937-C7B1-47D3-B67F-A62EFF666E3E}">
          <x14:id>{2D17D9C4-640A-4DBE-8963-4F7CAC60024D}</x14:id>
        </ext>
      </extLst>
    </cfRule>
  </conditionalFormatting>
  <conditionalFormatting sqref="H25">
    <cfRule type="dataBar" priority="9">
      <dataBar>
        <cfvo type="num" val="0"/>
        <cfvo type="num" val="1"/>
        <color theme="0" tint="-0.34998626667073579"/>
      </dataBar>
      <extLst>
        <ext xmlns:x14="http://schemas.microsoft.com/office/spreadsheetml/2009/9/main" uri="{B025F937-C7B1-47D3-B67F-A62EFF666E3E}">
          <x14:id>{907C1B43-1215-4343-A5B6-1D914534F244}</x14:id>
        </ext>
      </extLst>
    </cfRule>
  </conditionalFormatting>
  <conditionalFormatting sqref="H26">
    <cfRule type="dataBar" priority="5">
      <dataBar>
        <cfvo type="num" val="0"/>
        <cfvo type="num" val="1"/>
        <color theme="0" tint="-0.34998626667073579"/>
      </dataBar>
      <extLst>
        <ext xmlns:x14="http://schemas.microsoft.com/office/spreadsheetml/2009/9/main" uri="{B025F937-C7B1-47D3-B67F-A62EFF666E3E}">
          <x14:id>{3712B26A-4D34-442F-83C9-C966D2A6F17E}</x14:id>
        </ext>
      </extLst>
    </cfRule>
  </conditionalFormatting>
  <conditionalFormatting sqref="H27:H65">
    <cfRule type="dataBar" priority="1">
      <dataBar>
        <cfvo type="num" val="0"/>
        <cfvo type="num" val="1"/>
        <color theme="0" tint="-0.34998626667073579"/>
      </dataBar>
      <extLst>
        <ext xmlns:x14="http://schemas.microsoft.com/office/spreadsheetml/2009/9/main" uri="{B025F937-C7B1-47D3-B67F-A62EFF666E3E}">
          <x14:id>{BC7E2AE5-173A-48C2-B98F-7178E265808B}</x14:id>
        </ext>
      </extLst>
    </cfRule>
  </conditionalFormatting>
  <conditionalFormatting sqref="H72:H76">
    <cfRule type="dataBar" priority="153">
      <dataBar>
        <cfvo type="num" val="0"/>
        <cfvo type="num" val="1"/>
        <color theme="0" tint="-0.34998626667073579"/>
      </dataBar>
      <extLst>
        <ext xmlns:x14="http://schemas.microsoft.com/office/spreadsheetml/2009/9/main" uri="{B025F937-C7B1-47D3-B67F-A62EFF666E3E}">
          <x14:id>{D3DB2C3F-6C47-40F8-8848-827B2A997705}</x14:id>
        </ext>
      </extLst>
    </cfRule>
  </conditionalFormatting>
  <conditionalFormatting sqref="H77:H79">
    <cfRule type="dataBar" priority="149">
      <dataBar>
        <cfvo type="num" val="0"/>
        <cfvo type="num" val="1"/>
        <color theme="0" tint="-0.34998626667073579"/>
      </dataBar>
      <extLst>
        <ext xmlns:x14="http://schemas.microsoft.com/office/spreadsheetml/2009/9/main" uri="{B025F937-C7B1-47D3-B67F-A62EFF666E3E}">
          <x14:id>{3C42B16F-A101-4A97-868D-5B8146B1C130}</x14:id>
        </ext>
      </extLst>
    </cfRule>
  </conditionalFormatting>
  <conditionalFormatting sqref="H80">
    <cfRule type="dataBar" priority="93">
      <dataBar>
        <cfvo type="num" val="0"/>
        <cfvo type="num" val="1"/>
        <color theme="0" tint="-0.34998626667073579"/>
      </dataBar>
      <extLst>
        <ext xmlns:x14="http://schemas.microsoft.com/office/spreadsheetml/2009/9/main" uri="{B025F937-C7B1-47D3-B67F-A62EFF666E3E}">
          <x14:id>{95297AF6-74B6-45A3-8917-B1B696C9161B}</x14:id>
        </ext>
      </extLst>
    </cfRule>
  </conditionalFormatting>
  <conditionalFormatting sqref="H81">
    <cfRule type="dataBar" priority="89">
      <dataBar>
        <cfvo type="num" val="0"/>
        <cfvo type="num" val="1"/>
        <color theme="0" tint="-0.34998626667073579"/>
      </dataBar>
      <extLst>
        <ext xmlns:x14="http://schemas.microsoft.com/office/spreadsheetml/2009/9/main" uri="{B025F937-C7B1-47D3-B67F-A62EFF666E3E}">
          <x14:id>{2D435DCA-F0F5-4AE4-AA8B-9FC0907B9986}</x14:id>
        </ext>
      </extLst>
    </cfRule>
  </conditionalFormatting>
  <conditionalFormatting sqref="H82:H86">
    <cfRule type="dataBar" priority="145">
      <dataBar>
        <cfvo type="num" val="0"/>
        <cfvo type="num" val="1"/>
        <color theme="0" tint="-0.34998626667073579"/>
      </dataBar>
      <extLst>
        <ext xmlns:x14="http://schemas.microsoft.com/office/spreadsheetml/2009/9/main" uri="{B025F937-C7B1-47D3-B67F-A62EFF666E3E}">
          <x14:id>{09DABF8A-BD08-4C92-845E-E7AAD159D374}</x14:id>
        </ext>
      </extLst>
    </cfRule>
  </conditionalFormatting>
  <conditionalFormatting sqref="H87:H88">
    <cfRule type="dataBar" priority="141">
      <dataBar>
        <cfvo type="num" val="0"/>
        <cfvo type="num" val="1"/>
        <color theme="0" tint="-0.34998626667073579"/>
      </dataBar>
      <extLst>
        <ext xmlns:x14="http://schemas.microsoft.com/office/spreadsheetml/2009/9/main" uri="{B025F937-C7B1-47D3-B67F-A62EFF666E3E}">
          <x14:id>{B21B1AD0-95C6-4399-A847-B94749D393A8}</x14:id>
        </ext>
      </extLst>
    </cfRule>
  </conditionalFormatting>
  <conditionalFormatting sqref="H89">
    <cfRule type="dataBar" priority="85">
      <dataBar>
        <cfvo type="num" val="0"/>
        <cfvo type="num" val="1"/>
        <color theme="0" tint="-0.34998626667073579"/>
      </dataBar>
      <extLst>
        <ext xmlns:x14="http://schemas.microsoft.com/office/spreadsheetml/2009/9/main" uri="{B025F937-C7B1-47D3-B67F-A62EFF666E3E}">
          <x14:id>{98F1A4B0-A001-42E2-8DE0-E6D7F5D6E540}</x14:id>
        </ext>
      </extLst>
    </cfRule>
  </conditionalFormatting>
  <conditionalFormatting sqref="H90">
    <cfRule type="dataBar" priority="77">
      <dataBar>
        <cfvo type="num" val="0"/>
        <cfvo type="num" val="1"/>
        <color theme="0" tint="-0.34998626667073579"/>
      </dataBar>
      <extLst>
        <ext xmlns:x14="http://schemas.microsoft.com/office/spreadsheetml/2009/9/main" uri="{B025F937-C7B1-47D3-B67F-A62EFF666E3E}">
          <x14:id>{10EB3915-CCE8-4C24-8987-0286556DCB28}</x14:id>
        </ext>
      </extLst>
    </cfRule>
  </conditionalFormatting>
  <conditionalFormatting sqref="H91">
    <cfRule type="dataBar" priority="73">
      <dataBar>
        <cfvo type="num" val="0"/>
        <cfvo type="num" val="1"/>
        <color theme="0" tint="-0.34998626667073579"/>
      </dataBar>
      <extLst>
        <ext xmlns:x14="http://schemas.microsoft.com/office/spreadsheetml/2009/9/main" uri="{B025F937-C7B1-47D3-B67F-A62EFF666E3E}">
          <x14:id>{5118D0D2-5AC0-4660-B543-87D1DAFE9F4B}</x14:id>
        </ext>
      </extLst>
    </cfRule>
  </conditionalFormatting>
  <conditionalFormatting sqref="H92">
    <cfRule type="dataBar" priority="65">
      <dataBar>
        <cfvo type="num" val="0"/>
        <cfvo type="num" val="1"/>
        <color theme="0" tint="-0.34998626667073579"/>
      </dataBar>
      <extLst>
        <ext xmlns:x14="http://schemas.microsoft.com/office/spreadsheetml/2009/9/main" uri="{B025F937-C7B1-47D3-B67F-A62EFF666E3E}">
          <x14:id>{68765232-9793-455A-8466-C71FDEA78B82}</x14:id>
        </ext>
      </extLst>
    </cfRule>
  </conditionalFormatting>
  <conditionalFormatting sqref="H93">
    <cfRule type="dataBar" priority="61">
      <dataBar>
        <cfvo type="num" val="0"/>
        <cfvo type="num" val="1"/>
        <color theme="0" tint="-0.34998626667073579"/>
      </dataBar>
      <extLst>
        <ext xmlns:x14="http://schemas.microsoft.com/office/spreadsheetml/2009/9/main" uri="{B025F937-C7B1-47D3-B67F-A62EFF666E3E}">
          <x14:id>{45131D56-85BF-4A2C-8EE8-538D1B5E223C}</x14:id>
        </ext>
      </extLst>
    </cfRule>
  </conditionalFormatting>
  <conditionalFormatting sqref="H94">
    <cfRule type="dataBar" priority="133">
      <dataBar>
        <cfvo type="num" val="0"/>
        <cfvo type="num" val="1"/>
        <color theme="0" tint="-0.34998626667073579"/>
      </dataBar>
      <extLst>
        <ext xmlns:x14="http://schemas.microsoft.com/office/spreadsheetml/2009/9/main" uri="{B025F937-C7B1-47D3-B67F-A62EFF666E3E}">
          <x14:id>{74064339-B963-47EA-87E8-2B884F59CF6B}</x14:id>
        </ext>
      </extLst>
    </cfRule>
  </conditionalFormatting>
  <conditionalFormatting sqref="H95:H97">
    <cfRule type="dataBar" priority="129">
      <dataBar>
        <cfvo type="num" val="0"/>
        <cfvo type="num" val="1"/>
        <color theme="0" tint="-0.34998626667073579"/>
      </dataBar>
      <extLst>
        <ext xmlns:x14="http://schemas.microsoft.com/office/spreadsheetml/2009/9/main" uri="{B025F937-C7B1-47D3-B67F-A62EFF666E3E}">
          <x14:id>{409F0501-C7EF-40E7-8630-1268448E74EB}</x14:id>
        </ext>
      </extLst>
    </cfRule>
  </conditionalFormatting>
  <conditionalFormatting sqref="H98">
    <cfRule type="dataBar" priority="121">
      <dataBar>
        <cfvo type="num" val="0"/>
        <cfvo type="num" val="1"/>
        <color theme="0" tint="-0.34998626667073579"/>
      </dataBar>
      <extLst>
        <ext xmlns:x14="http://schemas.microsoft.com/office/spreadsheetml/2009/9/main" uri="{B025F937-C7B1-47D3-B67F-A62EFF666E3E}">
          <x14:id>{8B977969-9EAC-4FFC-B673-BD8EC0F829F9}</x14:id>
        </ext>
      </extLst>
    </cfRule>
  </conditionalFormatting>
  <conditionalFormatting sqref="H99:H103">
    <cfRule type="dataBar" priority="113">
      <dataBar>
        <cfvo type="num" val="0"/>
        <cfvo type="num" val="1"/>
        <color theme="0" tint="-0.34998626667073579"/>
      </dataBar>
      <extLst>
        <ext xmlns:x14="http://schemas.microsoft.com/office/spreadsheetml/2009/9/main" uri="{B025F937-C7B1-47D3-B67F-A62EFF666E3E}">
          <x14:id>{B502B2EA-46E0-4770-89C1-BE08E83EC7AB}</x14:id>
        </ext>
      </extLst>
    </cfRule>
  </conditionalFormatting>
  <conditionalFormatting sqref="H104">
    <cfRule type="dataBar" priority="101">
      <dataBar>
        <cfvo type="num" val="0"/>
        <cfvo type="num" val="1"/>
        <color theme="0" tint="-0.34998626667073579"/>
      </dataBar>
      <extLst>
        <ext xmlns:x14="http://schemas.microsoft.com/office/spreadsheetml/2009/9/main" uri="{B025F937-C7B1-47D3-B67F-A62EFF666E3E}">
          <x14:id>{278381FD-084D-48F8-8C3E-ED8A470CB7F5}</x14:id>
        </ext>
      </extLst>
    </cfRule>
  </conditionalFormatting>
  <conditionalFormatting sqref="H105">
    <cfRule type="dataBar" priority="97">
      <dataBar>
        <cfvo type="num" val="0"/>
        <cfvo type="num" val="1"/>
        <color theme="0" tint="-0.34998626667073579"/>
      </dataBar>
      <extLst>
        <ext xmlns:x14="http://schemas.microsoft.com/office/spreadsheetml/2009/9/main" uri="{B025F937-C7B1-47D3-B67F-A62EFF666E3E}">
          <x14:id>{087D2E0B-0BF5-4922-A951-DE98CD967E81}</x14:id>
        </ext>
      </extLst>
    </cfRule>
  </conditionalFormatting>
  <conditionalFormatting sqref="K6:BN7">
    <cfRule type="expression" dxfId="3" priority="209">
      <formula>K$6=TODAY()</formula>
    </cfRule>
  </conditionalFormatting>
  <conditionalFormatting sqref="K6:BN105">
    <cfRule type="expression" dxfId="2" priority="46">
      <formula>K$6=TODAY()</formula>
    </cfRule>
  </conditionalFormatting>
  <conditionalFormatting sqref="K8:BN105">
    <cfRule type="expression" dxfId="1" priority="47">
      <formula>AND($E8&lt;=K$6,ROUNDDOWN(($F8-$E8+1)*$H8,0)+$E8-1&gt;=K$6)</formula>
    </cfRule>
    <cfRule type="expression" dxfId="0" priority="48">
      <formula>AND(NOT(ISBLANK($E8)),$E8&lt;=K$6,$F8&gt;=K$6)</formula>
    </cfRule>
  </conditionalFormatting>
  <dataValidations count="1">
    <dataValidation allowBlank="1" showInputMessage="1" promptTitle="Display Week" prompt="Enter the week number to display first in the Gantt Chart. The weeks are numbered starting from the week containing the Project Start Date." sqref="H4" xr:uid="{00000000-0002-0000-0000-000000000000}"/>
  </dataValidations>
  <pageMargins left="0.25" right="0.25" top="0.5" bottom="0.5" header="0.5" footer="0.25"/>
  <pageSetup scale="53" orientation="landscape" r:id="rId1"/>
  <headerFooter alignWithMargins="0"/>
  <ignoredErrors>
    <ignoredError sqref="A66" formula="1"/>
    <ignoredError sqref="E66 G66:H66 H68:H70" unlockedFormula="1"/>
  </ignoredErrors>
  <drawing r:id="rId2"/>
  <legacyDrawing r:id="rId3"/>
  <mc:AlternateContent xmlns:mc="http://schemas.openxmlformats.org/markup-compatibility/2006">
    <mc:Choice Requires="x14">
      <controls>
        <mc:AlternateContent xmlns:mc="http://schemas.openxmlformats.org/markup-compatibility/2006">
          <mc:Choice Requires="x14">
            <control shapeId="8238" r:id="rId4" name="Scroll Bar 46">
              <controlPr defaultSize="0" print="0" autoPict="0">
                <anchor moveWithCells="1">
                  <from>
                    <xdr:col>9</xdr:col>
                    <xdr:colOff>95250</xdr:colOff>
                    <xdr:row>1</xdr:row>
                    <xdr:rowOff>123825</xdr:rowOff>
                  </from>
                  <to>
                    <xdr:col>27</xdr:col>
                    <xdr:colOff>104775</xdr:colOff>
                    <xdr:row>2</xdr:row>
                    <xdr:rowOff>114300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D834253C-2637-4CD8-BB87-5780A1DCFB68}">
            <x14:dataBar minLength="0" maxLength="100" gradient="0">
              <x14:cfvo type="num">
                <xm:f>0</xm:f>
              </x14:cfvo>
              <x14:cfvo type="num">
                <xm:f>1</xm:f>
              </x14:cfvo>
              <x14:negativeFillColor rgb="FFFF0000"/>
              <x14:axisColor rgb="FF000000"/>
            </x14:dataBar>
          </x14:cfRule>
          <xm:sqref>H8:H10 H66:H71</xm:sqref>
        </x14:conditionalFormatting>
        <x14:conditionalFormatting xmlns:xm="http://schemas.microsoft.com/office/excel/2006/main">
          <x14:cfRule type="dataBar" id="{9DBCF6A1-040E-42DB-8847-078569C48B8A}">
            <x14:dataBar minLength="0" maxLength="100" gradient="0">
              <x14:cfvo type="num">
                <xm:f>0</xm:f>
              </x14:cfvo>
              <x14:cfvo type="num">
                <xm:f>1</xm:f>
              </x14:cfvo>
              <x14:negativeFillColor rgb="FFFF0000"/>
              <x14:axisColor rgb="FF000000"/>
            </x14:dataBar>
          </x14:cfRule>
          <xm:sqref>H11</xm:sqref>
        </x14:conditionalFormatting>
        <x14:conditionalFormatting xmlns:xm="http://schemas.microsoft.com/office/excel/2006/main">
          <x14:cfRule type="dataBar" id="{BFC745BB-0CC0-42B8-8CC2-ACE24C0EB15C}">
            <x14:dataBar minLength="0" maxLength="100" gradient="0">
              <x14:cfvo type="num">
                <xm:f>0</xm:f>
              </x14:cfvo>
              <x14:cfvo type="num">
                <xm:f>1</xm:f>
              </x14:cfvo>
              <x14:negativeFillColor rgb="FFFF0000"/>
              <x14:axisColor rgb="FF000000"/>
            </x14:dataBar>
          </x14:cfRule>
          <xm:sqref>H12:H15</xm:sqref>
        </x14:conditionalFormatting>
        <x14:conditionalFormatting xmlns:xm="http://schemas.microsoft.com/office/excel/2006/main">
          <x14:cfRule type="dataBar" id="{FA5CC67D-61F1-4CC3-AC50-36FEE0097B6B}">
            <x14:dataBar minLength="0" maxLength="100" gradient="0">
              <x14:cfvo type="num">
                <xm:f>0</xm:f>
              </x14:cfvo>
              <x14:cfvo type="num">
                <xm:f>1</xm:f>
              </x14:cfvo>
              <x14:negativeFillColor rgb="FFFF0000"/>
              <x14:axisColor rgb="FF000000"/>
            </x14:dataBar>
          </x14:cfRule>
          <xm:sqref>H16:H19</xm:sqref>
        </x14:conditionalFormatting>
        <x14:conditionalFormatting xmlns:xm="http://schemas.microsoft.com/office/excel/2006/main">
          <x14:cfRule type="dataBar" id="{A15FFD4D-71F6-4F94-91C5-3D7A56139C96}">
            <x14:dataBar minLength="0" maxLength="100" gradient="0">
              <x14:cfvo type="num">
                <xm:f>0</xm:f>
              </x14:cfvo>
              <x14:cfvo type="num">
                <xm:f>1</xm:f>
              </x14:cfvo>
              <x14:negativeFillColor rgb="FFFF0000"/>
              <x14:axisColor rgb="FF000000"/>
            </x14:dataBar>
          </x14:cfRule>
          <xm:sqref>H20</xm:sqref>
        </x14:conditionalFormatting>
        <x14:conditionalFormatting xmlns:xm="http://schemas.microsoft.com/office/excel/2006/main">
          <x14:cfRule type="dataBar" id="{EC7A5987-0317-4F8F-B036-0AAA4FFCEF18}">
            <x14:dataBar minLength="0" maxLength="100" gradient="0">
              <x14:cfvo type="num">
                <xm:f>0</xm:f>
              </x14:cfvo>
              <x14:cfvo type="num">
                <xm:f>1</xm:f>
              </x14:cfvo>
              <x14:negativeFillColor rgb="FFFF0000"/>
              <x14:axisColor rgb="FF000000"/>
            </x14:dataBar>
          </x14:cfRule>
          <xm:sqref>H21</xm:sqref>
        </x14:conditionalFormatting>
        <x14:conditionalFormatting xmlns:xm="http://schemas.microsoft.com/office/excel/2006/main">
          <x14:cfRule type="dataBar" id="{1ABC0867-9008-4CB7-A012-4723BF84D318}">
            <x14:dataBar minLength="0" maxLength="100" gradient="0">
              <x14:cfvo type="num">
                <xm:f>0</xm:f>
              </x14:cfvo>
              <x14:cfvo type="num">
                <xm:f>1</xm:f>
              </x14:cfvo>
              <x14:negativeFillColor rgb="FFFF0000"/>
              <x14:axisColor rgb="FF000000"/>
            </x14:dataBar>
          </x14:cfRule>
          <xm:sqref>H22</xm:sqref>
        </x14:conditionalFormatting>
        <x14:conditionalFormatting xmlns:xm="http://schemas.microsoft.com/office/excel/2006/main">
          <x14:cfRule type="dataBar" id="{E8DE2DCF-2ACE-439A-B5AD-8BAA49CB0177}">
            <x14:dataBar minLength="0" maxLength="100" gradient="0">
              <x14:cfvo type="num">
                <xm:f>0</xm:f>
              </x14:cfvo>
              <x14:cfvo type="num">
                <xm:f>1</xm:f>
              </x14:cfvo>
              <x14:negativeFillColor rgb="FFFF0000"/>
              <x14:axisColor rgb="FF000000"/>
            </x14:dataBar>
          </x14:cfRule>
          <xm:sqref>H23</xm:sqref>
        </x14:conditionalFormatting>
        <x14:conditionalFormatting xmlns:xm="http://schemas.microsoft.com/office/excel/2006/main">
          <x14:cfRule type="dataBar" id="{2D17D9C4-640A-4DBE-8963-4F7CAC60024D}">
            <x14:dataBar minLength="0" maxLength="100" gradient="0">
              <x14:cfvo type="num">
                <xm:f>0</xm:f>
              </x14:cfvo>
              <x14:cfvo type="num">
                <xm:f>1</xm:f>
              </x14:cfvo>
              <x14:negativeFillColor rgb="FFFF0000"/>
              <x14:axisColor rgb="FF000000"/>
            </x14:dataBar>
          </x14:cfRule>
          <xm:sqref>H24</xm:sqref>
        </x14:conditionalFormatting>
        <x14:conditionalFormatting xmlns:xm="http://schemas.microsoft.com/office/excel/2006/main">
          <x14:cfRule type="dataBar" id="{907C1B43-1215-4343-A5B6-1D914534F244}">
            <x14:dataBar minLength="0" maxLength="100" gradient="0">
              <x14:cfvo type="num">
                <xm:f>0</xm:f>
              </x14:cfvo>
              <x14:cfvo type="num">
                <xm:f>1</xm:f>
              </x14:cfvo>
              <x14:negativeFillColor rgb="FFFF0000"/>
              <x14:axisColor rgb="FF000000"/>
            </x14:dataBar>
          </x14:cfRule>
          <xm:sqref>H25</xm:sqref>
        </x14:conditionalFormatting>
        <x14:conditionalFormatting xmlns:xm="http://schemas.microsoft.com/office/excel/2006/main">
          <x14:cfRule type="dataBar" id="{3712B26A-4D34-442F-83C9-C966D2A6F17E}">
            <x14:dataBar minLength="0" maxLength="100" gradient="0">
              <x14:cfvo type="num">
                <xm:f>0</xm:f>
              </x14:cfvo>
              <x14:cfvo type="num">
                <xm:f>1</xm:f>
              </x14:cfvo>
              <x14:negativeFillColor rgb="FFFF0000"/>
              <x14:axisColor rgb="FF000000"/>
            </x14:dataBar>
          </x14:cfRule>
          <xm:sqref>H26</xm:sqref>
        </x14:conditionalFormatting>
        <x14:conditionalFormatting xmlns:xm="http://schemas.microsoft.com/office/excel/2006/main">
          <x14:cfRule type="dataBar" id="{BC7E2AE5-173A-48C2-B98F-7178E265808B}">
            <x14:dataBar minLength="0" maxLength="100" gradient="0">
              <x14:cfvo type="num">
                <xm:f>0</xm:f>
              </x14:cfvo>
              <x14:cfvo type="num">
                <xm:f>1</xm:f>
              </x14:cfvo>
              <x14:negativeFillColor rgb="FFFF0000"/>
              <x14:axisColor rgb="FF000000"/>
            </x14:dataBar>
          </x14:cfRule>
          <xm:sqref>H27:H65</xm:sqref>
        </x14:conditionalFormatting>
        <x14:conditionalFormatting xmlns:xm="http://schemas.microsoft.com/office/excel/2006/main">
          <x14:cfRule type="dataBar" id="{D3DB2C3F-6C47-40F8-8848-827B2A997705}">
            <x14:dataBar minLength="0" maxLength="100" gradient="0">
              <x14:cfvo type="num">
                <xm:f>0</xm:f>
              </x14:cfvo>
              <x14:cfvo type="num">
                <xm:f>1</xm:f>
              </x14:cfvo>
              <x14:negativeFillColor rgb="FFFF0000"/>
              <x14:axisColor rgb="FF000000"/>
            </x14:dataBar>
          </x14:cfRule>
          <xm:sqref>H72:H76</xm:sqref>
        </x14:conditionalFormatting>
        <x14:conditionalFormatting xmlns:xm="http://schemas.microsoft.com/office/excel/2006/main">
          <x14:cfRule type="dataBar" id="{3C42B16F-A101-4A97-868D-5B8146B1C130}">
            <x14:dataBar minLength="0" maxLength="100" gradient="0">
              <x14:cfvo type="num">
                <xm:f>0</xm:f>
              </x14:cfvo>
              <x14:cfvo type="num">
                <xm:f>1</xm:f>
              </x14:cfvo>
              <x14:negativeFillColor rgb="FFFF0000"/>
              <x14:axisColor rgb="FF000000"/>
            </x14:dataBar>
          </x14:cfRule>
          <xm:sqref>H77:H79</xm:sqref>
        </x14:conditionalFormatting>
        <x14:conditionalFormatting xmlns:xm="http://schemas.microsoft.com/office/excel/2006/main">
          <x14:cfRule type="dataBar" id="{95297AF6-74B6-45A3-8917-B1B696C9161B}">
            <x14:dataBar minLength="0" maxLength="100" gradient="0">
              <x14:cfvo type="num">
                <xm:f>0</xm:f>
              </x14:cfvo>
              <x14:cfvo type="num">
                <xm:f>1</xm:f>
              </x14:cfvo>
              <x14:negativeFillColor rgb="FFFF0000"/>
              <x14:axisColor rgb="FF000000"/>
            </x14:dataBar>
          </x14:cfRule>
          <xm:sqref>H80</xm:sqref>
        </x14:conditionalFormatting>
        <x14:conditionalFormatting xmlns:xm="http://schemas.microsoft.com/office/excel/2006/main">
          <x14:cfRule type="dataBar" id="{2D435DCA-F0F5-4AE4-AA8B-9FC0907B9986}">
            <x14:dataBar minLength="0" maxLength="100" gradient="0">
              <x14:cfvo type="num">
                <xm:f>0</xm:f>
              </x14:cfvo>
              <x14:cfvo type="num">
                <xm:f>1</xm:f>
              </x14:cfvo>
              <x14:negativeFillColor rgb="FFFF0000"/>
              <x14:axisColor rgb="FF000000"/>
            </x14:dataBar>
          </x14:cfRule>
          <xm:sqref>H81</xm:sqref>
        </x14:conditionalFormatting>
        <x14:conditionalFormatting xmlns:xm="http://schemas.microsoft.com/office/excel/2006/main">
          <x14:cfRule type="dataBar" id="{09DABF8A-BD08-4C92-845E-E7AAD159D374}">
            <x14:dataBar minLength="0" maxLength="100" gradient="0">
              <x14:cfvo type="num">
                <xm:f>0</xm:f>
              </x14:cfvo>
              <x14:cfvo type="num">
                <xm:f>1</xm:f>
              </x14:cfvo>
              <x14:negativeFillColor rgb="FFFF0000"/>
              <x14:axisColor rgb="FF000000"/>
            </x14:dataBar>
          </x14:cfRule>
          <xm:sqref>H82:H86</xm:sqref>
        </x14:conditionalFormatting>
        <x14:conditionalFormatting xmlns:xm="http://schemas.microsoft.com/office/excel/2006/main">
          <x14:cfRule type="dataBar" id="{B21B1AD0-95C6-4399-A847-B94749D393A8}">
            <x14:dataBar minLength="0" maxLength="100" gradient="0">
              <x14:cfvo type="num">
                <xm:f>0</xm:f>
              </x14:cfvo>
              <x14:cfvo type="num">
                <xm:f>1</xm:f>
              </x14:cfvo>
              <x14:negativeFillColor rgb="FFFF0000"/>
              <x14:axisColor rgb="FF000000"/>
            </x14:dataBar>
          </x14:cfRule>
          <xm:sqref>H87:H88</xm:sqref>
        </x14:conditionalFormatting>
        <x14:conditionalFormatting xmlns:xm="http://schemas.microsoft.com/office/excel/2006/main">
          <x14:cfRule type="dataBar" id="{98F1A4B0-A001-42E2-8DE0-E6D7F5D6E540}">
            <x14:dataBar minLength="0" maxLength="100" gradient="0">
              <x14:cfvo type="num">
                <xm:f>0</xm:f>
              </x14:cfvo>
              <x14:cfvo type="num">
                <xm:f>1</xm:f>
              </x14:cfvo>
              <x14:negativeFillColor rgb="FFFF0000"/>
              <x14:axisColor rgb="FF000000"/>
            </x14:dataBar>
          </x14:cfRule>
          <xm:sqref>H89</xm:sqref>
        </x14:conditionalFormatting>
        <x14:conditionalFormatting xmlns:xm="http://schemas.microsoft.com/office/excel/2006/main">
          <x14:cfRule type="dataBar" id="{10EB3915-CCE8-4C24-8987-0286556DCB28}">
            <x14:dataBar minLength="0" maxLength="100" gradient="0">
              <x14:cfvo type="num">
                <xm:f>0</xm:f>
              </x14:cfvo>
              <x14:cfvo type="num">
                <xm:f>1</xm:f>
              </x14:cfvo>
              <x14:negativeFillColor rgb="FFFF0000"/>
              <x14:axisColor rgb="FF000000"/>
            </x14:dataBar>
          </x14:cfRule>
          <xm:sqref>H90</xm:sqref>
        </x14:conditionalFormatting>
        <x14:conditionalFormatting xmlns:xm="http://schemas.microsoft.com/office/excel/2006/main">
          <x14:cfRule type="dataBar" id="{5118D0D2-5AC0-4660-B543-87D1DAFE9F4B}">
            <x14:dataBar minLength="0" maxLength="100" gradient="0">
              <x14:cfvo type="num">
                <xm:f>0</xm:f>
              </x14:cfvo>
              <x14:cfvo type="num">
                <xm:f>1</xm:f>
              </x14:cfvo>
              <x14:negativeFillColor rgb="FFFF0000"/>
              <x14:axisColor rgb="FF000000"/>
            </x14:dataBar>
          </x14:cfRule>
          <xm:sqref>H91</xm:sqref>
        </x14:conditionalFormatting>
        <x14:conditionalFormatting xmlns:xm="http://schemas.microsoft.com/office/excel/2006/main">
          <x14:cfRule type="dataBar" id="{68765232-9793-455A-8466-C71FDEA78B82}">
            <x14:dataBar minLength="0" maxLength="100" gradient="0">
              <x14:cfvo type="num">
                <xm:f>0</xm:f>
              </x14:cfvo>
              <x14:cfvo type="num">
                <xm:f>1</xm:f>
              </x14:cfvo>
              <x14:negativeFillColor rgb="FFFF0000"/>
              <x14:axisColor rgb="FF000000"/>
            </x14:dataBar>
          </x14:cfRule>
          <xm:sqref>H92</xm:sqref>
        </x14:conditionalFormatting>
        <x14:conditionalFormatting xmlns:xm="http://schemas.microsoft.com/office/excel/2006/main">
          <x14:cfRule type="dataBar" id="{45131D56-85BF-4A2C-8EE8-538D1B5E223C}">
            <x14:dataBar minLength="0" maxLength="100" gradient="0">
              <x14:cfvo type="num">
                <xm:f>0</xm:f>
              </x14:cfvo>
              <x14:cfvo type="num">
                <xm:f>1</xm:f>
              </x14:cfvo>
              <x14:negativeFillColor rgb="FFFF0000"/>
              <x14:axisColor rgb="FF000000"/>
            </x14:dataBar>
          </x14:cfRule>
          <xm:sqref>H93</xm:sqref>
        </x14:conditionalFormatting>
        <x14:conditionalFormatting xmlns:xm="http://schemas.microsoft.com/office/excel/2006/main">
          <x14:cfRule type="dataBar" id="{74064339-B963-47EA-87E8-2B884F59CF6B}">
            <x14:dataBar minLength="0" maxLength="100" gradient="0">
              <x14:cfvo type="num">
                <xm:f>0</xm:f>
              </x14:cfvo>
              <x14:cfvo type="num">
                <xm:f>1</xm:f>
              </x14:cfvo>
              <x14:negativeFillColor rgb="FFFF0000"/>
              <x14:axisColor rgb="FF000000"/>
            </x14:dataBar>
          </x14:cfRule>
          <xm:sqref>H94</xm:sqref>
        </x14:conditionalFormatting>
        <x14:conditionalFormatting xmlns:xm="http://schemas.microsoft.com/office/excel/2006/main">
          <x14:cfRule type="dataBar" id="{409F0501-C7EF-40E7-8630-1268448E74EB}">
            <x14:dataBar minLength="0" maxLength="100" gradient="0">
              <x14:cfvo type="num">
                <xm:f>0</xm:f>
              </x14:cfvo>
              <x14:cfvo type="num">
                <xm:f>1</xm:f>
              </x14:cfvo>
              <x14:negativeFillColor rgb="FFFF0000"/>
              <x14:axisColor rgb="FF000000"/>
            </x14:dataBar>
          </x14:cfRule>
          <xm:sqref>H95:H97</xm:sqref>
        </x14:conditionalFormatting>
        <x14:conditionalFormatting xmlns:xm="http://schemas.microsoft.com/office/excel/2006/main">
          <x14:cfRule type="dataBar" id="{8B977969-9EAC-4FFC-B673-BD8EC0F829F9}">
            <x14:dataBar minLength="0" maxLength="100" gradient="0">
              <x14:cfvo type="num">
                <xm:f>0</xm:f>
              </x14:cfvo>
              <x14:cfvo type="num">
                <xm:f>1</xm:f>
              </x14:cfvo>
              <x14:negativeFillColor rgb="FFFF0000"/>
              <x14:axisColor rgb="FF000000"/>
            </x14:dataBar>
          </x14:cfRule>
          <xm:sqref>H98</xm:sqref>
        </x14:conditionalFormatting>
        <x14:conditionalFormatting xmlns:xm="http://schemas.microsoft.com/office/excel/2006/main">
          <x14:cfRule type="dataBar" id="{B502B2EA-46E0-4770-89C1-BE08E83EC7AB}">
            <x14:dataBar minLength="0" maxLength="100" gradient="0">
              <x14:cfvo type="num">
                <xm:f>0</xm:f>
              </x14:cfvo>
              <x14:cfvo type="num">
                <xm:f>1</xm:f>
              </x14:cfvo>
              <x14:negativeFillColor rgb="FFFF0000"/>
              <x14:axisColor rgb="FF000000"/>
            </x14:dataBar>
          </x14:cfRule>
          <xm:sqref>H99:H103</xm:sqref>
        </x14:conditionalFormatting>
        <x14:conditionalFormatting xmlns:xm="http://schemas.microsoft.com/office/excel/2006/main">
          <x14:cfRule type="dataBar" id="{278381FD-084D-48F8-8C3E-ED8A470CB7F5}">
            <x14:dataBar minLength="0" maxLength="100" gradient="0">
              <x14:cfvo type="num">
                <xm:f>0</xm:f>
              </x14:cfvo>
              <x14:cfvo type="num">
                <xm:f>1</xm:f>
              </x14:cfvo>
              <x14:negativeFillColor rgb="FFFF0000"/>
              <x14:axisColor rgb="FF000000"/>
            </x14:dataBar>
          </x14:cfRule>
          <xm:sqref>H104</xm:sqref>
        </x14:conditionalFormatting>
        <x14:conditionalFormatting xmlns:xm="http://schemas.microsoft.com/office/excel/2006/main">
          <x14:cfRule type="dataBar" id="{087D2E0B-0BF5-4922-A951-DE98CD967E81}">
            <x14:dataBar minLength="0" maxLength="100" gradient="0">
              <x14:cfvo type="num">
                <xm:f>0</xm:f>
              </x14:cfvo>
              <x14:cfvo type="num">
                <xm:f>1</xm:f>
              </x14:cfvo>
              <x14:negativeFillColor rgb="FFFF0000"/>
              <x14:axisColor rgb="FF000000"/>
            </x14:dataBar>
          </x14:cfRule>
          <xm:sqref>H105</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C46"/>
  <sheetViews>
    <sheetView showGridLines="0" workbookViewId="0"/>
  </sheetViews>
  <sheetFormatPr defaultColWidth="9" defaultRowHeight="12.75"/>
  <cols>
    <col min="1" max="1" width="5.5703125" customWidth="1"/>
    <col min="2" max="2" width="37.7109375" customWidth="1"/>
    <col min="3" max="3" width="55.140625" customWidth="1"/>
    <col min="4" max="7" width="8.85546875"/>
  </cols>
  <sheetData>
    <row r="1" spans="1:3" ht="30" customHeight="1">
      <c r="A1" s="40" t="s">
        <v>60</v>
      </c>
    </row>
    <row r="4" spans="1:3">
      <c r="C4" s="25" t="s">
        <v>61</v>
      </c>
    </row>
    <row r="5" spans="1:3">
      <c r="C5" t="s">
        <v>62</v>
      </c>
    </row>
    <row r="7" spans="1:3" ht="18">
      <c r="C7" s="41" t="s">
        <v>63</v>
      </c>
    </row>
    <row r="8" spans="1:3">
      <c r="C8" s="42" t="s">
        <v>64</v>
      </c>
    </row>
    <row r="10" spans="1:3">
      <c r="C10" t="s">
        <v>65</v>
      </c>
    </row>
    <row r="11" spans="1:3">
      <c r="C11" t="s">
        <v>66</v>
      </c>
    </row>
    <row r="13" spans="1:3" ht="18">
      <c r="C13" s="41" t="s">
        <v>67</v>
      </c>
    </row>
    <row r="16" spans="1:3" ht="15.75">
      <c r="A16" s="16" t="s">
        <v>68</v>
      </c>
    </row>
    <row r="18" spans="2:2" ht="15">
      <c r="B18" s="43" t="s">
        <v>69</v>
      </c>
    </row>
    <row r="19" spans="2:2">
      <c r="B19" t="s">
        <v>70</v>
      </c>
    </row>
    <row r="20" spans="2:2">
      <c r="B20" t="s">
        <v>71</v>
      </c>
    </row>
    <row r="22" spans="2:2" ht="15">
      <c r="B22" s="43" t="s">
        <v>72</v>
      </c>
    </row>
    <row r="23" spans="2:2">
      <c r="B23" t="s">
        <v>73</v>
      </c>
    </row>
    <row r="24" spans="2:2">
      <c r="B24" t="s">
        <v>74</v>
      </c>
    </row>
    <row r="26" spans="2:2" ht="15">
      <c r="B26" s="43" t="s">
        <v>75</v>
      </c>
    </row>
    <row r="27" spans="2:2">
      <c r="B27" t="s">
        <v>76</v>
      </c>
    </row>
    <row r="28" spans="2:2">
      <c r="B28" t="s">
        <v>77</v>
      </c>
    </row>
    <row r="29" spans="2:2">
      <c r="B29" t="s">
        <v>78</v>
      </c>
    </row>
    <row r="30" spans="2:2">
      <c r="B30" t="s">
        <v>79</v>
      </c>
    </row>
    <row r="31" spans="2:2">
      <c r="B31" t="s">
        <v>80</v>
      </c>
    </row>
    <row r="32" spans="2:2">
      <c r="B32" t="s">
        <v>81</v>
      </c>
    </row>
    <row r="34" spans="2:2" ht="15">
      <c r="B34" s="43" t="s">
        <v>82</v>
      </c>
    </row>
    <row r="35" spans="2:2">
      <c r="B35" t="s">
        <v>83</v>
      </c>
    </row>
    <row r="36" spans="2:2">
      <c r="B36" t="s">
        <v>84</v>
      </c>
    </row>
    <row r="37" spans="2:2">
      <c r="B37" t="s">
        <v>85</v>
      </c>
    </row>
    <row r="39" spans="2:2" ht="15">
      <c r="B39" s="43" t="s">
        <v>86</v>
      </c>
    </row>
    <row r="40" spans="2:2">
      <c r="B40" t="s">
        <v>87</v>
      </c>
    </row>
    <row r="42" spans="2:2" ht="15">
      <c r="B42" s="43" t="s">
        <v>88</v>
      </c>
    </row>
    <row r="43" spans="2:2">
      <c r="B43" t="s">
        <v>89</v>
      </c>
    </row>
    <row r="44" spans="2:2">
      <c r="B44" t="s">
        <v>90</v>
      </c>
    </row>
    <row r="46" spans="2:2" ht="18">
      <c r="B46" s="41" t="s">
        <v>91</v>
      </c>
    </row>
  </sheetData>
  <hyperlinks>
    <hyperlink ref="C7" r:id="rId1" xr:uid="{00000000-0004-0000-0100-000000000000}"/>
    <hyperlink ref="B46" r:id="rId2" tooltip="Go to Vertex42.com" xr:uid="{00000000-0004-0000-0100-000001000000}"/>
    <hyperlink ref="C13" r:id="rId3" xr:uid="{00000000-0004-0000-0100-000002000000}"/>
  </hyperlinks>
  <pageMargins left="0.7" right="0.7" top="0.75" bottom="0.75" header="0.3" footer="0.3"/>
  <pageSetup scale="93" orientation="portrait"/>
  <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dimension ref="A1:C94"/>
  <sheetViews>
    <sheetView showGridLines="0" workbookViewId="0"/>
  </sheetViews>
  <sheetFormatPr defaultColWidth="8.85546875" defaultRowHeight="12.75"/>
  <cols>
    <col min="1" max="1" width="5.5703125" customWidth="1"/>
    <col min="2" max="2" width="90.42578125" customWidth="1"/>
    <col min="3" max="3" width="16.42578125" customWidth="1"/>
  </cols>
  <sheetData>
    <row r="1" spans="1:3" ht="30" customHeight="1">
      <c r="A1" s="1" t="s">
        <v>92</v>
      </c>
      <c r="B1" s="12"/>
    </row>
    <row r="2" spans="1:3" ht="14.25">
      <c r="A2" s="13" t="s">
        <v>64</v>
      </c>
      <c r="B2" s="14"/>
    </row>
    <row r="3" spans="1:3">
      <c r="B3" s="14"/>
    </row>
    <row r="4" spans="1:3" ht="18">
      <c r="A4" s="15" t="s">
        <v>93</v>
      </c>
      <c r="B4" s="16"/>
    </row>
    <row r="5" spans="1:3" ht="57">
      <c r="B5" s="17" t="s">
        <v>94</v>
      </c>
    </row>
    <row r="7" spans="1:3" ht="28.5">
      <c r="B7" s="17" t="s">
        <v>95</v>
      </c>
    </row>
    <row r="9" spans="1:3" ht="14.25">
      <c r="B9" s="13" t="s">
        <v>96</v>
      </c>
    </row>
    <row r="11" spans="1:3" ht="28.5">
      <c r="B11" s="18" t="s">
        <v>97</v>
      </c>
    </row>
    <row r="13" spans="1:3" ht="18">
      <c r="A13" s="113" t="s">
        <v>98</v>
      </c>
      <c r="B13" s="113"/>
    </row>
    <row r="15" spans="1:3" s="11" customFormat="1" ht="18">
      <c r="A15" s="19"/>
      <c r="B15" s="20" t="s">
        <v>99</v>
      </c>
    </row>
    <row r="16" spans="1:3" s="11" customFormat="1" ht="18">
      <c r="A16" s="19"/>
      <c r="B16" s="20" t="s">
        <v>100</v>
      </c>
      <c r="C16" s="21" t="s">
        <v>101</v>
      </c>
    </row>
    <row r="17" spans="1:3" ht="18">
      <c r="A17" s="22"/>
      <c r="B17" s="20" t="s">
        <v>102</v>
      </c>
    </row>
    <row r="18" spans="1:3" ht="18">
      <c r="A18" s="22"/>
      <c r="B18" s="20" t="s">
        <v>103</v>
      </c>
    </row>
    <row r="19" spans="1:3" ht="18">
      <c r="A19" s="22"/>
      <c r="B19" s="20" t="s">
        <v>104</v>
      </c>
    </row>
    <row r="20" spans="1:3" s="11" customFormat="1" ht="18">
      <c r="A20" s="19"/>
      <c r="B20" s="20" t="s">
        <v>105</v>
      </c>
      <c r="C20" s="23" t="s">
        <v>106</v>
      </c>
    </row>
    <row r="21" spans="1:3" ht="18">
      <c r="A21" s="22"/>
      <c r="B21" s="20" t="s">
        <v>107</v>
      </c>
    </row>
    <row r="22" spans="1:3" ht="18">
      <c r="A22" s="22"/>
      <c r="B22" s="24" t="s">
        <v>108</v>
      </c>
    </row>
    <row r="23" spans="1:3" ht="18">
      <c r="A23" s="22"/>
      <c r="B23" s="25"/>
    </row>
    <row r="24" spans="1:3" ht="18">
      <c r="A24" s="113" t="s">
        <v>109</v>
      </c>
      <c r="B24" s="113"/>
    </row>
    <row r="25" spans="1:3" ht="43.5">
      <c r="A25" s="22"/>
      <c r="B25" s="20" t="s">
        <v>110</v>
      </c>
    </row>
    <row r="26" spans="1:3" ht="18">
      <c r="A26" s="22"/>
      <c r="B26" s="20"/>
    </row>
    <row r="27" spans="1:3" ht="18">
      <c r="A27" s="22"/>
      <c r="B27" s="26" t="s">
        <v>111</v>
      </c>
    </row>
    <row r="28" spans="1:3" ht="18">
      <c r="A28" s="22"/>
      <c r="B28" s="20" t="s">
        <v>112</v>
      </c>
    </row>
    <row r="29" spans="1:3" ht="28.5">
      <c r="A29" s="22"/>
      <c r="B29" s="20" t="s">
        <v>113</v>
      </c>
    </row>
    <row r="30" spans="1:3" ht="18">
      <c r="A30" s="22"/>
      <c r="B30" s="20"/>
    </row>
    <row r="31" spans="1:3" ht="18">
      <c r="A31" s="22"/>
      <c r="B31" s="26" t="s">
        <v>114</v>
      </c>
    </row>
    <row r="32" spans="1:3" ht="18">
      <c r="A32" s="22"/>
      <c r="B32" s="20" t="s">
        <v>115</v>
      </c>
    </row>
    <row r="33" spans="1:2" ht="18">
      <c r="A33" s="22"/>
      <c r="B33" s="20" t="s">
        <v>116</v>
      </c>
    </row>
    <row r="34" spans="1:2" ht="18">
      <c r="A34" s="22"/>
      <c r="B34" s="25"/>
    </row>
    <row r="35" spans="1:2" ht="28.5">
      <c r="A35" s="22"/>
      <c r="B35" s="20" t="s">
        <v>117</v>
      </c>
    </row>
    <row r="36" spans="1:2" ht="18">
      <c r="A36" s="22"/>
      <c r="B36" s="27" t="s">
        <v>118</v>
      </c>
    </row>
    <row r="37" spans="1:2" ht="18">
      <c r="A37" s="22"/>
      <c r="B37" s="25"/>
    </row>
    <row r="38" spans="1:2" ht="18">
      <c r="A38" s="113" t="s">
        <v>119</v>
      </c>
      <c r="B38" s="113"/>
    </row>
    <row r="39" spans="1:2" ht="28.5">
      <c r="B39" s="20" t="s">
        <v>120</v>
      </c>
    </row>
    <row r="41" spans="1:2" ht="14.25">
      <c r="B41" s="20" t="s">
        <v>121</v>
      </c>
    </row>
    <row r="43" spans="1:2" ht="28.5">
      <c r="B43" s="20" t="s">
        <v>122</v>
      </c>
    </row>
    <row r="45" spans="1:2" ht="28.5">
      <c r="B45" s="20" t="s">
        <v>123</v>
      </c>
    </row>
    <row r="46" spans="1:2">
      <c r="B46" s="28"/>
    </row>
    <row r="47" spans="1:2" ht="28.5">
      <c r="B47" s="20" t="s">
        <v>124</v>
      </c>
    </row>
    <row r="49" spans="1:2" ht="18">
      <c r="A49" s="113" t="s">
        <v>125</v>
      </c>
      <c r="B49" s="113"/>
    </row>
    <row r="50" spans="1:2" ht="28.5">
      <c r="B50" s="20" t="s">
        <v>126</v>
      </c>
    </row>
    <row r="52" spans="1:2" ht="14.25">
      <c r="A52" s="29" t="s">
        <v>127</v>
      </c>
      <c r="B52" s="20" t="s">
        <v>128</v>
      </c>
    </row>
    <row r="53" spans="1:2" ht="14.25">
      <c r="A53" s="29" t="s">
        <v>129</v>
      </c>
      <c r="B53" s="20" t="s">
        <v>130</v>
      </c>
    </row>
    <row r="54" spans="1:2" ht="14.25">
      <c r="A54" s="29" t="s">
        <v>131</v>
      </c>
      <c r="B54" s="20" t="s">
        <v>132</v>
      </c>
    </row>
    <row r="55" spans="1:2" ht="28.5">
      <c r="A55" s="18"/>
      <c r="B55" s="20" t="s">
        <v>133</v>
      </c>
    </row>
    <row r="56" spans="1:2" ht="28.5">
      <c r="A56" s="18"/>
      <c r="B56" s="20" t="s">
        <v>134</v>
      </c>
    </row>
    <row r="57" spans="1:2" ht="14.25">
      <c r="A57" s="29" t="s">
        <v>135</v>
      </c>
      <c r="B57" s="20" t="s">
        <v>136</v>
      </c>
    </row>
    <row r="58" spans="1:2" ht="14.25">
      <c r="A58" s="18"/>
      <c r="B58" s="20" t="s">
        <v>137</v>
      </c>
    </row>
    <row r="59" spans="1:2" ht="14.25">
      <c r="A59" s="18"/>
      <c r="B59" s="20" t="s">
        <v>138</v>
      </c>
    </row>
    <row r="60" spans="1:2" ht="14.25">
      <c r="A60" s="29" t="s">
        <v>139</v>
      </c>
      <c r="B60" s="20" t="s">
        <v>140</v>
      </c>
    </row>
    <row r="61" spans="1:2" ht="28.5">
      <c r="A61" s="18"/>
      <c r="B61" s="20" t="s">
        <v>141</v>
      </c>
    </row>
    <row r="62" spans="1:2" ht="14.25">
      <c r="A62" s="29" t="s">
        <v>142</v>
      </c>
      <c r="B62" s="20" t="s">
        <v>143</v>
      </c>
    </row>
    <row r="63" spans="1:2" ht="14.25">
      <c r="A63" s="30"/>
      <c r="B63" s="20" t="s">
        <v>144</v>
      </c>
    </row>
    <row r="64" spans="1:2">
      <c r="B64" s="31"/>
    </row>
    <row r="65" spans="1:2" ht="18">
      <c r="A65" s="113" t="s">
        <v>145</v>
      </c>
      <c r="B65" s="113"/>
    </row>
    <row r="66" spans="1:2" ht="42.75">
      <c r="B66" s="20" t="s">
        <v>146</v>
      </c>
    </row>
    <row r="68" spans="1:2" ht="18">
      <c r="A68" s="113" t="s">
        <v>147</v>
      </c>
      <c r="B68" s="113"/>
    </row>
    <row r="69" spans="1:2" ht="15">
      <c r="A69" s="32" t="s">
        <v>148</v>
      </c>
      <c r="B69" s="33" t="s">
        <v>149</v>
      </c>
    </row>
    <row r="70" spans="1:2" ht="28.5">
      <c r="A70" s="30"/>
      <c r="B70" s="34" t="s">
        <v>150</v>
      </c>
    </row>
    <row r="71" spans="1:2" ht="14.25">
      <c r="A71" s="30"/>
      <c r="B71" s="35"/>
    </row>
    <row r="72" spans="1:2" ht="15">
      <c r="A72" s="32" t="s">
        <v>148</v>
      </c>
      <c r="B72" s="33" t="s">
        <v>151</v>
      </c>
    </row>
    <row r="73" spans="1:2" ht="28.5">
      <c r="A73" s="30"/>
      <c r="B73" s="34" t="s">
        <v>152</v>
      </c>
    </row>
    <row r="74" spans="1:2" ht="14.25">
      <c r="A74" s="30"/>
      <c r="B74" s="35"/>
    </row>
    <row r="75" spans="1:2" ht="15">
      <c r="A75" s="32" t="s">
        <v>148</v>
      </c>
      <c r="B75" s="36" t="s">
        <v>153</v>
      </c>
    </row>
    <row r="76" spans="1:2" ht="42.75">
      <c r="A76" s="30"/>
      <c r="B76" s="17" t="s">
        <v>154</v>
      </c>
    </row>
    <row r="77" spans="1:2" ht="14.25">
      <c r="A77" s="30"/>
      <c r="B77" s="30"/>
    </row>
    <row r="78" spans="1:2" ht="15">
      <c r="A78" s="32" t="s">
        <v>148</v>
      </c>
      <c r="B78" s="36" t="s">
        <v>155</v>
      </c>
    </row>
    <row r="79" spans="1:2" ht="28.5">
      <c r="A79" s="30"/>
      <c r="B79" s="17" t="s">
        <v>156</v>
      </c>
    </row>
    <row r="80" spans="1:2" ht="14.25">
      <c r="A80" s="30"/>
      <c r="B80" s="30"/>
    </row>
    <row r="81" spans="1:2" ht="15">
      <c r="A81" s="32" t="s">
        <v>148</v>
      </c>
      <c r="B81" s="36" t="s">
        <v>157</v>
      </c>
    </row>
    <row r="82" spans="1:2" ht="14.25">
      <c r="A82" s="30"/>
      <c r="B82" s="37" t="s">
        <v>158</v>
      </c>
    </row>
    <row r="83" spans="1:2" ht="14.25">
      <c r="A83" s="30"/>
      <c r="B83" s="37" t="s">
        <v>159</v>
      </c>
    </row>
    <row r="84" spans="1:2" ht="14.25">
      <c r="A84" s="30"/>
      <c r="B84" s="37" t="s">
        <v>160</v>
      </c>
    </row>
    <row r="85" spans="1:2" ht="15">
      <c r="A85" s="30"/>
      <c r="B85" s="38"/>
    </row>
    <row r="86" spans="1:2" ht="15">
      <c r="A86" s="32" t="s">
        <v>148</v>
      </c>
      <c r="B86" s="36" t="s">
        <v>161</v>
      </c>
    </row>
    <row r="87" spans="1:2" ht="42.75">
      <c r="A87" s="30"/>
      <c r="B87" s="17" t="s">
        <v>162</v>
      </c>
    </row>
    <row r="88" spans="1:2" ht="14.25">
      <c r="A88" s="30"/>
      <c r="B88" s="96" t="s">
        <v>163</v>
      </c>
    </row>
    <row r="89" spans="1:2" ht="57">
      <c r="A89" s="30"/>
      <c r="B89" s="97" t="s">
        <v>164</v>
      </c>
    </row>
    <row r="90" spans="1:2" ht="14.25">
      <c r="A90" s="30"/>
      <c r="B90" s="30"/>
    </row>
    <row r="91" spans="1:2" ht="15">
      <c r="A91" s="32" t="s">
        <v>148</v>
      </c>
      <c r="B91" s="36" t="s">
        <v>165</v>
      </c>
    </row>
    <row r="92" spans="1:2" ht="28.5">
      <c r="A92" s="18"/>
      <c r="B92" s="37" t="s">
        <v>166</v>
      </c>
    </row>
    <row r="94" spans="1:2">
      <c r="A94" s="39" t="s">
        <v>167</v>
      </c>
    </row>
  </sheetData>
  <mergeCells count="6">
    <mergeCell ref="A68:B68"/>
    <mergeCell ref="A13:B13"/>
    <mergeCell ref="A24:B24"/>
    <mergeCell ref="A38:B38"/>
    <mergeCell ref="A49:B49"/>
    <mergeCell ref="A65:B65"/>
  </mergeCells>
  <hyperlinks>
    <hyperlink ref="B9" r:id="rId1" xr:uid="{00000000-0004-0000-0200-000000000000}"/>
    <hyperlink ref="A2" r:id="rId2" xr:uid="{00000000-0004-0000-0200-000001000000}"/>
    <hyperlink ref="B36" r:id="rId3" xr:uid="{00000000-0004-0000-0200-000002000000}"/>
  </hyperlinks>
  <pageMargins left="0.5" right="0.5" top="0.25" bottom="0.25" header="0.5" footer="0.5"/>
  <pageSetup orientation="portrait"/>
  <headerFooter alignWithMargins="0"/>
  <drawing r:id="rId4"/>
  <legacy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C29"/>
  <sheetViews>
    <sheetView showGridLines="0" workbookViewId="0"/>
  </sheetViews>
  <sheetFormatPr defaultColWidth="8.85546875" defaultRowHeight="12.75"/>
  <cols>
    <col min="1" max="1" width="5.5703125" customWidth="1"/>
    <col min="2" max="2" width="82.140625" customWidth="1"/>
  </cols>
  <sheetData>
    <row r="1" spans="1:3" ht="30" customHeight="1">
      <c r="A1" s="1" t="s">
        <v>168</v>
      </c>
      <c r="B1" s="1"/>
    </row>
    <row r="2" spans="1:3" ht="15">
      <c r="B2" s="2"/>
    </row>
    <row r="3" spans="1:3" ht="15">
      <c r="A3" s="3"/>
      <c r="B3" s="4" t="s">
        <v>169</v>
      </c>
      <c r="C3" s="3"/>
    </row>
    <row r="4" spans="1:3" ht="14.25">
      <c r="A4" s="5"/>
      <c r="B4" s="6" t="s">
        <v>64</v>
      </c>
      <c r="C4" s="5"/>
    </row>
    <row r="5" spans="1:3" ht="15">
      <c r="A5" s="5"/>
      <c r="B5" s="7"/>
      <c r="C5" s="5"/>
    </row>
    <row r="6" spans="1:3" ht="15.75">
      <c r="A6" s="5"/>
      <c r="B6" s="8" t="s">
        <v>167</v>
      </c>
      <c r="C6" s="5"/>
    </row>
    <row r="7" spans="1:3" ht="15">
      <c r="A7" s="5"/>
      <c r="B7" s="7"/>
      <c r="C7" s="5"/>
    </row>
    <row r="8" spans="1:3" ht="30">
      <c r="A8" s="5"/>
      <c r="B8" s="7" t="s">
        <v>170</v>
      </c>
      <c r="C8" s="5"/>
    </row>
    <row r="9" spans="1:3" ht="15">
      <c r="A9" s="5"/>
      <c r="B9" s="7"/>
      <c r="C9" s="5"/>
    </row>
    <row r="10" spans="1:3" ht="46.5">
      <c r="A10" s="5"/>
      <c r="B10" s="7" t="s">
        <v>171</v>
      </c>
      <c r="C10" s="5"/>
    </row>
    <row r="11" spans="1:3" ht="15">
      <c r="A11" s="5"/>
      <c r="B11" s="7"/>
      <c r="C11" s="5"/>
    </row>
    <row r="12" spans="1:3" ht="45">
      <c r="A12" s="5"/>
      <c r="B12" s="7" t="s">
        <v>172</v>
      </c>
      <c r="C12" s="5"/>
    </row>
    <row r="13" spans="1:3" ht="15">
      <c r="A13" s="5"/>
      <c r="B13" s="7"/>
      <c r="C13" s="5"/>
    </row>
    <row r="14" spans="1:3" ht="60">
      <c r="A14" s="5"/>
      <c r="B14" s="7" t="s">
        <v>173</v>
      </c>
      <c r="C14" s="5"/>
    </row>
    <row r="15" spans="1:3" ht="15">
      <c r="A15" s="5"/>
      <c r="B15" s="7"/>
      <c r="C15" s="5"/>
    </row>
    <row r="16" spans="1:3" ht="30.75">
      <c r="A16" s="5"/>
      <c r="B16" s="7" t="s">
        <v>174</v>
      </c>
      <c r="C16" s="5"/>
    </row>
    <row r="17" spans="1:3" ht="15">
      <c r="A17" s="5"/>
      <c r="B17" s="7"/>
      <c r="C17" s="5"/>
    </row>
    <row r="18" spans="1:3" ht="15.75">
      <c r="A18" s="5"/>
      <c r="B18" s="8" t="s">
        <v>175</v>
      </c>
      <c r="C18" s="5"/>
    </row>
    <row r="19" spans="1:3" ht="15">
      <c r="A19" s="5"/>
      <c r="B19" s="9" t="s">
        <v>176</v>
      </c>
      <c r="C19" s="5"/>
    </row>
    <row r="20" spans="1:3" ht="15">
      <c r="A20" s="5"/>
      <c r="B20" s="10"/>
      <c r="C20" s="5"/>
    </row>
    <row r="21" spans="1:3">
      <c r="A21" s="5"/>
      <c r="B21" s="5"/>
      <c r="C21" s="5"/>
    </row>
    <row r="22" spans="1:3">
      <c r="A22" s="5"/>
      <c r="B22" s="5"/>
      <c r="C22" s="5"/>
    </row>
    <row r="23" spans="1:3">
      <c r="A23" s="5"/>
      <c r="B23" s="5"/>
      <c r="C23" s="5"/>
    </row>
    <row r="24" spans="1:3">
      <c r="A24" s="5"/>
      <c r="B24" s="5"/>
      <c r="C24" s="5"/>
    </row>
    <row r="25" spans="1:3">
      <c r="A25" s="5"/>
      <c r="B25" s="5"/>
      <c r="C25" s="5"/>
    </row>
    <row r="26" spans="1:3">
      <c r="A26" s="5"/>
      <c r="B26" s="5"/>
      <c r="C26" s="5"/>
    </row>
    <row r="27" spans="1:3">
      <c r="A27" s="5"/>
      <c r="B27" s="5"/>
      <c r="C27" s="5"/>
    </row>
    <row r="28" spans="1:3">
      <c r="A28" s="5"/>
      <c r="B28" s="5"/>
      <c r="C28" s="5"/>
    </row>
    <row r="29" spans="1:3">
      <c r="A29" s="5"/>
      <c r="B29" s="5"/>
      <c r="C29" s="5"/>
    </row>
  </sheetData>
  <hyperlinks>
    <hyperlink ref="B4" r:id="rId1" xr:uid="{00000000-0004-0000-0300-000000000000}"/>
    <hyperlink ref="B19" r:id="rId2" xr:uid="{00000000-0004-0000-0300-000001000000}"/>
  </hyperlinks>
  <pageMargins left="0.7" right="0.7" top="0.75" bottom="0.75" header="0.3" footer="0.3"/>
  <pageSetup orientation="portrait"/>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4</vt:i4>
      </vt:variant>
    </vt:vector>
  </HeadingPairs>
  <TitlesOfParts>
    <vt:vector size="8" baseType="lpstr">
      <vt:lpstr>GanttChart</vt:lpstr>
      <vt:lpstr>GanttChartPro</vt:lpstr>
      <vt:lpstr>Help</vt:lpstr>
      <vt:lpstr>TermsOfUse</vt:lpstr>
      <vt:lpstr>GanttChart!prevWBS</vt:lpstr>
      <vt:lpstr>GanttChart!Print_Area</vt:lpstr>
      <vt:lpstr>GanttChartPro!Print_Area</vt:lpstr>
      <vt:lpstr>GanttChart!Print_Titles</vt:lpstr>
    </vt:vector>
  </TitlesOfParts>
  <Company>Vertex42 LLC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Gantt Chart Template</dc:title>
  <dc:creator>Vertex42.com</dc:creator>
  <dc:description>(c) 2006-2025 Vertex42 LLC. All Rights Reserved.</dc:description>
  <cp:lastModifiedBy>Billy Winata</cp:lastModifiedBy>
  <cp:lastPrinted>2025-11-24T02:54:00Z</cp:lastPrinted>
  <dcterms:created xsi:type="dcterms:W3CDTF">2010-06-09T16:05:00Z</dcterms:created>
  <dcterms:modified xsi:type="dcterms:W3CDTF">2026-01-02T14:01:15Z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pyright">
    <vt:lpwstr>2006-2025 Vertex42 LLC</vt:lpwstr>
  </property>
  <property fmtid="{D5CDD505-2E9C-101B-9397-08002B2CF9AE}" pid="3" name="Version">
    <vt:lpwstr>3.1.2</vt:lpwstr>
  </property>
  <property fmtid="{D5CDD505-2E9C-101B-9397-08002B2CF9AE}" pid="4" name="Source">
    <vt:lpwstr>https://www.vertex42.com/ExcelTemplates/excel-gantt-chart.html</vt:lpwstr>
  </property>
  <property fmtid="{D5CDD505-2E9C-101B-9397-08002B2CF9AE}" pid="5" name="ICV">
    <vt:lpwstr>8BC01C34AA7C4290B4DBEC7AD5B576BD_12</vt:lpwstr>
  </property>
  <property fmtid="{D5CDD505-2E9C-101B-9397-08002B2CF9AE}" pid="6" name="KSOProductBuildVer">
    <vt:lpwstr>1033-12.2.0.23196</vt:lpwstr>
  </property>
</Properties>
</file>
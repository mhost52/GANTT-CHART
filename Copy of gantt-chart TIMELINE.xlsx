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mc:AlternateContent xmlns:mc="http://schemas.openxmlformats.org/markup-compatibility/2006">
    <mc:Choice Requires="x15">
      <x15ac:absPath xmlns:x15ac="http://schemas.microsoft.com/office/spreadsheetml/2010/11/ac" url="D:\Lw\"/>
    </mc:Choice>
  </mc:AlternateContent>
  <xr:revisionPtr revIDLastSave="0" documentId="13_ncr:1_{DE8929A7-548C-44B0-9B06-A71967F1176D}" xr6:coauthVersionLast="47" xr6:coauthVersionMax="47" xr10:uidLastSave="{00000000-0000-0000-0000-000000000000}"/>
  <bookViews>
    <workbookView xWindow="-120" yWindow="-120" windowWidth="29040" windowHeight="15720" xr2:uid="{00000000-000D-0000-FFFF-FFFF00000000}"/>
  </bookViews>
  <sheets>
    <sheet name="GanttChart" sheetId="9" r:id="rId1"/>
    <sheet name="GanttChartPro" sheetId="12" state="hidden" r:id="rId2"/>
    <sheet name="Help" sheetId="6" state="hidden" r:id="rId3"/>
    <sheet name="TermsOfUse" sheetId="11" state="hidden" r:id="rId4"/>
  </sheets>
  <definedNames>
    <definedName name="prevWBS" localSheetId="0">GanttChart!$A1048576</definedName>
    <definedName name="_xlnm.Print_Area" localSheetId="0">GanttChart!$A$1:$BN$69</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2" i="9" l="1"/>
  <c r="E41" i="9"/>
  <c r="E40" i="9"/>
  <c r="E39" i="9"/>
  <c r="E38" i="9"/>
  <c r="E37" i="9"/>
  <c r="E36" i="9"/>
  <c r="E35" i="9"/>
  <c r="E34" i="9"/>
  <c r="E33" i="9"/>
  <c r="E32" i="9"/>
  <c r="E31" i="9"/>
  <c r="E30" i="9"/>
  <c r="E29" i="9"/>
  <c r="E28" i="9"/>
  <c r="E27" i="9"/>
  <c r="E26" i="9"/>
  <c r="E25" i="9"/>
  <c r="E24" i="9"/>
  <c r="E23" i="9"/>
  <c r="E22" i="9"/>
  <c r="E21" i="9"/>
  <c r="E20" i="9"/>
  <c r="E18" i="9"/>
  <c r="E19" i="9"/>
  <c r="F13" i="9"/>
  <c r="I13" i="9" s="1"/>
  <c r="A13" i="9"/>
  <c r="A14" i="9" s="1"/>
  <c r="F14" i="9"/>
  <c r="I14" i="9" s="1"/>
  <c r="F38" i="9"/>
  <c r="F42" i="9" l="1"/>
  <c r="I42" i="9" s="1"/>
  <c r="F41" i="9"/>
  <c r="I41" i="9" s="1"/>
  <c r="F40" i="9"/>
  <c r="I40" i="9" s="1"/>
  <c r="F39" i="9"/>
  <c r="I39" i="9" s="1"/>
  <c r="I38" i="9"/>
  <c r="F37" i="9"/>
  <c r="I37" i="9" s="1"/>
  <c r="F36" i="9"/>
  <c r="I36" i="9" s="1"/>
  <c r="F35" i="9"/>
  <c r="I35" i="9" s="1"/>
  <c r="F34" i="9"/>
  <c r="I34" i="9" s="1"/>
  <c r="F33" i="9"/>
  <c r="I33" i="9" s="1"/>
  <c r="F32" i="9"/>
  <c r="I32" i="9" s="1"/>
  <c r="F31" i="9"/>
  <c r="I31" i="9" s="1"/>
  <c r="F30" i="9"/>
  <c r="I30" i="9" s="1"/>
  <c r="F29" i="9"/>
  <c r="I29" i="9" s="1"/>
  <c r="F28" i="9"/>
  <c r="I28" i="9" s="1"/>
  <c r="F27" i="9"/>
  <c r="I27" i="9" s="1"/>
  <c r="F26" i="9"/>
  <c r="I26" i="9" s="1"/>
  <c r="F25" i="9"/>
  <c r="I25" i="9" s="1"/>
  <c r="F24" i="9"/>
  <c r="I24" i="9" s="1"/>
  <c r="F23" i="9"/>
  <c r="I23" i="9" s="1"/>
  <c r="F22" i="9"/>
  <c r="I22" i="9" s="1"/>
  <c r="F21" i="9"/>
  <c r="I21" i="9" s="1"/>
  <c r="F101" i="9" l="1"/>
  <c r="F100" i="9"/>
  <c r="I100" i="9" s="1"/>
  <c r="F99" i="9"/>
  <c r="F98" i="9"/>
  <c r="F97" i="9"/>
  <c r="F96" i="9"/>
  <c r="F95" i="9"/>
  <c r="F94" i="9"/>
  <c r="I94" i="9" s="1"/>
  <c r="F93" i="9"/>
  <c r="F92" i="9"/>
  <c r="F91" i="9"/>
  <c r="I91" i="9" s="1"/>
  <c r="F90" i="9"/>
  <c r="I90" i="9" s="1"/>
  <c r="F89" i="9"/>
  <c r="I89" i="9" s="1"/>
  <c r="F88" i="9"/>
  <c r="I88" i="9" s="1"/>
  <c r="F87" i="9"/>
  <c r="I87" i="9" s="1"/>
  <c r="F86" i="9"/>
  <c r="I86" i="9" s="1"/>
  <c r="F85" i="9"/>
  <c r="I85" i="9" s="1"/>
  <c r="F84" i="9"/>
  <c r="I84" i="9" s="1"/>
  <c r="F83" i="9"/>
  <c r="I83" i="9" s="1"/>
  <c r="F82" i="9"/>
  <c r="I82" i="9" s="1"/>
  <c r="F81" i="9"/>
  <c r="I81" i="9" s="1"/>
  <c r="F80" i="9"/>
  <c r="I80" i="9" s="1"/>
  <c r="F79" i="9"/>
  <c r="I79" i="9" s="1"/>
  <c r="F78" i="9"/>
  <c r="I78" i="9" s="1"/>
  <c r="F77" i="9"/>
  <c r="I77" i="9" s="1"/>
  <c r="F76" i="9"/>
  <c r="I76" i="9" s="1"/>
  <c r="F75" i="9"/>
  <c r="I75" i="9" s="1"/>
  <c r="F74" i="9"/>
  <c r="I74" i="9" s="1"/>
  <c r="F73" i="9"/>
  <c r="I73" i="9" s="1"/>
  <c r="F72" i="9"/>
  <c r="I72" i="9" s="1"/>
  <c r="F71" i="9"/>
  <c r="I71" i="9" s="1"/>
  <c r="F70" i="9"/>
  <c r="I70" i="9" s="1"/>
  <c r="F69" i="9"/>
  <c r="I69" i="9" s="1"/>
  <c r="F68" i="9"/>
  <c r="I68" i="9" s="1"/>
  <c r="F67" i="9"/>
  <c r="I67" i="9" s="1"/>
  <c r="F66" i="9"/>
  <c r="I66" i="9" s="1"/>
  <c r="F65" i="9"/>
  <c r="I65" i="9" s="1"/>
  <c r="F64" i="9"/>
  <c r="I64" i="9" s="1"/>
  <c r="F63" i="9"/>
  <c r="I63" i="9" s="1"/>
  <c r="F62" i="9"/>
  <c r="I62" i="9" s="1"/>
  <c r="A62" i="9"/>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F20" i="9"/>
  <c r="I20" i="9" s="1"/>
  <c r="F19" i="9"/>
  <c r="I19" i="9" s="1"/>
  <c r="F18" i="9"/>
  <c r="I18" i="9" s="1"/>
  <c r="F17" i="9"/>
  <c r="I17" i="9" s="1"/>
  <c r="F16" i="9"/>
  <c r="I16" i="9" s="1"/>
  <c r="F15" i="9"/>
  <c r="I15" i="9" s="1"/>
  <c r="F12" i="9"/>
  <c r="I12" i="9" s="1"/>
  <c r="F11" i="9"/>
  <c r="I11" i="9" s="1"/>
  <c r="F10" i="9"/>
  <c r="I10" i="9" s="1"/>
  <c r="F9" i="9"/>
  <c r="I9" i="9" s="1"/>
  <c r="F8" i="9"/>
  <c r="I8" i="9" s="1"/>
  <c r="A8" i="9"/>
  <c r="A9" i="9" s="1"/>
  <c r="A10" i="9" s="1"/>
  <c r="A11" i="9" s="1"/>
  <c r="A12"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K6" i="9"/>
  <c r="L6" i="9" s="1"/>
  <c r="K5" i="9" l="1"/>
  <c r="K4" i="9"/>
  <c r="M6" i="9"/>
  <c r="L7" i="9"/>
  <c r="K7" i="9"/>
  <c r="N6" i="9" l="1"/>
  <c r="M7" i="9"/>
  <c r="N7" i="9" l="1"/>
  <c r="O6" i="9"/>
  <c r="P6" i="9" l="1"/>
  <c r="O7" i="9"/>
  <c r="Q6" i="9" l="1"/>
  <c r="P7" i="9"/>
  <c r="R6" i="9" l="1"/>
  <c r="Q7" i="9"/>
  <c r="R7" i="9" l="1"/>
  <c r="R5" i="9"/>
  <c r="R4" i="9"/>
  <c r="S6" i="9"/>
  <c r="T6" i="9" l="1"/>
  <c r="S7" i="9"/>
  <c r="U6" i="9" l="1"/>
  <c r="T7" i="9"/>
  <c r="V6" i="9" l="1"/>
  <c r="U7" i="9"/>
  <c r="V7" i="9" l="1"/>
  <c r="W6" i="9"/>
  <c r="X6" i="9" l="1"/>
  <c r="W7" i="9"/>
  <c r="Y6" i="9" l="1"/>
  <c r="X7" i="9"/>
  <c r="Z6" i="9" l="1"/>
  <c r="Y7" i="9"/>
  <c r="Y5" i="9"/>
  <c r="Y4" i="9"/>
  <c r="Z7" i="9" l="1"/>
  <c r="AA6" i="9"/>
  <c r="AB6" i="9" l="1"/>
  <c r="AA7" i="9"/>
  <c r="AC6" i="9" l="1"/>
  <c r="AB7" i="9"/>
  <c r="AD6" i="9" l="1"/>
  <c r="AC7" i="9"/>
  <c r="AD7" i="9" l="1"/>
  <c r="AE6" i="9"/>
  <c r="AF6" i="9" l="1"/>
  <c r="AE7" i="9"/>
  <c r="AF5" i="9" l="1"/>
  <c r="AF4" i="9"/>
  <c r="AG6" i="9"/>
  <c r="AF7" i="9"/>
  <c r="AH6" i="9" l="1"/>
  <c r="AG7" i="9"/>
  <c r="AH7" i="9" l="1"/>
  <c r="AI6" i="9"/>
  <c r="AJ6" i="9" l="1"/>
  <c r="AI7" i="9"/>
  <c r="AK6" i="9" l="1"/>
  <c r="AJ7" i="9"/>
  <c r="AL6" i="9" l="1"/>
  <c r="AK7" i="9"/>
  <c r="AL7" i="9" l="1"/>
  <c r="AM6" i="9"/>
  <c r="AN6" i="9" l="1"/>
  <c r="AM5" i="9"/>
  <c r="AM4" i="9"/>
  <c r="AM7" i="9"/>
  <c r="AO6" i="9" l="1"/>
  <c r="AN7" i="9"/>
  <c r="AP6" i="9" l="1"/>
  <c r="AO7" i="9"/>
  <c r="AP7" i="9" l="1"/>
  <c r="AQ6" i="9"/>
  <c r="AR6" i="9" l="1"/>
  <c r="AQ7" i="9"/>
  <c r="AS6" i="9" l="1"/>
  <c r="AR7" i="9"/>
  <c r="AT6" i="9" l="1"/>
  <c r="AS7" i="9"/>
  <c r="AT7" i="9" l="1"/>
  <c r="AT5" i="9"/>
  <c r="AT4" i="9"/>
  <c r="AU6" i="9"/>
  <c r="AV6" i="9" l="1"/>
  <c r="AU7" i="9"/>
  <c r="AW6" i="9" l="1"/>
  <c r="AV7" i="9"/>
  <c r="AX6" i="9" l="1"/>
  <c r="AW7" i="9"/>
  <c r="AX7" i="9" l="1"/>
  <c r="AY6" i="9"/>
  <c r="AZ6" i="9" l="1"/>
  <c r="AY7" i="9"/>
  <c r="BA6" i="9" l="1"/>
  <c r="AZ7" i="9"/>
  <c r="BB6" i="9" l="1"/>
  <c r="BA7" i="9"/>
  <c r="BA5" i="9"/>
  <c r="BA4" i="9"/>
  <c r="BB7" i="9" l="1"/>
  <c r="BC6" i="9"/>
  <c r="BD6" i="9" l="1"/>
  <c r="BC7" i="9"/>
  <c r="BE6" i="9" l="1"/>
  <c r="BD7" i="9"/>
  <c r="BF6" i="9" l="1"/>
  <c r="BE7" i="9"/>
  <c r="BF7" i="9" l="1"/>
  <c r="BG6" i="9"/>
  <c r="BH6" i="9" l="1"/>
  <c r="BG7" i="9"/>
  <c r="BH5" i="9" l="1"/>
  <c r="BH4" i="9"/>
  <c r="BI6" i="9"/>
  <c r="BH7" i="9"/>
  <c r="BJ6" i="9" l="1"/>
  <c r="BI7" i="9"/>
  <c r="BJ7" i="9" l="1"/>
  <c r="BK6" i="9"/>
  <c r="BL6" i="9" l="1"/>
  <c r="BK7" i="9"/>
  <c r="BM6" i="9" l="1"/>
  <c r="BL7" i="9"/>
  <c r="BN6" i="9" l="1"/>
  <c r="BN7" i="9" s="1"/>
  <c r="BM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rFont val="Tahoma"/>
            <charset val="134"/>
          </rPr>
          <t>Task Description</t>
        </r>
        <r>
          <rPr>
            <sz val="9"/>
            <rFont val="Tahoma"/>
            <charset val="134"/>
          </rPr>
          <t xml:space="preserve">
Enter the name of each task and sub-task. Use indents for sub-tasks.</t>
        </r>
      </text>
    </comment>
    <comment ref="C7" authorId="0" shapeId="0" xr:uid="{00000000-0006-0000-0000-000003000000}">
      <text>
        <r>
          <rPr>
            <b/>
            <sz val="9"/>
            <rFont val="Tahoma"/>
            <charset val="134"/>
          </rPr>
          <t>Task Lead</t>
        </r>
        <r>
          <rPr>
            <sz val="9"/>
            <rFont val="Tahoma"/>
            <charset val="134"/>
          </rPr>
          <t xml:space="preserve">
Enter the name of the Task Lead in this column.</t>
        </r>
      </text>
    </comment>
    <comment ref="D7" authorId="0" shapeId="0" xr:uid="{00000000-0006-0000-0000-000004000000}">
      <text>
        <r>
          <rPr>
            <b/>
            <sz val="9"/>
            <rFont val="Tahoma"/>
            <charset val="134"/>
          </rPr>
          <t xml:space="preserve">Predecessor Tasks:
</t>
        </r>
        <r>
          <rPr>
            <sz val="9"/>
            <rFont val="Tahoma"/>
            <charset val="134"/>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shapeId="0" xr:uid="{00000000-0006-0000-0000-000006000000}">
      <text>
        <r>
          <rPr>
            <b/>
            <sz val="9"/>
            <rFont val="Tahoma"/>
            <charset val="134"/>
          </rPr>
          <t>End Date:</t>
        </r>
        <r>
          <rPr>
            <sz val="9"/>
            <rFont val="Tahoma"/>
            <charset val="134"/>
          </rPr>
          <t xml:space="preserve">
The End Date is calculated based on the Start Date and the Calendar Days columns.</t>
        </r>
      </text>
    </comment>
    <comment ref="G7" authorId="0" shapeId="0" xr:uid="{00000000-0006-0000-0000-00000700000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shapeId="0" xr:uid="{00000000-0006-0000-0000-000008000000}">
      <text>
        <r>
          <rPr>
            <b/>
            <sz val="9"/>
            <rFont val="Tahoma"/>
            <charset val="134"/>
          </rPr>
          <t>Percent Complete</t>
        </r>
        <r>
          <rPr>
            <sz val="9"/>
            <rFont val="Tahoma"/>
            <charset val="134"/>
          </rPr>
          <t xml:space="preserve">
Update the status of this task by entering the percent complete (between 0% and 100%).</t>
        </r>
      </text>
    </comment>
    <comment ref="I7" authorId="0" shapeId="0" xr:uid="{00000000-0006-0000-0000-00000900000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C16" authorId="0" shapeId="0" xr:uid="{00000000-0006-0000-0200-000001000000}">
      <text>
        <r>
          <rPr>
            <sz val="8"/>
            <rFont val="Tahoma"/>
            <charset val="134"/>
          </rPr>
          <t>This is an example comment.</t>
        </r>
      </text>
    </comment>
  </commentList>
</comments>
</file>

<file path=xl/sharedStrings.xml><?xml version="1.0" encoding="utf-8"?>
<sst xmlns="http://schemas.openxmlformats.org/spreadsheetml/2006/main" count="285" uniqueCount="212">
  <si>
    <t>RICEF BY LEUWITEX</t>
  </si>
  <si>
    <t xml:space="preserve">Project Start Date </t>
  </si>
  <si>
    <t xml:space="preserve">Display Week </t>
  </si>
  <si>
    <t xml:space="preserve">Project Lead </t>
  </si>
  <si>
    <t>Billy</t>
  </si>
  <si>
    <t>WBS</t>
  </si>
  <si>
    <t>TASK</t>
  </si>
  <si>
    <t>PIC</t>
  </si>
  <si>
    <t>PREDECESSOR</t>
  </si>
  <si>
    <t>START</t>
  </si>
  <si>
    <t>END</t>
  </si>
  <si>
    <t>DAYS</t>
  </si>
  <si>
    <t>% DONE</t>
  </si>
  <si>
    <t>WORK DAYS</t>
  </si>
  <si>
    <t>Baim, Budi</t>
  </si>
  <si>
    <t>Baim</t>
  </si>
  <si>
    <t>Budi</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</si>
  <si>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</si>
  <si>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</si>
  <si>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</si>
  <si>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</si>
  <si>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</si>
  <si>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</si>
  <si>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</si>
  <si>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</si>
  <si>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</si>
  <si>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</si>
  <si>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</si>
  <si>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</si>
  <si>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</si>
  <si>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</si>
  <si>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</si>
  <si>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</si>
  <si>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</si>
  <si>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</si>
  <si>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</si>
  <si>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</si>
  <si>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</si>
  <si>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</si>
  <si>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</si>
  <si>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</si>
  <si>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</si>
  <si>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</si>
  <si>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</si>
  <si>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</si>
  <si>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</si>
  <si>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</si>
  <si>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</si>
  <si>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</si>
  <si>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</si>
  <si>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</si>
  <si>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</si>
  <si>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</si>
  <si>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</si>
  <si>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</si>
  <si>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</si>
  <si>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</si>
  <si>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</si>
  <si>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</si>
  <si>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</si>
  <si>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</si>
  <si>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</si>
  <si>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</si>
  <si>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</si>
  <si>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</si>
  <si>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</si>
  <si>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</si>
  <si>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</si>
  <si>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</si>
  <si>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</si>
  <si>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</si>
  <si>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</si>
  <si>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</si>
  <si>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</si>
  <si>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</si>
  <si>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</si>
  <si>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</si>
  <si>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</si>
  <si>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</si>
  <si>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</si>
  <si>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</si>
  <si>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</si>
  <si>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</si>
  <si>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</si>
  <si>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</si>
  <si>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</si>
  <si>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</si>
  <si>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</si>
  <si>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</si>
  <si>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</si>
  <si>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</si>
  <si>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</si>
  <si>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</si>
  <si>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</si>
  <si>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</si>
  <si>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</si>
  <si>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</si>
  <si>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</si>
  <si>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</si>
  <si>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</si>
  <si>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</si>
  <si>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</si>
  <si>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</si>
  <si>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</si>
  <si>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</si>
  <si>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</si>
  <si>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</si>
  <si>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</si>
  <si>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</si>
  <si>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</si>
  <si>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</si>
  <si>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</si>
  <si>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</si>
  <si>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</si>
  <si>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</si>
  <si>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</si>
  <si>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</si>
  <si>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</si>
  <si>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</si>
  <si>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</si>
  <si>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</si>
  <si>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</si>
  <si>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</si>
  <si>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</si>
  <si>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</si>
  <si>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</si>
  <si>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</si>
  <si>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</si>
  <si>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</si>
  <si>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</si>
  <si>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</si>
  <si>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</si>
  <si>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</si>
  <si>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</si>
  <si>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</si>
  <si>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</si>
  <si>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</si>
  <si>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</si>
  <si>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</si>
  <si>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</si>
  <si>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</si>
  <si>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</si>
  <si>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</si>
  <si>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</si>
  <si>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</si>
  <si>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</si>
  <si>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</si>
  <si>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</si>
  <si>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</si>
  <si>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</si>
  <si>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</si>
  <si>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</si>
  <si>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</si>
  <si>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</si>
  <si>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</si>
  <si>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</si>
  <si>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</si>
  <si>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</si>
  <si>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</si>
  <si>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</si>
  <si>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</si>
  <si>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</si>
  <si>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</si>
  <si>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</si>
  <si>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</si>
  <si>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</si>
  <si>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</si>
  <si>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</si>
  <si>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</si>
  <si>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</si>
  <si>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</si>
  <si>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</si>
  <si>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</si>
  <si>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</si>
  <si>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</si>
  <si>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</si>
  <si>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</si>
  <si>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SAP API development</t>
  </si>
  <si>
    <t>DASHBOARD LAYOUT PER BIN</t>
  </si>
  <si>
    <t>BBK INTERN</t>
  </si>
  <si>
    <t>DETAIL LIST KARTON PER RAK</t>
  </si>
  <si>
    <t>LAPORAN GUDANG PACKING LEAD TIME</t>
  </si>
  <si>
    <t>LAPORAN PERSEDIAAN GUDANG PACKING</t>
  </si>
  <si>
    <t>INSTALL ECLIPSE, ADOBE LIFECYCLE DI PC</t>
  </si>
  <si>
    <t>TANYA2 KE SOLTIUS TENTANG SAP</t>
  </si>
  <si>
    <t>INTEGRASI API SAP KE PRINT BARCODE INTERNAL</t>
  </si>
  <si>
    <t>MAPPING IT INVENTORY</t>
  </si>
  <si>
    <t>INTEGRASI API SAP UNTUK BEA CUKAI</t>
  </si>
  <si>
    <t>LAPORAN SURAT JALAN (P)</t>
  </si>
  <si>
    <t>LAPORAN SURAT JALAN SLOC</t>
  </si>
  <si>
    <t>LIST KARTON PER KODE ORDER</t>
  </si>
  <si>
    <t>LIST STK INTERN DAN EXTERN</t>
  </si>
  <si>
    <t>MONITORING KAIN GREY</t>
  </si>
  <si>
    <t>MOVING HISTORY PER LIST KARTON</t>
  </si>
  <si>
    <t>MOVING HISTORY PER LIST BARCODE</t>
  </si>
  <si>
    <t>REPORT CANCEL KAIN KELUAR</t>
  </si>
  <si>
    <t>REPORT CANCEL KAIN MASUK</t>
  </si>
  <si>
    <t>REPORT COSTING</t>
  </si>
  <si>
    <t>REPORT PEMARTAIAN</t>
  </si>
  <si>
    <t>REPORT RESERVASI</t>
  </si>
  <si>
    <t>REPORT RESUME KODE PARTAI</t>
  </si>
  <si>
    <t>STK BLANK GD. PACKING</t>
  </si>
  <si>
    <t>STOCK BALANCE KAIN GREY</t>
  </si>
  <si>
    <t>STOCK GREY LEAD TIME PER GRADE</t>
  </si>
  <si>
    <t>STOCK KAIN GREY (GRADE)</t>
  </si>
  <si>
    <t>STOCK KAIN GREY (LW 22)</t>
  </si>
  <si>
    <t>STOCK KAIN PASIF (ALL AREA)</t>
  </si>
  <si>
    <t>STOCK LEADTIME</t>
  </si>
  <si>
    <t>STOCK PER BARCODE</t>
  </si>
  <si>
    <t>MOVING HISTORY - GUDANG GREY</t>
  </si>
  <si>
    <t>MAPPING TABEL TAMBAHAN BEA CUKAI</t>
  </si>
  <si>
    <t>BELAJAR MENDAFTARKAN API SAP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</si>
</sst>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dddd\)"/>
    <numFmt numFmtId="165" formatCode="ddd\ m/dd/yy"/>
    <numFmt numFmtId="166" formatCode="d\ mmm\ yyyy"/>
    <numFmt numFmtId="167" formatCode="d"/>
    <numFmt numFmtId="168" formatCode="ddd\ dd/m/yy"/>
  </numFmts>
  <fonts count="50">
    <font>
      <sz val="10"/>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9"/>
      <name val="Arial"/>
      <charset val="134"/>
      <scheme val="minor"/>
    </font>
    <font>
      <sz val="16"/>
      <color theme="4" tint="-0.249977111117893"/>
      <name val="Arial"/>
      <charset val="134"/>
      <scheme val="major"/>
    </font>
    <font>
      <sz val="14"/>
      <color indexed="56"/>
      <name val="Arial"/>
      <charset val="134"/>
    </font>
    <font>
      <sz val="11"/>
      <name val="Arial"/>
      <charset val="134"/>
      <scheme val="major"/>
    </font>
    <font>
      <sz val="9"/>
      <name val="Arial"/>
      <charset val="134"/>
    </font>
    <font>
      <u/>
      <sz val="8"/>
      <color indexed="12"/>
      <name val="Arial"/>
      <charset val="134"/>
    </font>
    <font>
      <sz val="7"/>
      <color indexed="55"/>
      <name val="Arial"/>
      <charset val="134"/>
    </font>
    <font>
      <sz val="10"/>
      <name val="Arial"/>
      <charset val="134"/>
      <scheme val="major"/>
    </font>
    <font>
      <sz val="10"/>
      <name val="Arial"/>
      <charset val="134"/>
      <scheme val="minor"/>
    </font>
    <font>
      <b/>
      <sz val="9"/>
      <name val="Arial"/>
      <charset val="134"/>
      <scheme val="major"/>
    </font>
    <font>
      <b/>
      <sz val="8"/>
      <name val="Arial"/>
      <charset val="134"/>
      <scheme val="major"/>
    </font>
    <font>
      <b/>
      <sz val="11"/>
      <name val="Arial"/>
      <charset val="134"/>
      <scheme val="minor"/>
    </font>
    <font>
      <sz val="9"/>
      <color rgb="FF000000"/>
      <name val="Arial"/>
      <charset val="134"/>
      <scheme val="minor"/>
    </font>
    <font>
      <i/>
      <sz val="8"/>
      <color theme="0" tint="-0.34998626667073579"/>
      <name val="Arial"/>
      <charset val="134"/>
    </font>
    <font>
      <u/>
      <sz val="10"/>
      <color indexed="12"/>
      <name val="Arial"/>
      <charset val="134"/>
    </font>
    <font>
      <sz val="11"/>
      <name val="Arial"/>
      <charset val="134"/>
      <scheme val="minor"/>
    </font>
    <font>
      <sz val="14"/>
      <name val="Arial"/>
      <charset val="134"/>
      <scheme val="minor"/>
    </font>
    <font>
      <sz val="14"/>
      <color rgb="FF000000"/>
      <name val="Arial"/>
      <charset val="134"/>
      <scheme val="minor"/>
    </font>
    <font>
      <sz val="11"/>
      <color indexed="8"/>
      <name val="Calibri"/>
      <charset val="134"/>
    </font>
    <font>
      <i/>
      <sz val="11"/>
      <name val="Arial"/>
      <charset val="134"/>
    </font>
    <font>
      <i/>
      <sz val="11"/>
      <color rgb="FF000000"/>
      <name val="Arial"/>
      <charset val="134"/>
    </font>
    <font>
      <b/>
      <sz val="11"/>
      <color rgb="FFFF0000"/>
      <name val="Arial"/>
      <charset val="134"/>
    </font>
    <font>
      <b/>
      <sz val="9"/>
      <name val="Tahoma"/>
      <charset val="134"/>
    </font>
    <font>
      <b/>
      <i/>
      <sz val="9"/>
      <name val="Tahoma"/>
      <charset val="134"/>
    </font>
    <font>
      <sz val="9"/>
      <name val="Tahoma"/>
      <charset val="134"/>
    </font>
    <font>
      <i/>
      <sz val="9"/>
      <name val="Tahoma"/>
      <charset val="134"/>
    </font>
    <font>
      <sz val="8"/>
      <name val="Tahoma"/>
      <charset val="134"/>
    </font>
    <font>
      <sz val="10"/>
      <name val="Arial"/>
      <charset val="134"/>
    </font>
    <font>
      <sz val="9"/>
      <name val="Arial"/>
      <family val="2"/>
      <scheme val="minor"/>
    </font>
    <font>
      <sz val="10"/>
      <name val="Arial"/>
      <family val="2"/>
      <scheme val="major"/>
    </font>
  </fonts>
  <fills count="8">
    <fill>
      <patternFill patternType="none"/>
    </fill>
    <fill>
      <patternFill patternType="gray125"/>
    </fill>
    <fill>
      <patternFill patternType="solid">
        <fgColor indexed="22"/>
        <bgColor indexed="64"/>
      </patternFill>
    </fill>
    <fill>
      <patternFill patternType="solid">
        <fgColor theme="3" tint="0.79992065187536243"/>
        <bgColor indexed="64"/>
      </patternFill>
    </fill>
    <fill>
      <patternFill patternType="solid">
        <fgColor theme="0" tint="-0.14993743705557422"/>
        <bgColor indexed="64"/>
      </patternFill>
    </fill>
    <fill>
      <patternFill patternType="solid">
        <fgColor indexed="9"/>
        <bgColor indexed="64"/>
      </patternFill>
    </fill>
    <fill>
      <patternFill patternType="solid">
        <fgColor theme="3" tint="0.79992065187536243"/>
        <bgColor rgb="FFD6F4D9"/>
      </patternFill>
    </fill>
    <fill>
      <patternFill patternType="solid">
        <fgColor theme="0"/>
        <bgColor indexed="64"/>
      </patternFill>
    </fill>
  </fills>
  <borders count="15">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style="thin">
        <color indexed="22"/>
      </top>
      <bottom style="thin">
        <color indexed="22"/>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right/>
      <top/>
      <bottom style="thin">
        <color indexed="22"/>
      </bottom>
      <diagonal/>
    </border>
    <border>
      <left/>
      <right/>
      <top style="thin">
        <color rgb="FFEFEFEF"/>
      </top>
      <bottom style="thin">
        <color rgb="FFEFEFEF"/>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diagonal/>
    </border>
    <border>
      <left style="thin">
        <color theme="0" tint="-0.24994659260841701"/>
      </left>
      <right style="medium">
        <color theme="0" tint="-0.24994659260841701"/>
      </right>
      <top/>
      <bottom style="medium">
        <color theme="0" tint="-0.34998626667073579"/>
      </bottom>
      <diagonal/>
    </border>
  </borders>
  <cellStyleXfs count="3">
    <xf numFmtId="0" fontId="0" fillId="0" borderId="0"/>
    <xf numFmtId="9" fontId="47" fillId="0" borderId="0" applyFont="0" applyFill="0" applyBorder="0" applyAlignment="0" applyProtection="0"/>
    <xf numFmtId="0" fontId="34" fillId="0" borderId="0" applyNumberFormat="0" applyFill="0" applyBorder="0" applyAlignment="0" applyProtection="0">
      <alignment vertical="top"/>
      <protection locked="0"/>
    </xf>
  </cellStyleXfs>
  <cellXfs count="114">
    <xf numFmtId="0" fontId="0" fillId="0" borderId="0" xfId="0"/>
    <xf numFmtId="0" fontId="1" fillId="0" borderId="0" xfId="0" applyFont="1" applyAlignment="1">
      <alignment horizontal="left" vertical="center"/>
    </xf>
    <xf numFmtId="0" fontId="2" fillId="0" borderId="0" xfId="0" applyFont="1" applyAlignment="1">
      <alignment horizontal="left" wrapText="1"/>
    </xf>
    <xf numFmtId="0" fontId="0" fillId="0" borderId="1" xfId="0" applyBorder="1"/>
    <xf numFmtId="0" fontId="2" fillId="0" borderId="1" xfId="0" applyFont="1" applyBorder="1" applyAlignment="1">
      <alignment horizontal="left" wrapText="1"/>
    </xf>
    <xf numFmtId="0" fontId="0" fillId="0" borderId="2" xfId="0" applyBorder="1"/>
    <xf numFmtId="0" fontId="3" fillId="0" borderId="1" xfId="2" applyFont="1" applyBorder="1" applyAlignment="1" applyProtection="1">
      <alignment wrapText="1"/>
    </xf>
    <xf numFmtId="0" fontId="2" fillId="0" borderId="2" xfId="0" applyFont="1" applyBorder="1" applyAlignment="1">
      <alignment horizontal="left" wrapText="1"/>
    </xf>
    <xf numFmtId="0" fontId="4" fillId="0" borderId="2" xfId="0" applyFont="1" applyBorder="1" applyAlignment="1">
      <alignment horizontal="left" wrapText="1"/>
    </xf>
    <xf numFmtId="0" fontId="5" fillId="0" borderId="2" xfId="2" applyFont="1" applyBorder="1" applyAlignment="1" applyProtection="1">
      <alignment horizontal="left" wrapText="1"/>
    </xf>
    <xf numFmtId="0" fontId="2" fillId="0" borderId="2" xfId="0" applyFont="1" applyBorder="1" applyAlignment="1">
      <alignment horizontal="left"/>
    </xf>
    <xf numFmtId="0" fontId="0" fillId="0" borderId="0" xfId="0" applyAlignment="1">
      <alignment vertical="center"/>
    </xf>
    <xf numFmtId="0" fontId="6" fillId="0" borderId="0" xfId="0" applyFont="1" applyAlignment="1">
      <alignment horizontal="left" vertical="center"/>
    </xf>
    <xf numFmtId="0" fontId="3" fillId="0" borderId="0" xfId="2" applyFont="1" applyAlignment="1" applyProtection="1"/>
    <xf numFmtId="0" fontId="7" fillId="0" borderId="0" xfId="0" applyFont="1" applyAlignment="1">
      <alignment horizontal="right"/>
    </xf>
    <xf numFmtId="0" fontId="8" fillId="0" borderId="0" xfId="0" applyFont="1"/>
    <xf numFmtId="0" fontId="9" fillId="0" borderId="0" xfId="0" applyFont="1"/>
    <xf numFmtId="0" fontId="10" fillId="0" borderId="0" xfId="0" applyFont="1" applyAlignment="1">
      <alignment horizontal="left" wrapText="1"/>
    </xf>
    <xf numFmtId="0" fontId="10" fillId="0" borderId="0" xfId="0" applyFont="1" applyAlignment="1">
      <alignment wrapText="1"/>
    </xf>
    <xf numFmtId="0" fontId="11" fillId="0" borderId="0" xfId="0" applyFont="1" applyAlignment="1">
      <alignment vertical="center"/>
    </xf>
    <xf numFmtId="0" fontId="10" fillId="0" borderId="0" xfId="0" applyFont="1" applyAlignment="1">
      <alignment vertical="center" wrapText="1"/>
    </xf>
    <xf numFmtId="0" fontId="0" fillId="2" borderId="0" xfId="0" applyFill="1" applyAlignment="1">
      <alignment horizontal="center" vertical="center"/>
    </xf>
    <xf numFmtId="0" fontId="11" fillId="0" borderId="0" xfId="0" applyFont="1"/>
    <xf numFmtId="0" fontId="0" fillId="3" borderId="0" xfId="0" applyFill="1" applyAlignment="1">
      <alignment horizontal="center" vertical="center"/>
    </xf>
    <xf numFmtId="0" fontId="12" fillId="0" borderId="0" xfId="0" applyFont="1" applyAlignment="1">
      <alignment vertical="center" wrapText="1"/>
    </xf>
    <xf numFmtId="0" fontId="13" fillId="0" borderId="0" xfId="0" applyFont="1"/>
    <xf numFmtId="0" fontId="14" fillId="0" borderId="0" xfId="0" applyFont="1"/>
    <xf numFmtId="0" fontId="3" fillId="0" borderId="0" xfId="2" applyFont="1" applyFill="1" applyBorder="1" applyAlignment="1" applyProtection="1">
      <alignment vertical="center"/>
    </xf>
    <xf numFmtId="0" fontId="7" fillId="0" borderId="0" xfId="0" applyFont="1" applyAlignment="1">
      <alignment wrapText="1"/>
    </xf>
    <xf numFmtId="0" fontId="15" fillId="0" borderId="0" xfId="0" applyFont="1" applyAlignment="1">
      <alignment horizontal="right"/>
    </xf>
    <xf numFmtId="0" fontId="10" fillId="0" borderId="0" xfId="0" applyFont="1"/>
    <xf numFmtId="0" fontId="0" fillId="0" borderId="0" xfId="0" applyAlignment="1">
      <alignment horizontal="left" wrapText="1" indent="1"/>
    </xf>
    <xf numFmtId="0" fontId="14" fillId="0" borderId="0" xfId="0" applyFont="1" applyAlignment="1">
      <alignment horizontal="right"/>
    </xf>
    <xf numFmtId="0" fontId="16" fillId="0" borderId="0" xfId="0" applyFont="1" applyAlignment="1">
      <alignment vertical="center" wrapText="1"/>
    </xf>
    <xf numFmtId="0" fontId="10" fillId="0" borderId="0" xfId="0" applyFont="1" applyAlignment="1">
      <alignment horizontal="left" vertical="center" wrapText="1"/>
    </xf>
    <xf numFmtId="0" fontId="10" fillId="0" borderId="0" xfId="0" applyFont="1" applyAlignment="1">
      <alignment horizontal="left" indent="1"/>
    </xf>
    <xf numFmtId="0" fontId="16" fillId="0" borderId="0" xfId="0" applyFont="1"/>
    <xf numFmtId="0" fontId="15" fillId="0" borderId="0" xfId="0" applyFont="1" applyAlignment="1">
      <alignment horizontal="left" wrapText="1"/>
    </xf>
    <xf numFmtId="0" fontId="17" fillId="0" borderId="0" xfId="0" applyFont="1" applyAlignment="1">
      <alignment horizontal="left" indent="1"/>
    </xf>
    <xf numFmtId="0" fontId="7" fillId="0" borderId="0" xfId="0" applyFont="1" applyAlignment="1">
      <alignment horizontal="left" vertical="center"/>
    </xf>
    <xf numFmtId="0" fontId="1" fillId="0" borderId="0" xfId="0" applyFont="1" applyAlignment="1">
      <alignment vertical="center"/>
    </xf>
    <xf numFmtId="0" fontId="18" fillId="0" borderId="0" xfId="2" applyFont="1" applyAlignment="1" applyProtection="1"/>
    <xf numFmtId="0" fontId="19" fillId="0" borderId="0" xfId="0" applyFont="1"/>
    <xf numFmtId="0" fontId="17" fillId="0" borderId="0" xfId="0" applyFont="1"/>
    <xf numFmtId="0" fontId="20" fillId="4" borderId="3" xfId="0" applyFont="1" applyFill="1" applyBorder="1" applyAlignment="1">
      <alignment vertical="center"/>
    </xf>
    <xf numFmtId="0" fontId="20" fillId="0" borderId="3" xfId="0" applyFont="1" applyBorder="1" applyAlignment="1">
      <alignment vertical="center"/>
    </xf>
    <xf numFmtId="0" fontId="21" fillId="0" borderId="0" xfId="0" applyFont="1" applyAlignment="1" applyProtection="1">
      <alignment vertical="center"/>
      <protection locked="0"/>
    </xf>
    <xf numFmtId="0" fontId="22" fillId="0" borderId="0" xfId="0" applyFont="1" applyAlignment="1" applyProtection="1">
      <alignment vertical="center"/>
      <protection locked="0"/>
    </xf>
    <xf numFmtId="0" fontId="23" fillId="0" borderId="0" xfId="0" applyFont="1" applyAlignment="1" applyProtection="1">
      <alignment vertical="center"/>
      <protection locked="0"/>
    </xf>
    <xf numFmtId="0" fontId="24" fillId="0" borderId="0" xfId="0" applyFont="1" applyProtection="1">
      <protection locked="0"/>
    </xf>
    <xf numFmtId="0" fontId="25" fillId="5" borderId="0" xfId="2" applyNumberFormat="1" applyFont="1" applyFill="1" applyAlignment="1" applyProtection="1">
      <alignment horizontal="right"/>
      <protection locked="0"/>
    </xf>
    <xf numFmtId="0" fontId="26" fillId="0" borderId="0" xfId="0" applyFont="1" applyProtection="1">
      <protection locked="0"/>
    </xf>
    <xf numFmtId="0" fontId="0" fillId="5" borderId="0" xfId="0" applyFill="1"/>
    <xf numFmtId="0" fontId="27" fillId="0" borderId="0" xfId="0" applyFont="1"/>
    <xf numFmtId="0" fontId="27" fillId="0" borderId="0" xfId="0" applyFont="1" applyAlignment="1">
      <alignment horizontal="right" vertical="center"/>
    </xf>
    <xf numFmtId="0" fontId="28" fillId="0" borderId="4" xfId="0" applyFont="1" applyBorder="1" applyAlignment="1" applyProtection="1">
      <alignment horizontal="center" vertical="center"/>
      <protection locked="0"/>
    </xf>
    <xf numFmtId="0" fontId="29" fillId="0" borderId="6" xfId="0" applyFont="1" applyBorder="1" applyAlignment="1">
      <alignment horizontal="left" vertical="center"/>
    </xf>
    <xf numFmtId="0" fontId="29" fillId="0" borderId="6" xfId="0" applyFont="1" applyBorder="1" applyAlignment="1">
      <alignment horizontal="center" vertical="center" wrapText="1"/>
    </xf>
    <xf numFmtId="0" fontId="30" fillId="0" borderId="6" xfId="0" applyFont="1" applyBorder="1" applyAlignment="1">
      <alignment horizontal="center" vertical="center" wrapText="1"/>
    </xf>
    <xf numFmtId="0" fontId="29" fillId="0" borderId="6" xfId="0" applyFont="1" applyBorder="1" applyAlignment="1">
      <alignment horizontal="center" vertical="center"/>
    </xf>
    <xf numFmtId="0" fontId="31" fillId="4" borderId="7" xfId="0" applyFont="1" applyFill="1" applyBorder="1" applyAlignment="1">
      <alignment horizontal="left" vertical="center"/>
    </xf>
    <xf numFmtId="0" fontId="31" fillId="4" borderId="7" xfId="0" applyFont="1" applyFill="1" applyBorder="1" applyAlignment="1">
      <alignment vertical="center"/>
    </xf>
    <xf numFmtId="0" fontId="20" fillId="4" borderId="7" xfId="0" applyFont="1" applyFill="1" applyBorder="1" applyAlignment="1">
      <alignment vertical="center"/>
    </xf>
    <xf numFmtId="0" fontId="20" fillId="4" borderId="7" xfId="0" applyFont="1" applyFill="1" applyBorder="1" applyAlignment="1">
      <alignment horizontal="center" vertical="center"/>
    </xf>
    <xf numFmtId="1" fontId="20" fillId="4" borderId="7" xfId="1" applyNumberFormat="1" applyFont="1" applyFill="1" applyBorder="1" applyAlignment="1" applyProtection="1">
      <alignment horizontal="center" vertical="center"/>
    </xf>
    <xf numFmtId="9" fontId="20" fillId="4" borderId="7" xfId="1" applyFont="1" applyFill="1" applyBorder="1" applyAlignment="1" applyProtection="1">
      <alignment horizontal="center" vertical="center"/>
    </xf>
    <xf numFmtId="0" fontId="20" fillId="0" borderId="3" xfId="0" applyFont="1" applyBorder="1" applyAlignment="1">
      <alignment horizontal="left" vertical="center"/>
    </xf>
    <xf numFmtId="0" fontId="20" fillId="0" borderId="3" xfId="0" applyFont="1" applyBorder="1" applyAlignment="1">
      <alignment vertical="center" wrapText="1"/>
    </xf>
    <xf numFmtId="0" fontId="32" fillId="0" borderId="8" xfId="0" applyFont="1" applyBorder="1" applyAlignment="1">
      <alignment horizontal="center" vertical="center"/>
    </xf>
    <xf numFmtId="165" fontId="32" fillId="6" borderId="8" xfId="0" applyNumberFormat="1" applyFont="1" applyFill="1" applyBorder="1" applyAlignment="1">
      <alignment horizontal="center" vertical="center"/>
    </xf>
    <xf numFmtId="165" fontId="32" fillId="0" borderId="8" xfId="0" applyNumberFormat="1" applyFont="1" applyBorder="1" applyAlignment="1">
      <alignment horizontal="center" vertical="center"/>
    </xf>
    <xf numFmtId="1" fontId="32" fillId="3" borderId="8" xfId="0" applyNumberFormat="1" applyFont="1" applyFill="1" applyBorder="1" applyAlignment="1">
      <alignment horizontal="center" vertical="center"/>
    </xf>
    <xf numFmtId="9" fontId="32" fillId="3" borderId="8" xfId="1" applyFont="1" applyFill="1" applyBorder="1" applyAlignment="1" applyProtection="1">
      <alignment horizontal="center" vertical="center"/>
    </xf>
    <xf numFmtId="0" fontId="31" fillId="4" borderId="3" xfId="0" applyFont="1" applyFill="1" applyBorder="1" applyAlignment="1">
      <alignment horizontal="left" vertical="center"/>
    </xf>
    <xf numFmtId="0" fontId="31" fillId="4" borderId="3" xfId="0" applyFont="1" applyFill="1" applyBorder="1" applyAlignment="1">
      <alignment vertical="center"/>
    </xf>
    <xf numFmtId="0" fontId="20" fillId="4" borderId="3" xfId="0" applyFont="1" applyFill="1" applyBorder="1" applyAlignment="1">
      <alignment horizontal="center" vertical="center"/>
    </xf>
    <xf numFmtId="165" fontId="20" fillId="4" borderId="3" xfId="0" applyNumberFormat="1" applyFont="1" applyFill="1" applyBorder="1" applyAlignment="1">
      <alignment horizontal="center" vertical="center"/>
    </xf>
    <xf numFmtId="1" fontId="20" fillId="4" borderId="3" xfId="1" applyNumberFormat="1" applyFont="1" applyFill="1" applyBorder="1" applyAlignment="1" applyProtection="1">
      <alignment horizontal="center" vertical="center"/>
    </xf>
    <xf numFmtId="9" fontId="20" fillId="4" borderId="3" xfId="1" applyFont="1" applyFill="1" applyBorder="1" applyAlignment="1" applyProtection="1">
      <alignment horizontal="center" vertical="center"/>
    </xf>
    <xf numFmtId="0" fontId="0" fillId="0" borderId="0" xfId="0" applyAlignment="1">
      <alignment horizontal="right" vertical="center"/>
    </xf>
    <xf numFmtId="0" fontId="34" fillId="0" borderId="0" xfId="2" applyAlignment="1" applyProtection="1">
      <alignment horizontal="left"/>
    </xf>
    <xf numFmtId="167" fontId="7" fillId="0" borderId="9" xfId="0" applyNumberFormat="1" applyFont="1" applyBorder="1" applyAlignment="1">
      <alignment horizontal="center" vertical="center" shrinkToFit="1"/>
    </xf>
    <xf numFmtId="167" fontId="7" fillId="0" borderId="10" xfId="0" applyNumberFormat="1" applyFont="1" applyBorder="1" applyAlignment="1">
      <alignment horizontal="center" vertical="center" shrinkToFit="1"/>
    </xf>
    <xf numFmtId="0" fontId="20" fillId="0" borderId="11" xfId="0" applyFont="1" applyBorder="1" applyAlignment="1">
      <alignment horizontal="center" vertical="center" shrinkToFit="1"/>
    </xf>
    <xf numFmtId="0" fontId="20" fillId="0" borderId="12" xfId="0" applyFont="1" applyBorder="1" applyAlignment="1">
      <alignment horizontal="center" vertical="center" shrinkToFit="1"/>
    </xf>
    <xf numFmtId="1" fontId="20" fillId="4" borderId="7" xfId="0" applyNumberFormat="1" applyFont="1" applyFill="1" applyBorder="1" applyAlignment="1">
      <alignment horizontal="center" vertical="center"/>
    </xf>
    <xf numFmtId="1" fontId="36" fillId="4" borderId="7" xfId="0" applyNumberFormat="1" applyFont="1" applyFill="1" applyBorder="1" applyAlignment="1">
      <alignment horizontal="center" vertical="center"/>
    </xf>
    <xf numFmtId="0" fontId="20" fillId="4" borderId="7" xfId="0" applyFont="1" applyFill="1" applyBorder="1" applyAlignment="1">
      <alignment horizontal="left" vertical="center"/>
    </xf>
    <xf numFmtId="1" fontId="32" fillId="0" borderId="8" xfId="0" applyNumberFormat="1" applyFont="1" applyBorder="1" applyAlignment="1">
      <alignment horizontal="center" vertical="center"/>
    </xf>
    <xf numFmtId="1" fontId="37" fillId="0" borderId="8" xfId="0" applyNumberFormat="1" applyFont="1" applyBorder="1" applyAlignment="1">
      <alignment horizontal="center" vertical="center"/>
    </xf>
    <xf numFmtId="1" fontId="20" fillId="4" borderId="3" xfId="0" applyNumberFormat="1" applyFont="1" applyFill="1" applyBorder="1" applyAlignment="1">
      <alignment horizontal="center" vertical="center"/>
    </xf>
    <xf numFmtId="1" fontId="36" fillId="4" borderId="3" xfId="0" applyNumberFormat="1" applyFont="1" applyFill="1" applyBorder="1" applyAlignment="1">
      <alignment horizontal="center" vertical="center"/>
    </xf>
    <xf numFmtId="0" fontId="20" fillId="4" borderId="3" xfId="0" applyFont="1" applyFill="1" applyBorder="1" applyAlignment="1">
      <alignment horizontal="left" vertical="center"/>
    </xf>
    <xf numFmtId="167" fontId="7" fillId="0" borderId="13" xfId="0" applyNumberFormat="1" applyFont="1" applyBorder="1" applyAlignment="1">
      <alignment horizontal="center" vertical="center" shrinkToFit="1"/>
    </xf>
    <xf numFmtId="0" fontId="20" fillId="0" borderId="14" xfId="0" applyFont="1" applyBorder="1" applyAlignment="1">
      <alignment horizontal="center" vertical="center" shrinkToFit="1"/>
    </xf>
    <xf numFmtId="0" fontId="38" fillId="0" borderId="0" xfId="0" applyFont="1" applyAlignment="1">
      <alignment vertical="center" wrapText="1"/>
    </xf>
    <xf numFmtId="0" fontId="10" fillId="0" borderId="0" xfId="0" quotePrefix="1" applyFont="1" applyAlignment="1">
      <alignment horizontal="left" wrapText="1" indent="1"/>
    </xf>
    <xf numFmtId="0" fontId="10" fillId="0" borderId="0" xfId="0" quotePrefix="1" applyFont="1" applyAlignment="1">
      <alignment wrapText="1"/>
    </xf>
    <xf numFmtId="0" fontId="20" fillId="0" borderId="7" xfId="0" applyFont="1" applyBorder="1" applyAlignment="1">
      <alignment vertical="center" wrapText="1"/>
    </xf>
    <xf numFmtId="0" fontId="48" fillId="0" borderId="3" xfId="0" applyFont="1" applyBorder="1" applyAlignment="1">
      <alignment vertical="center" wrapText="1"/>
    </xf>
    <xf numFmtId="49" fontId="49" fillId="7" borderId="0" xfId="0" applyNumberFormat="1" applyFont="1" applyFill="1" applyAlignment="1">
      <alignment horizontal="left" vertical="center" wrapText="1"/>
    </xf>
    <xf numFmtId="0" fontId="33" fillId="0" borderId="0" xfId="2" applyFont="1" applyBorder="1" applyAlignment="1" applyProtection="1">
      <alignment horizontal="left" vertical="center"/>
    </xf>
    <xf numFmtId="164" fontId="28" fillId="0" borderId="4" xfId="0" applyNumberFormat="1" applyFont="1" applyBorder="1" applyAlignment="1" applyProtection="1">
      <alignment horizontal="center" vertical="center" shrinkToFit="1"/>
      <protection locked="0"/>
    </xf>
    <xf numFmtId="0" fontId="35" fillId="0" borderId="9" xfId="0" applyFont="1" applyBorder="1" applyAlignment="1">
      <alignment horizontal="center" vertical="center"/>
    </xf>
    <xf numFmtId="0" fontId="35" fillId="0" borderId="10" xfId="0" applyFont="1" applyBorder="1" applyAlignment="1">
      <alignment horizontal="center" vertical="center"/>
    </xf>
    <xf numFmtId="0" fontId="35" fillId="0" borderId="13" xfId="0" applyFont="1" applyBorder="1" applyAlignment="1">
      <alignment horizontal="center" vertical="center"/>
    </xf>
    <xf numFmtId="166" fontId="28" fillId="0" borderId="9" xfId="0" applyNumberFormat="1" applyFont="1" applyBorder="1" applyAlignment="1">
      <alignment horizontal="center" vertical="center"/>
    </xf>
    <xf numFmtId="166" fontId="28" fillId="0" borderId="10" xfId="0" applyNumberFormat="1" applyFont="1" applyBorder="1" applyAlignment="1">
      <alignment horizontal="center" vertical="center"/>
    </xf>
    <xf numFmtId="166" fontId="28" fillId="0" borderId="13" xfId="0" applyNumberFormat="1" applyFont="1" applyBorder="1" applyAlignment="1">
      <alignment horizontal="center" vertical="center"/>
    </xf>
    <xf numFmtId="164" fontId="28" fillId="0" borderId="5" xfId="0" applyNumberFormat="1" applyFont="1" applyBorder="1" applyAlignment="1" applyProtection="1">
      <alignment horizontal="center" vertical="center" shrinkToFit="1"/>
      <protection locked="0"/>
    </xf>
    <xf numFmtId="0" fontId="8" fillId="0" borderId="0" xfId="0" applyFont="1" applyAlignment="1">
      <alignment horizontal="left"/>
    </xf>
    <xf numFmtId="168" fontId="20" fillId="4" borderId="7" xfId="0" applyNumberFormat="1" applyFont="1" applyFill="1" applyBorder="1" applyAlignment="1">
      <alignment horizontal="right" vertical="center"/>
    </xf>
    <xf numFmtId="168" fontId="20" fillId="4" borderId="7" xfId="0" applyNumberFormat="1" applyFont="1" applyFill="1" applyBorder="1" applyAlignment="1">
      <alignment horizontal="center" vertical="center"/>
    </xf>
    <xf numFmtId="0" fontId="48" fillId="0" borderId="3" xfId="0" applyFont="1" applyBorder="1" applyAlignment="1">
      <alignment vertical="center"/>
    </xf>
  </cellXfs>
  <cellStyles count="3">
    <cellStyle name="Hyperlink" xfId="2" builtinId="8"/>
    <cellStyle name="Normal" xfId="0" builtinId="0"/>
    <cellStyle name="Percent" xfId="1" builtinId="5"/>
  </cellStyles>
  <dxfs count="4">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809625</xdr:colOff>
      <xdr:row>5</xdr:row>
      <xdr:rowOff>142875</xdr:rowOff>
    </xdr:from>
    <xdr:to>
      <xdr:col>7</xdr:col>
      <xdr:colOff>400050</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101"/>
  <sheetViews>
    <sheetView showGridLines="0" tabSelected="1" workbookViewId="0">
      <pane ySplit="7" topLeftCell="A23" activePane="bottomLeft" state="frozen"/>
      <selection pane="bottomLeft" activeCell="E43" sqref="E43"/>
    </sheetView>
  </sheetViews>
  <sheetFormatPr defaultColWidth="9.140625" defaultRowHeight="12.75"/>
  <cols>
    <col min="1" max="1" width="6.85546875" customWidth="1"/>
    <col min="2" max="2" width="55.28515625" customWidth="1"/>
    <col min="3" max="3" width="13.42578125" customWidth="1"/>
    <col min="4" max="4" width="14" customWidth="1"/>
    <col min="5" max="6" width="12" customWidth="1"/>
    <col min="7" max="7" width="6" customWidth="1"/>
    <col min="8" max="8" width="6.7109375" customWidth="1"/>
    <col min="9" max="9" width="6.42578125" customWidth="1"/>
    <col min="10" max="10" width="1.85546875" customWidth="1"/>
    <col min="11" max="66" width="2.42578125" customWidth="1"/>
  </cols>
  <sheetData>
    <row r="1" spans="1:66" ht="30" customHeight="1">
      <c r="A1" s="46" t="s">
        <v>0</v>
      </c>
      <c r="B1" s="47"/>
      <c r="C1" s="47"/>
      <c r="D1" s="47"/>
      <c r="E1" s="47"/>
      <c r="F1" s="47"/>
      <c r="I1" s="79"/>
      <c r="K1" s="101"/>
      <c r="L1" s="101"/>
      <c r="M1" s="101"/>
      <c r="N1" s="101"/>
      <c r="O1" s="101"/>
      <c r="P1" s="101"/>
      <c r="Q1" s="101"/>
      <c r="R1" s="101"/>
      <c r="S1" s="101"/>
      <c r="T1" s="101"/>
      <c r="U1" s="101"/>
      <c r="V1" s="101"/>
      <c r="W1" s="101"/>
      <c r="X1" s="101"/>
      <c r="Y1" s="101"/>
      <c r="Z1" s="101"/>
      <c r="AA1" s="101"/>
      <c r="AB1" s="101"/>
      <c r="AC1" s="101"/>
      <c r="AD1" s="101"/>
      <c r="AE1" s="101"/>
    </row>
    <row r="2" spans="1:66" ht="18" customHeight="1">
      <c r="A2" s="48"/>
      <c r="B2" s="49"/>
      <c r="C2" s="49"/>
      <c r="D2" s="50"/>
      <c r="E2" s="51"/>
      <c r="F2" s="51"/>
      <c r="H2" s="52"/>
    </row>
    <row r="3" spans="1:66" ht="14.25">
      <c r="A3" s="48"/>
      <c r="H3" s="52"/>
      <c r="K3" s="80"/>
      <c r="L3" s="80"/>
      <c r="M3" s="80"/>
      <c r="N3" s="80"/>
      <c r="O3" s="80"/>
      <c r="P3" s="80"/>
      <c r="Q3" s="80"/>
      <c r="R3" s="80"/>
      <c r="S3" s="80"/>
      <c r="T3" s="80"/>
      <c r="U3" s="80"/>
      <c r="V3" s="80"/>
      <c r="W3" s="80"/>
      <c r="X3" s="80"/>
      <c r="Y3" s="80"/>
      <c r="Z3" s="80"/>
      <c r="AA3" s="80"/>
    </row>
    <row r="4" spans="1:66" ht="17.25" customHeight="1">
      <c r="A4" s="53"/>
      <c r="B4" s="54" t="s">
        <v>1</v>
      </c>
      <c r="C4" s="102">
        <v>45986</v>
      </c>
      <c r="D4" s="102"/>
      <c r="E4" s="102"/>
      <c r="F4" s="53"/>
      <c r="G4" s="54" t="s">
        <v>2</v>
      </c>
      <c r="H4" s="55">
        <v>1</v>
      </c>
      <c r="J4" s="53"/>
      <c r="K4" s="103" t="str">
        <f>"Week "&amp;(K6-($C$4-WEEKDAY($C$4,1)+2))/7+1</f>
        <v>Week 1</v>
      </c>
      <c r="L4" s="104"/>
      <c r="M4" s="104"/>
      <c r="N4" s="104"/>
      <c r="O4" s="104"/>
      <c r="P4" s="104"/>
      <c r="Q4" s="105"/>
      <c r="R4" s="103" t="str">
        <f>"Week "&amp;(R6-($C$4-WEEKDAY($C$4,1)+2))/7+1</f>
        <v>Week 2</v>
      </c>
      <c r="S4" s="104"/>
      <c r="T4" s="104"/>
      <c r="U4" s="104"/>
      <c r="V4" s="104"/>
      <c r="W4" s="104"/>
      <c r="X4" s="105"/>
      <c r="Y4" s="103" t="str">
        <f>"Week "&amp;(Y6-($C$4-WEEKDAY($C$4,1)+2))/7+1</f>
        <v>Week 3</v>
      </c>
      <c r="Z4" s="104"/>
      <c r="AA4" s="104"/>
      <c r="AB4" s="104"/>
      <c r="AC4" s="104"/>
      <c r="AD4" s="104"/>
      <c r="AE4" s="105"/>
      <c r="AF4" s="103" t="str">
        <f>"Week "&amp;(AF6-($C$4-WEEKDAY($C$4,1)+2))/7+1</f>
        <v>Week 4</v>
      </c>
      <c r="AG4" s="104"/>
      <c r="AH4" s="104"/>
      <c r="AI4" s="104"/>
      <c r="AJ4" s="104"/>
      <c r="AK4" s="104"/>
      <c r="AL4" s="105"/>
      <c r="AM4" s="103" t="str">
        <f>"Week "&amp;(AM6-($C$4-WEEKDAY($C$4,1)+2))/7+1</f>
        <v>Week 5</v>
      </c>
      <c r="AN4" s="104"/>
      <c r="AO4" s="104"/>
      <c r="AP4" s="104"/>
      <c r="AQ4" s="104"/>
      <c r="AR4" s="104"/>
      <c r="AS4" s="105"/>
      <c r="AT4" s="103" t="str">
        <f>"Week "&amp;(AT6-($C$4-WEEKDAY($C$4,1)+2))/7+1</f>
        <v>Week 6</v>
      </c>
      <c r="AU4" s="104"/>
      <c r="AV4" s="104"/>
      <c r="AW4" s="104"/>
      <c r="AX4" s="104"/>
      <c r="AY4" s="104"/>
      <c r="AZ4" s="105"/>
      <c r="BA4" s="103" t="str">
        <f>"Week "&amp;(BA6-($C$4-WEEKDAY($C$4,1)+2))/7+1</f>
        <v>Week 7</v>
      </c>
      <c r="BB4" s="104"/>
      <c r="BC4" s="104"/>
      <c r="BD4" s="104"/>
      <c r="BE4" s="104"/>
      <c r="BF4" s="104"/>
      <c r="BG4" s="105"/>
      <c r="BH4" s="103" t="str">
        <f>"Week "&amp;(BH6-($C$4-WEEKDAY($C$4,1)+2))/7+1</f>
        <v>Week 8</v>
      </c>
      <c r="BI4" s="104"/>
      <c r="BJ4" s="104"/>
      <c r="BK4" s="104"/>
      <c r="BL4" s="104"/>
      <c r="BM4" s="104"/>
      <c r="BN4" s="105"/>
    </row>
    <row r="5" spans="1:66" ht="17.25" customHeight="1">
      <c r="A5" s="53"/>
      <c r="B5" s="54" t="s">
        <v>3</v>
      </c>
      <c r="C5" s="109" t="s">
        <v>4</v>
      </c>
      <c r="D5" s="109"/>
      <c r="E5" s="109"/>
      <c r="F5" s="53"/>
      <c r="G5" s="53"/>
      <c r="H5" s="53"/>
      <c r="I5" s="53"/>
      <c r="J5" s="53"/>
      <c r="K5" s="106">
        <f>K6</f>
        <v>45985</v>
      </c>
      <c r="L5" s="107"/>
      <c r="M5" s="107"/>
      <c r="N5" s="107"/>
      <c r="O5" s="107"/>
      <c r="P5" s="107"/>
      <c r="Q5" s="108"/>
      <c r="R5" s="106">
        <f>R6</f>
        <v>45992</v>
      </c>
      <c r="S5" s="107"/>
      <c r="T5" s="107"/>
      <c r="U5" s="107"/>
      <c r="V5" s="107"/>
      <c r="W5" s="107"/>
      <c r="X5" s="108"/>
      <c r="Y5" s="106">
        <f>Y6</f>
        <v>45999</v>
      </c>
      <c r="Z5" s="107"/>
      <c r="AA5" s="107"/>
      <c r="AB5" s="107"/>
      <c r="AC5" s="107"/>
      <c r="AD5" s="107"/>
      <c r="AE5" s="108"/>
      <c r="AF5" s="106">
        <f>AF6</f>
        <v>46006</v>
      </c>
      <c r="AG5" s="107"/>
      <c r="AH5" s="107"/>
      <c r="AI5" s="107"/>
      <c r="AJ5" s="107"/>
      <c r="AK5" s="107"/>
      <c r="AL5" s="108"/>
      <c r="AM5" s="106">
        <f>AM6</f>
        <v>46013</v>
      </c>
      <c r="AN5" s="107"/>
      <c r="AO5" s="107"/>
      <c r="AP5" s="107"/>
      <c r="AQ5" s="107"/>
      <c r="AR5" s="107"/>
      <c r="AS5" s="108"/>
      <c r="AT5" s="106">
        <f>AT6</f>
        <v>46020</v>
      </c>
      <c r="AU5" s="107"/>
      <c r="AV5" s="107"/>
      <c r="AW5" s="107"/>
      <c r="AX5" s="107"/>
      <c r="AY5" s="107"/>
      <c r="AZ5" s="108"/>
      <c r="BA5" s="106">
        <f>BA6</f>
        <v>46027</v>
      </c>
      <c r="BB5" s="107"/>
      <c r="BC5" s="107"/>
      <c r="BD5" s="107"/>
      <c r="BE5" s="107"/>
      <c r="BF5" s="107"/>
      <c r="BG5" s="108"/>
      <c r="BH5" s="106">
        <f>BH6</f>
        <v>46034</v>
      </c>
      <c r="BI5" s="107"/>
      <c r="BJ5" s="107"/>
      <c r="BK5" s="107"/>
      <c r="BL5" s="107"/>
      <c r="BM5" s="107"/>
      <c r="BN5" s="108"/>
    </row>
    <row r="6" spans="1:66">
      <c r="A6" s="53"/>
      <c r="B6" s="53"/>
      <c r="C6" s="53"/>
      <c r="D6" s="53"/>
      <c r="E6" s="53"/>
      <c r="F6" s="53"/>
      <c r="G6" s="53"/>
      <c r="H6" s="53"/>
      <c r="I6" s="53"/>
      <c r="J6" s="53"/>
      <c r="K6" s="81">
        <f>C4-WEEKDAY(C4,1)+2+7*(H4-1)</f>
        <v>45985</v>
      </c>
      <c r="L6" s="82">
        <f t="shared" ref="L6:AQ6" si="0">K6+1</f>
        <v>45986</v>
      </c>
      <c r="M6" s="82">
        <f t="shared" si="0"/>
        <v>45987</v>
      </c>
      <c r="N6" s="82">
        <f t="shared" si="0"/>
        <v>45988</v>
      </c>
      <c r="O6" s="82">
        <f t="shared" si="0"/>
        <v>45989</v>
      </c>
      <c r="P6" s="82">
        <f t="shared" si="0"/>
        <v>45990</v>
      </c>
      <c r="Q6" s="93">
        <f t="shared" si="0"/>
        <v>45991</v>
      </c>
      <c r="R6" s="81">
        <f t="shared" si="0"/>
        <v>45992</v>
      </c>
      <c r="S6" s="82">
        <f t="shared" si="0"/>
        <v>45993</v>
      </c>
      <c r="T6" s="82">
        <f t="shared" si="0"/>
        <v>45994</v>
      </c>
      <c r="U6" s="82">
        <f t="shared" si="0"/>
        <v>45995</v>
      </c>
      <c r="V6" s="82">
        <f t="shared" si="0"/>
        <v>45996</v>
      </c>
      <c r="W6" s="82">
        <f t="shared" si="0"/>
        <v>45997</v>
      </c>
      <c r="X6" s="93">
        <f t="shared" si="0"/>
        <v>45998</v>
      </c>
      <c r="Y6" s="81">
        <f t="shared" si="0"/>
        <v>45999</v>
      </c>
      <c r="Z6" s="82">
        <f t="shared" si="0"/>
        <v>46000</v>
      </c>
      <c r="AA6" s="82">
        <f t="shared" si="0"/>
        <v>46001</v>
      </c>
      <c r="AB6" s="82">
        <f t="shared" si="0"/>
        <v>46002</v>
      </c>
      <c r="AC6" s="82">
        <f t="shared" si="0"/>
        <v>46003</v>
      </c>
      <c r="AD6" s="82">
        <f t="shared" si="0"/>
        <v>46004</v>
      </c>
      <c r="AE6" s="93">
        <f t="shared" si="0"/>
        <v>46005</v>
      </c>
      <c r="AF6" s="81">
        <f t="shared" si="0"/>
        <v>46006</v>
      </c>
      <c r="AG6" s="82">
        <f t="shared" si="0"/>
        <v>46007</v>
      </c>
      <c r="AH6" s="82">
        <f t="shared" si="0"/>
        <v>46008</v>
      </c>
      <c r="AI6" s="82">
        <f t="shared" si="0"/>
        <v>46009</v>
      </c>
      <c r="AJ6" s="82">
        <f t="shared" si="0"/>
        <v>46010</v>
      </c>
      <c r="AK6" s="82">
        <f t="shared" si="0"/>
        <v>46011</v>
      </c>
      <c r="AL6" s="93">
        <f t="shared" si="0"/>
        <v>46012</v>
      </c>
      <c r="AM6" s="81">
        <f t="shared" si="0"/>
        <v>46013</v>
      </c>
      <c r="AN6" s="82">
        <f t="shared" si="0"/>
        <v>46014</v>
      </c>
      <c r="AO6" s="82">
        <f t="shared" si="0"/>
        <v>46015</v>
      </c>
      <c r="AP6" s="82">
        <f t="shared" si="0"/>
        <v>46016</v>
      </c>
      <c r="AQ6" s="82">
        <f t="shared" si="0"/>
        <v>46017</v>
      </c>
      <c r="AR6" s="82">
        <f t="shared" ref="AR6:BN6" si="1">AQ6+1</f>
        <v>46018</v>
      </c>
      <c r="AS6" s="93">
        <f t="shared" si="1"/>
        <v>46019</v>
      </c>
      <c r="AT6" s="81">
        <f t="shared" si="1"/>
        <v>46020</v>
      </c>
      <c r="AU6" s="82">
        <f t="shared" si="1"/>
        <v>46021</v>
      </c>
      <c r="AV6" s="82">
        <f t="shared" si="1"/>
        <v>46022</v>
      </c>
      <c r="AW6" s="82">
        <f t="shared" si="1"/>
        <v>46023</v>
      </c>
      <c r="AX6" s="82">
        <f t="shared" si="1"/>
        <v>46024</v>
      </c>
      <c r="AY6" s="82">
        <f t="shared" si="1"/>
        <v>46025</v>
      </c>
      <c r="AZ6" s="93">
        <f t="shared" si="1"/>
        <v>46026</v>
      </c>
      <c r="BA6" s="81">
        <f t="shared" si="1"/>
        <v>46027</v>
      </c>
      <c r="BB6" s="82">
        <f t="shared" si="1"/>
        <v>46028</v>
      </c>
      <c r="BC6" s="82">
        <f t="shared" si="1"/>
        <v>46029</v>
      </c>
      <c r="BD6" s="82">
        <f t="shared" si="1"/>
        <v>46030</v>
      </c>
      <c r="BE6" s="82">
        <f t="shared" si="1"/>
        <v>46031</v>
      </c>
      <c r="BF6" s="82">
        <f t="shared" si="1"/>
        <v>46032</v>
      </c>
      <c r="BG6" s="93">
        <f t="shared" si="1"/>
        <v>46033</v>
      </c>
      <c r="BH6" s="81">
        <f t="shared" si="1"/>
        <v>46034</v>
      </c>
      <c r="BI6" s="82">
        <f t="shared" si="1"/>
        <v>46035</v>
      </c>
      <c r="BJ6" s="82">
        <f t="shared" si="1"/>
        <v>46036</v>
      </c>
      <c r="BK6" s="82">
        <f t="shared" si="1"/>
        <v>46037</v>
      </c>
      <c r="BL6" s="82">
        <f t="shared" si="1"/>
        <v>46038</v>
      </c>
      <c r="BM6" s="82">
        <f t="shared" si="1"/>
        <v>46039</v>
      </c>
      <c r="BN6" s="93">
        <f t="shared" si="1"/>
        <v>46040</v>
      </c>
    </row>
    <row r="7" spans="1:66" ht="24">
      <c r="A7" s="56" t="s">
        <v>5</v>
      </c>
      <c r="B7" s="56" t="s">
        <v>6</v>
      </c>
      <c r="C7" s="57" t="s">
        <v>7</v>
      </c>
      <c r="D7" s="58" t="s">
        <v>8</v>
      </c>
      <c r="E7" s="59" t="s">
        <v>9</v>
      </c>
      <c r="F7" s="59" t="s">
        <v>10</v>
      </c>
      <c r="G7" s="57" t="s">
        <v>11</v>
      </c>
      <c r="H7" s="57" t="s">
        <v>12</v>
      </c>
      <c r="I7" s="57" t="s">
        <v>13</v>
      </c>
      <c r="J7" s="57"/>
      <c r="K7" s="83" t="str">
        <f t="shared" ref="K7:AP7" si="2">CHOOSE(WEEKDAY(K6,1),"S","M","T","W","T","F","S")</f>
        <v>M</v>
      </c>
      <c r="L7" s="84" t="str">
        <f t="shared" si="2"/>
        <v>T</v>
      </c>
      <c r="M7" s="84" t="str">
        <f t="shared" si="2"/>
        <v>W</v>
      </c>
      <c r="N7" s="84" t="str">
        <f t="shared" si="2"/>
        <v>T</v>
      </c>
      <c r="O7" s="84" t="str">
        <f t="shared" si="2"/>
        <v>F</v>
      </c>
      <c r="P7" s="84" t="str">
        <f t="shared" si="2"/>
        <v>S</v>
      </c>
      <c r="Q7" s="94" t="str">
        <f t="shared" si="2"/>
        <v>S</v>
      </c>
      <c r="R7" s="83" t="str">
        <f t="shared" si="2"/>
        <v>M</v>
      </c>
      <c r="S7" s="84" t="str">
        <f t="shared" si="2"/>
        <v>T</v>
      </c>
      <c r="T7" s="84" t="str">
        <f t="shared" si="2"/>
        <v>W</v>
      </c>
      <c r="U7" s="84" t="str">
        <f t="shared" si="2"/>
        <v>T</v>
      </c>
      <c r="V7" s="84" t="str">
        <f t="shared" si="2"/>
        <v>F</v>
      </c>
      <c r="W7" s="84" t="str">
        <f t="shared" si="2"/>
        <v>S</v>
      </c>
      <c r="X7" s="94" t="str">
        <f t="shared" si="2"/>
        <v>S</v>
      </c>
      <c r="Y7" s="83" t="str">
        <f t="shared" si="2"/>
        <v>M</v>
      </c>
      <c r="Z7" s="84" t="str">
        <f t="shared" si="2"/>
        <v>T</v>
      </c>
      <c r="AA7" s="84" t="str">
        <f t="shared" si="2"/>
        <v>W</v>
      </c>
      <c r="AB7" s="84" t="str">
        <f t="shared" si="2"/>
        <v>T</v>
      </c>
      <c r="AC7" s="84" t="str">
        <f t="shared" si="2"/>
        <v>F</v>
      </c>
      <c r="AD7" s="84" t="str">
        <f t="shared" si="2"/>
        <v>S</v>
      </c>
      <c r="AE7" s="94" t="str">
        <f t="shared" si="2"/>
        <v>S</v>
      </c>
      <c r="AF7" s="83" t="str">
        <f t="shared" si="2"/>
        <v>M</v>
      </c>
      <c r="AG7" s="84" t="str">
        <f t="shared" si="2"/>
        <v>T</v>
      </c>
      <c r="AH7" s="84" t="str">
        <f t="shared" si="2"/>
        <v>W</v>
      </c>
      <c r="AI7" s="84" t="str">
        <f t="shared" si="2"/>
        <v>T</v>
      </c>
      <c r="AJ7" s="84" t="str">
        <f t="shared" si="2"/>
        <v>F</v>
      </c>
      <c r="AK7" s="84" t="str">
        <f t="shared" si="2"/>
        <v>S</v>
      </c>
      <c r="AL7" s="94" t="str">
        <f t="shared" si="2"/>
        <v>S</v>
      </c>
      <c r="AM7" s="83" t="str">
        <f t="shared" si="2"/>
        <v>M</v>
      </c>
      <c r="AN7" s="84" t="str">
        <f t="shared" si="2"/>
        <v>T</v>
      </c>
      <c r="AO7" s="84" t="str">
        <f t="shared" si="2"/>
        <v>W</v>
      </c>
      <c r="AP7" s="84" t="str">
        <f t="shared" si="2"/>
        <v>T</v>
      </c>
      <c r="AQ7" s="84" t="str">
        <f t="shared" ref="AQ7:BN7" si="3">CHOOSE(WEEKDAY(AQ6,1),"S","M","T","W","T","F","S")</f>
        <v>F</v>
      </c>
      <c r="AR7" s="84" t="str">
        <f t="shared" si="3"/>
        <v>S</v>
      </c>
      <c r="AS7" s="94" t="str">
        <f t="shared" si="3"/>
        <v>S</v>
      </c>
      <c r="AT7" s="83" t="str">
        <f t="shared" si="3"/>
        <v>M</v>
      </c>
      <c r="AU7" s="84" t="str">
        <f t="shared" si="3"/>
        <v>T</v>
      </c>
      <c r="AV7" s="84" t="str">
        <f t="shared" si="3"/>
        <v>W</v>
      </c>
      <c r="AW7" s="84" t="str">
        <f t="shared" si="3"/>
        <v>T</v>
      </c>
      <c r="AX7" s="84" t="str">
        <f t="shared" si="3"/>
        <v>F</v>
      </c>
      <c r="AY7" s="84" t="str">
        <f t="shared" si="3"/>
        <v>S</v>
      </c>
      <c r="AZ7" s="94" t="str">
        <f t="shared" si="3"/>
        <v>S</v>
      </c>
      <c r="BA7" s="83" t="str">
        <f t="shared" si="3"/>
        <v>M</v>
      </c>
      <c r="BB7" s="84" t="str">
        <f t="shared" si="3"/>
        <v>T</v>
      </c>
      <c r="BC7" s="84" t="str">
        <f t="shared" si="3"/>
        <v>W</v>
      </c>
      <c r="BD7" s="84" t="str">
        <f t="shared" si="3"/>
        <v>T</v>
      </c>
      <c r="BE7" s="84" t="str">
        <f t="shared" si="3"/>
        <v>F</v>
      </c>
      <c r="BF7" s="84" t="str">
        <f t="shared" si="3"/>
        <v>S</v>
      </c>
      <c r="BG7" s="94" t="str">
        <f t="shared" si="3"/>
        <v>S</v>
      </c>
      <c r="BH7" s="83" t="str">
        <f t="shared" si="3"/>
        <v>M</v>
      </c>
      <c r="BI7" s="84" t="str">
        <f t="shared" si="3"/>
        <v>T</v>
      </c>
      <c r="BJ7" s="84" t="str">
        <f t="shared" si="3"/>
        <v>W</v>
      </c>
      <c r="BK7" s="84" t="str">
        <f t="shared" si="3"/>
        <v>T</v>
      </c>
      <c r="BL7" s="84" t="str">
        <f t="shared" si="3"/>
        <v>F</v>
      </c>
      <c r="BM7" s="84" t="str">
        <f t="shared" si="3"/>
        <v>S</v>
      </c>
      <c r="BN7" s="94" t="str">
        <f t="shared" si="3"/>
        <v>S</v>
      </c>
    </row>
    <row r="8" spans="1:66" s="44" customFormat="1" ht="18">
      <c r="A8" s="60" t="str">
        <f>IF(ISERROR(VALUE(SUBSTITUTE(prevWBS,".",""))),"1",IF(ISERROR(FIND("`",SUBSTITUTE(prevWBS,".","`",1))),TEXT(VALUE(prevWBS)+1,"#"),TEXT(VALUE(LEFT(prevWBS,FIND("`",SUBSTITUTE(prevWBS,".","`",1))-1))+1,"#")))</f>
        <v>1</v>
      </c>
      <c r="B8" s="61" t="s">
        <v>177</v>
      </c>
      <c r="C8" s="62"/>
      <c r="D8" s="63"/>
      <c r="E8" s="111"/>
      <c r="F8" s="112" t="str">
        <f t="shared" ref="E8:F20" si="4">IF(ISBLANK(E8)," - ",IF(G8=0,E8,E8+G8-1))</f>
        <v xml:space="preserve"> - </v>
      </c>
      <c r="G8" s="64"/>
      <c r="H8" s="65"/>
      <c r="I8" s="85" t="str">
        <f t="shared" ref="I8:I67" si="5">IF(OR(F8=0,E8=0)," - ",NETWORKDAYS(E8,F8))</f>
        <v xml:space="preserve"> - </v>
      </c>
      <c r="J8" s="86"/>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row>
    <row r="9" spans="1:66" s="45" customFormat="1" ht="18">
      <c r="A9" s="66" t="str">
        <f t="shared" ref="A9:A42" si="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67" t="s">
        <v>183</v>
      </c>
      <c r="C9" s="45" t="s">
        <v>14</v>
      </c>
      <c r="D9" s="68"/>
      <c r="E9" s="69">
        <v>45987</v>
      </c>
      <c r="F9" s="70">
        <f t="shared" si="4"/>
        <v>45987</v>
      </c>
      <c r="G9" s="71">
        <v>1</v>
      </c>
      <c r="H9" s="72">
        <v>1</v>
      </c>
      <c r="I9" s="88">
        <f t="shared" si="5"/>
        <v>1</v>
      </c>
      <c r="J9" s="89"/>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row>
    <row r="10" spans="1:66" s="45" customFormat="1" ht="18">
      <c r="A10" s="66" t="str">
        <f t="shared" si="6"/>
        <v>1.2</v>
      </c>
      <c r="B10" s="67" t="s">
        <v>184</v>
      </c>
      <c r="C10" s="45" t="s">
        <v>14</v>
      </c>
      <c r="D10" s="68"/>
      <c r="E10" s="69">
        <v>45988</v>
      </c>
      <c r="F10" s="70">
        <f t="shared" si="4"/>
        <v>46054</v>
      </c>
      <c r="G10" s="71">
        <v>67</v>
      </c>
      <c r="H10" s="72">
        <v>0.3</v>
      </c>
      <c r="I10" s="88">
        <f t="shared" si="5"/>
        <v>47</v>
      </c>
      <c r="J10" s="89"/>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row>
    <row r="11" spans="1:66" s="45" customFormat="1" ht="18">
      <c r="A11" s="66" t="str">
        <f t="shared" si="6"/>
        <v>1.3</v>
      </c>
      <c r="B11" s="67" t="s">
        <v>185</v>
      </c>
      <c r="C11" s="45" t="s">
        <v>14</v>
      </c>
      <c r="D11" s="68"/>
      <c r="E11" s="69">
        <v>45995</v>
      </c>
      <c r="F11" s="70">
        <f t="shared" si="4"/>
        <v>46001</v>
      </c>
      <c r="G11" s="71">
        <v>7</v>
      </c>
      <c r="H11" s="72">
        <v>1</v>
      </c>
      <c r="I11" s="88">
        <f t="shared" ref="I11:I20" si="7">IF(OR(F11=0,E11=0)," - ",NETWORKDAYS(E11,F11))</f>
        <v>5</v>
      </c>
      <c r="J11" s="89"/>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row>
    <row r="12" spans="1:66" s="45" customFormat="1" ht="18">
      <c r="A12" s="66" t="str">
        <f t="shared" si="6"/>
        <v>1.4</v>
      </c>
      <c r="B12" s="67" t="s">
        <v>186</v>
      </c>
      <c r="C12" s="45" t="s">
        <v>15</v>
      </c>
      <c r="D12" s="68"/>
      <c r="E12" s="69">
        <v>46009</v>
      </c>
      <c r="F12" s="70">
        <f t="shared" si="4"/>
        <v>46014</v>
      </c>
      <c r="G12" s="71">
        <v>6</v>
      </c>
      <c r="H12" s="72">
        <v>1</v>
      </c>
      <c r="I12" s="88">
        <f t="shared" si="7"/>
        <v>4</v>
      </c>
      <c r="J12" s="89"/>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row>
    <row r="13" spans="1:66" s="45" customFormat="1" ht="18">
      <c r="A13" s="66" t="str">
        <f t="shared" si="6"/>
        <v>1.5</v>
      </c>
      <c r="B13" s="99" t="s">
        <v>211</v>
      </c>
      <c r="C13" s="113" t="s">
        <v>14</v>
      </c>
      <c r="D13" s="68"/>
      <c r="E13" s="69">
        <v>46021</v>
      </c>
      <c r="F13" s="70">
        <f t="shared" ref="F13" si="8">IF(ISBLANK(E13)," - ",IF(G13=0,E13,E13+G13-1))</f>
        <v>46021</v>
      </c>
      <c r="G13" s="71">
        <v>1</v>
      </c>
      <c r="H13" s="72">
        <v>1</v>
      </c>
      <c r="I13" s="88">
        <f t="shared" ref="I13" si="9">IF(OR(F13=0,E13=0)," - ",NETWORKDAYS(E13,F13))</f>
        <v>1</v>
      </c>
      <c r="J13" s="89"/>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row>
    <row r="14" spans="1:66" s="45" customFormat="1" ht="18">
      <c r="A14" s="66" t="str">
        <f t="shared" si="6"/>
        <v>1.6</v>
      </c>
      <c r="B14" s="67" t="s">
        <v>210</v>
      </c>
      <c r="C14" s="45" t="s">
        <v>15</v>
      </c>
      <c r="D14" s="68"/>
      <c r="E14" s="69">
        <v>46021</v>
      </c>
      <c r="F14" s="70">
        <f t="shared" ref="F14" si="10">IF(ISBLANK(E14)," - ",IF(G14=0,E14,E14+G14-1))</f>
        <v>46030</v>
      </c>
      <c r="G14" s="71">
        <v>10</v>
      </c>
      <c r="H14" s="72">
        <v>0</v>
      </c>
      <c r="I14" s="88">
        <f t="shared" ref="I14" si="11">IF(OR(F14=0,E14=0)," - ",NETWORKDAYS(E14,F14))</f>
        <v>8</v>
      </c>
      <c r="J14" s="89"/>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row>
    <row r="15" spans="1:66" s="45" customFormat="1" ht="18">
      <c r="A15" s="66" t="str">
        <f t="shared" si="6"/>
        <v>1.7</v>
      </c>
      <c r="B15" s="67" t="s">
        <v>187</v>
      </c>
      <c r="C15" s="45" t="s">
        <v>14</v>
      </c>
      <c r="D15" s="68"/>
      <c r="E15" s="69">
        <v>46031</v>
      </c>
      <c r="F15" s="70">
        <f t="shared" si="4"/>
        <v>46040</v>
      </c>
      <c r="G15" s="71">
        <v>10</v>
      </c>
      <c r="H15" s="72">
        <v>0</v>
      </c>
      <c r="I15" s="88">
        <f t="shared" si="7"/>
        <v>6</v>
      </c>
      <c r="J15" s="89"/>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row>
    <row r="16" spans="1:66" s="45" customFormat="1" ht="18">
      <c r="A16" s="66" t="str">
        <f t="shared" si="6"/>
        <v>1.8</v>
      </c>
      <c r="B16" s="100" t="s">
        <v>179</v>
      </c>
      <c r="C16" s="113" t="s">
        <v>16</v>
      </c>
      <c r="D16" s="68"/>
      <c r="E16" s="69">
        <v>45676</v>
      </c>
      <c r="F16" s="70">
        <f t="shared" si="4"/>
        <v>45683</v>
      </c>
      <c r="G16" s="71">
        <v>8</v>
      </c>
      <c r="H16" s="72">
        <v>0</v>
      </c>
      <c r="I16" s="88">
        <f>IF(OR(F16=0,E16=0)," - ",NETWORKDAYS(E16,F16))</f>
        <v>5</v>
      </c>
      <c r="J16" s="89"/>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row>
    <row r="17" spans="1:66" s="45" customFormat="1" ht="18">
      <c r="A17" s="66" t="str">
        <f t="shared" si="6"/>
        <v>1.9</v>
      </c>
      <c r="B17" s="98" t="s">
        <v>178</v>
      </c>
      <c r="C17" s="45" t="s">
        <v>15</v>
      </c>
      <c r="D17" s="68"/>
      <c r="E17" s="69">
        <v>45676</v>
      </c>
      <c r="F17" s="70">
        <f t="shared" si="4"/>
        <v>45683</v>
      </c>
      <c r="G17" s="71">
        <v>8</v>
      </c>
      <c r="H17" s="72">
        <v>0</v>
      </c>
      <c r="I17" s="88">
        <f t="shared" si="7"/>
        <v>5</v>
      </c>
      <c r="J17" s="89"/>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row>
    <row r="18" spans="1:66" s="45" customFormat="1" ht="18">
      <c r="A18" s="66" t="str">
        <f t="shared" si="6"/>
        <v>1.10</v>
      </c>
      <c r="B18" s="67" t="s">
        <v>180</v>
      </c>
      <c r="C18" s="45" t="s">
        <v>16</v>
      </c>
      <c r="D18" s="68"/>
      <c r="E18" s="69">
        <f>F16+1</f>
        <v>45684</v>
      </c>
      <c r="F18" s="70">
        <f t="shared" si="4"/>
        <v>45691</v>
      </c>
      <c r="G18" s="71">
        <v>8</v>
      </c>
      <c r="H18" s="72">
        <v>0</v>
      </c>
      <c r="I18" s="88">
        <f t="shared" si="7"/>
        <v>6</v>
      </c>
      <c r="J18" s="89"/>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row>
    <row r="19" spans="1:66" s="45" customFormat="1" ht="18">
      <c r="A19" s="66" t="str">
        <f t="shared" si="6"/>
        <v>1.11</v>
      </c>
      <c r="B19" s="67" t="s">
        <v>181</v>
      </c>
      <c r="C19" s="45" t="s">
        <v>15</v>
      </c>
      <c r="D19" s="68"/>
      <c r="E19" s="69">
        <f>F17+1</f>
        <v>45684</v>
      </c>
      <c r="F19" s="70">
        <f t="shared" si="4"/>
        <v>45691</v>
      </c>
      <c r="G19" s="71">
        <v>8</v>
      </c>
      <c r="H19" s="72">
        <v>0</v>
      </c>
      <c r="I19" s="88">
        <f t="shared" si="7"/>
        <v>6</v>
      </c>
      <c r="J19" s="89"/>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row>
    <row r="20" spans="1:66" s="45" customFormat="1" ht="18">
      <c r="A20" s="66" t="str">
        <f t="shared" si="6"/>
        <v>1.12</v>
      </c>
      <c r="B20" s="67" t="s">
        <v>182</v>
      </c>
      <c r="C20" s="45" t="s">
        <v>16</v>
      </c>
      <c r="D20" s="68"/>
      <c r="E20" s="69">
        <f>F18+1</f>
        <v>45692</v>
      </c>
      <c r="F20" s="70">
        <f t="shared" si="4"/>
        <v>45699</v>
      </c>
      <c r="G20" s="71">
        <v>8</v>
      </c>
      <c r="H20" s="72">
        <v>0</v>
      </c>
      <c r="I20" s="88">
        <f t="shared" si="7"/>
        <v>6</v>
      </c>
      <c r="J20" s="89"/>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row>
    <row r="21" spans="1:66" s="45" customFormat="1" ht="18">
      <c r="A21" s="66" t="str">
        <f t="shared" si="6"/>
        <v>1.13</v>
      </c>
      <c r="B21" s="67" t="s">
        <v>188</v>
      </c>
      <c r="C21" s="45" t="s">
        <v>15</v>
      </c>
      <c r="D21" s="68"/>
      <c r="E21" s="69">
        <f>F19+1</f>
        <v>45692</v>
      </c>
      <c r="F21" s="70">
        <f t="shared" ref="F21" si="12">IF(ISBLANK(E21)," - ",IF(G21=0,E21,E21+G21-1))</f>
        <v>45699</v>
      </c>
      <c r="G21" s="71">
        <v>8</v>
      </c>
      <c r="H21" s="72">
        <v>0</v>
      </c>
      <c r="I21" s="88">
        <f t="shared" ref="I21" si="13">IF(OR(F21=0,E21=0)," - ",NETWORKDAYS(E21,F21))</f>
        <v>6</v>
      </c>
      <c r="J21" s="89"/>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row>
    <row r="22" spans="1:66" s="45" customFormat="1" ht="18">
      <c r="A22" s="66" t="str">
        <f t="shared" si="6"/>
        <v>1.14</v>
      </c>
      <c r="B22" s="99" t="s">
        <v>189</v>
      </c>
      <c r="C22" s="45" t="s">
        <v>16</v>
      </c>
      <c r="D22" s="68"/>
      <c r="E22" s="69">
        <f>F20+1</f>
        <v>45700</v>
      </c>
      <c r="F22" s="70">
        <f t="shared" ref="F22" si="14">IF(ISBLANK(E22)," - ",IF(G22=0,E22,E22+G22-1))</f>
        <v>45707</v>
      </c>
      <c r="G22" s="71">
        <v>8</v>
      </c>
      <c r="H22" s="72">
        <v>0</v>
      </c>
      <c r="I22" s="88">
        <f t="shared" ref="I22" si="15">IF(OR(F22=0,E22=0)," - ",NETWORKDAYS(E22,F22))</f>
        <v>6</v>
      </c>
      <c r="J22" s="89"/>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row>
    <row r="23" spans="1:66" s="45" customFormat="1" ht="18">
      <c r="A23" s="66" t="str">
        <f t="shared" si="6"/>
        <v>1.15</v>
      </c>
      <c r="B23" s="99" t="s">
        <v>190</v>
      </c>
      <c r="C23" s="45" t="s">
        <v>15</v>
      </c>
      <c r="D23" s="68"/>
      <c r="E23" s="69">
        <f>F21+1</f>
        <v>45700</v>
      </c>
      <c r="F23" s="70">
        <f t="shared" ref="F23:F42" si="16">IF(ISBLANK(E23)," - ",IF(G23=0,E23,E23+G23-1))</f>
        <v>45707</v>
      </c>
      <c r="G23" s="71">
        <v>8</v>
      </c>
      <c r="H23" s="72">
        <v>0</v>
      </c>
      <c r="I23" s="88">
        <f t="shared" ref="I23:I42" si="17">IF(OR(F23=0,E23=0)," - ",NETWORKDAYS(E23,F23))</f>
        <v>6</v>
      </c>
      <c r="J23" s="89"/>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row>
    <row r="24" spans="1:66" s="45" customFormat="1" ht="18">
      <c r="A24" s="66" t="str">
        <f t="shared" si="6"/>
        <v>1.16</v>
      </c>
      <c r="B24" s="99" t="s">
        <v>191</v>
      </c>
      <c r="C24" s="45" t="s">
        <v>16</v>
      </c>
      <c r="D24" s="68"/>
      <c r="E24" s="69">
        <f>F22+1</f>
        <v>45708</v>
      </c>
      <c r="F24" s="70">
        <f t="shared" si="16"/>
        <v>45715</v>
      </c>
      <c r="G24" s="71">
        <v>8</v>
      </c>
      <c r="H24" s="72">
        <v>0</v>
      </c>
      <c r="I24" s="88">
        <f t="shared" si="17"/>
        <v>6</v>
      </c>
      <c r="J24" s="89"/>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row>
    <row r="25" spans="1:66" s="45" customFormat="1" ht="18">
      <c r="A25" s="66" t="str">
        <f t="shared" si="6"/>
        <v>1.17</v>
      </c>
      <c r="B25" s="99" t="s">
        <v>192</v>
      </c>
      <c r="C25" s="45" t="s">
        <v>15</v>
      </c>
      <c r="D25" s="68"/>
      <c r="E25" s="69">
        <f>F23+1</f>
        <v>45708</v>
      </c>
      <c r="F25" s="70">
        <f t="shared" si="16"/>
        <v>45715</v>
      </c>
      <c r="G25" s="71">
        <v>8</v>
      </c>
      <c r="H25" s="72">
        <v>0</v>
      </c>
      <c r="I25" s="88">
        <f t="shared" si="17"/>
        <v>6</v>
      </c>
      <c r="J25" s="89"/>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row>
    <row r="26" spans="1:66" s="45" customFormat="1" ht="18">
      <c r="A26" s="66" t="str">
        <f t="shared" si="6"/>
        <v>1.18</v>
      </c>
      <c r="B26" s="99" t="s">
        <v>193</v>
      </c>
      <c r="C26" s="45" t="s">
        <v>16</v>
      </c>
      <c r="D26" s="68"/>
      <c r="E26" s="69">
        <f>F24+1</f>
        <v>45716</v>
      </c>
      <c r="F26" s="70">
        <f t="shared" si="16"/>
        <v>45723</v>
      </c>
      <c r="G26" s="71">
        <v>8</v>
      </c>
      <c r="H26" s="72">
        <v>0</v>
      </c>
      <c r="I26" s="88">
        <f t="shared" si="17"/>
        <v>6</v>
      </c>
      <c r="J26" s="89"/>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row>
    <row r="27" spans="1:66" s="45" customFormat="1" ht="18">
      <c r="A27" s="66" t="str">
        <f t="shared" si="6"/>
        <v>1.19</v>
      </c>
      <c r="B27" s="99" t="s">
        <v>194</v>
      </c>
      <c r="C27" s="45" t="s">
        <v>15</v>
      </c>
      <c r="D27" s="68"/>
      <c r="E27" s="69">
        <f>F25+1</f>
        <v>45716</v>
      </c>
      <c r="F27" s="70">
        <f t="shared" si="16"/>
        <v>45723</v>
      </c>
      <c r="G27" s="71">
        <v>8</v>
      </c>
      <c r="H27" s="72">
        <v>0</v>
      </c>
      <c r="I27" s="88">
        <f t="shared" si="17"/>
        <v>6</v>
      </c>
      <c r="J27" s="89"/>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row>
    <row r="28" spans="1:66" s="45" customFormat="1" ht="18">
      <c r="A28" s="66" t="str">
        <f t="shared" si="6"/>
        <v>1.20</v>
      </c>
      <c r="B28" s="99" t="s">
        <v>195</v>
      </c>
      <c r="C28" s="45" t="s">
        <v>16</v>
      </c>
      <c r="D28" s="68"/>
      <c r="E28" s="69">
        <f>F26+1</f>
        <v>45724</v>
      </c>
      <c r="F28" s="70">
        <f t="shared" si="16"/>
        <v>45731</v>
      </c>
      <c r="G28" s="71">
        <v>8</v>
      </c>
      <c r="H28" s="72">
        <v>0</v>
      </c>
      <c r="I28" s="88">
        <f t="shared" si="17"/>
        <v>5</v>
      </c>
      <c r="J28" s="89"/>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row>
    <row r="29" spans="1:66" s="45" customFormat="1" ht="18">
      <c r="A29" s="66" t="str">
        <f t="shared" si="6"/>
        <v>1.21</v>
      </c>
      <c r="B29" s="99" t="s">
        <v>196</v>
      </c>
      <c r="C29" s="45" t="s">
        <v>15</v>
      </c>
      <c r="D29" s="68"/>
      <c r="E29" s="69">
        <f>F27+1</f>
        <v>45724</v>
      </c>
      <c r="F29" s="70">
        <f t="shared" si="16"/>
        <v>45731</v>
      </c>
      <c r="G29" s="71">
        <v>8</v>
      </c>
      <c r="H29" s="72">
        <v>0</v>
      </c>
      <c r="I29" s="88">
        <f t="shared" si="17"/>
        <v>5</v>
      </c>
      <c r="J29" s="89"/>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M29" s="66"/>
      <c r="BN29" s="66"/>
    </row>
    <row r="30" spans="1:66" s="45" customFormat="1" ht="18">
      <c r="A30" s="66" t="str">
        <f t="shared" si="6"/>
        <v>1.22</v>
      </c>
      <c r="B30" s="99" t="s">
        <v>197</v>
      </c>
      <c r="C30" s="45" t="s">
        <v>16</v>
      </c>
      <c r="D30" s="68"/>
      <c r="E30" s="69">
        <f>F28+1</f>
        <v>45732</v>
      </c>
      <c r="F30" s="70">
        <f t="shared" si="16"/>
        <v>45739</v>
      </c>
      <c r="G30" s="71">
        <v>8</v>
      </c>
      <c r="H30" s="72">
        <v>0</v>
      </c>
      <c r="I30" s="88">
        <f t="shared" si="17"/>
        <v>5</v>
      </c>
      <c r="J30" s="89"/>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66"/>
      <c r="BN30" s="66"/>
    </row>
    <row r="31" spans="1:66" s="45" customFormat="1" ht="18">
      <c r="A31" s="66" t="str">
        <f t="shared" si="6"/>
        <v>1.23</v>
      </c>
      <c r="B31" s="99" t="s">
        <v>198</v>
      </c>
      <c r="C31" s="45" t="s">
        <v>15</v>
      </c>
      <c r="D31" s="68"/>
      <c r="E31" s="69">
        <f>F29+1</f>
        <v>45732</v>
      </c>
      <c r="F31" s="70">
        <f t="shared" si="16"/>
        <v>45739</v>
      </c>
      <c r="G31" s="71">
        <v>8</v>
      </c>
      <c r="H31" s="72">
        <v>0</v>
      </c>
      <c r="I31" s="88">
        <f t="shared" si="17"/>
        <v>5</v>
      </c>
      <c r="J31" s="89"/>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row>
    <row r="32" spans="1:66" s="45" customFormat="1" ht="18">
      <c r="A32" s="66" t="str">
        <f t="shared" si="6"/>
        <v>1.24</v>
      </c>
      <c r="B32" s="99" t="s">
        <v>199</v>
      </c>
      <c r="C32" s="45" t="s">
        <v>16</v>
      </c>
      <c r="D32" s="68"/>
      <c r="E32" s="69">
        <f>F30+1</f>
        <v>45740</v>
      </c>
      <c r="F32" s="70">
        <f t="shared" si="16"/>
        <v>45755</v>
      </c>
      <c r="G32" s="71">
        <v>16</v>
      </c>
      <c r="H32" s="72">
        <v>0</v>
      </c>
      <c r="I32" s="88">
        <f t="shared" si="17"/>
        <v>12</v>
      </c>
      <c r="J32" s="89"/>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M32" s="66"/>
      <c r="BN32" s="66"/>
    </row>
    <row r="33" spans="1:66" s="45" customFormat="1" ht="18">
      <c r="A33" s="66" t="str">
        <f t="shared" si="6"/>
        <v>1.25</v>
      </c>
      <c r="B33" s="99" t="s">
        <v>200</v>
      </c>
      <c r="C33" s="45" t="s">
        <v>15</v>
      </c>
      <c r="D33" s="68"/>
      <c r="E33" s="69">
        <f>F31+1</f>
        <v>45740</v>
      </c>
      <c r="F33" s="70">
        <f t="shared" si="16"/>
        <v>45755</v>
      </c>
      <c r="G33" s="71">
        <v>16</v>
      </c>
      <c r="H33" s="72">
        <v>0</v>
      </c>
      <c r="I33" s="88">
        <f t="shared" si="17"/>
        <v>12</v>
      </c>
      <c r="J33" s="89"/>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row>
    <row r="34" spans="1:66" s="45" customFormat="1" ht="18">
      <c r="A34" s="66" t="str">
        <f t="shared" si="6"/>
        <v>1.26</v>
      </c>
      <c r="B34" s="99" t="s">
        <v>201</v>
      </c>
      <c r="C34" s="45" t="s">
        <v>16</v>
      </c>
      <c r="D34" s="68"/>
      <c r="E34" s="69">
        <f>F32+1</f>
        <v>45756</v>
      </c>
      <c r="F34" s="70">
        <f t="shared" si="16"/>
        <v>45763</v>
      </c>
      <c r="G34" s="71">
        <v>8</v>
      </c>
      <c r="H34" s="72">
        <v>0</v>
      </c>
      <c r="I34" s="88">
        <f t="shared" si="17"/>
        <v>6</v>
      </c>
      <c r="J34" s="89"/>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row>
    <row r="35" spans="1:66" s="45" customFormat="1" ht="18">
      <c r="A35" s="66" t="str">
        <f t="shared" si="6"/>
        <v>1.27</v>
      </c>
      <c r="B35" s="99" t="s">
        <v>202</v>
      </c>
      <c r="C35" s="45" t="s">
        <v>15</v>
      </c>
      <c r="D35" s="68"/>
      <c r="E35" s="69">
        <f>F33+1</f>
        <v>45756</v>
      </c>
      <c r="F35" s="70">
        <f t="shared" si="16"/>
        <v>45763</v>
      </c>
      <c r="G35" s="71">
        <v>8</v>
      </c>
      <c r="H35" s="72">
        <v>0</v>
      </c>
      <c r="I35" s="88">
        <f t="shared" si="17"/>
        <v>6</v>
      </c>
      <c r="J35" s="89"/>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row>
    <row r="36" spans="1:66" s="45" customFormat="1" ht="18">
      <c r="A36" s="66" t="str">
        <f t="shared" si="6"/>
        <v>1.28</v>
      </c>
      <c r="B36" s="99" t="s">
        <v>203</v>
      </c>
      <c r="C36" s="45" t="s">
        <v>16</v>
      </c>
      <c r="D36" s="68"/>
      <c r="E36" s="69">
        <f>F34+1</f>
        <v>45764</v>
      </c>
      <c r="F36" s="70">
        <f t="shared" si="16"/>
        <v>45771</v>
      </c>
      <c r="G36" s="71">
        <v>8</v>
      </c>
      <c r="H36" s="72">
        <v>0</v>
      </c>
      <c r="I36" s="88">
        <f t="shared" si="17"/>
        <v>6</v>
      </c>
      <c r="J36" s="89"/>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M36" s="66"/>
      <c r="BN36" s="66"/>
    </row>
    <row r="37" spans="1:66" s="45" customFormat="1" ht="18">
      <c r="A37" s="66" t="str">
        <f t="shared" si="6"/>
        <v>1.29</v>
      </c>
      <c r="B37" s="99" t="s">
        <v>204</v>
      </c>
      <c r="C37" s="45" t="s">
        <v>15</v>
      </c>
      <c r="D37" s="68"/>
      <c r="E37" s="69">
        <f>F35+1</f>
        <v>45764</v>
      </c>
      <c r="F37" s="70">
        <f t="shared" si="16"/>
        <v>45771</v>
      </c>
      <c r="G37" s="71">
        <v>8</v>
      </c>
      <c r="H37" s="72">
        <v>0</v>
      </c>
      <c r="I37" s="88">
        <f t="shared" si="17"/>
        <v>6</v>
      </c>
      <c r="J37" s="89"/>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row>
    <row r="38" spans="1:66" s="45" customFormat="1" ht="18">
      <c r="A38" s="66" t="str">
        <f t="shared" si="6"/>
        <v>1.30</v>
      </c>
      <c r="B38" s="99" t="s">
        <v>205</v>
      </c>
      <c r="C38" s="45" t="s">
        <v>16</v>
      </c>
      <c r="D38" s="68"/>
      <c r="E38" s="69">
        <f>F36+1</f>
        <v>45772</v>
      </c>
      <c r="F38" s="70">
        <f t="shared" si="16"/>
        <v>45779</v>
      </c>
      <c r="G38" s="71">
        <v>8</v>
      </c>
      <c r="H38" s="72">
        <v>0</v>
      </c>
      <c r="I38" s="88">
        <f t="shared" si="17"/>
        <v>6</v>
      </c>
      <c r="J38" s="89"/>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row>
    <row r="39" spans="1:66" s="45" customFormat="1" ht="18">
      <c r="A39" s="66" t="str">
        <f t="shared" si="6"/>
        <v>1.31</v>
      </c>
      <c r="B39" s="99" t="s">
        <v>206</v>
      </c>
      <c r="C39" s="45" t="s">
        <v>15</v>
      </c>
      <c r="D39" s="68"/>
      <c r="E39" s="69">
        <f>F37+1</f>
        <v>45772</v>
      </c>
      <c r="F39" s="70">
        <f t="shared" si="16"/>
        <v>45779</v>
      </c>
      <c r="G39" s="71">
        <v>8</v>
      </c>
      <c r="H39" s="72">
        <v>0</v>
      </c>
      <c r="I39" s="88">
        <f t="shared" si="17"/>
        <v>6</v>
      </c>
      <c r="J39" s="89"/>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row>
    <row r="40" spans="1:66" s="45" customFormat="1" ht="18">
      <c r="A40" s="66" t="str">
        <f t="shared" si="6"/>
        <v>1.32</v>
      </c>
      <c r="B40" s="99" t="s">
        <v>207</v>
      </c>
      <c r="C40" s="45" t="s">
        <v>16</v>
      </c>
      <c r="D40" s="68"/>
      <c r="E40" s="69">
        <f>F38+1</f>
        <v>45780</v>
      </c>
      <c r="F40" s="70">
        <f t="shared" si="16"/>
        <v>45787</v>
      </c>
      <c r="G40" s="71">
        <v>8</v>
      </c>
      <c r="H40" s="72">
        <v>0</v>
      </c>
      <c r="I40" s="88">
        <f t="shared" si="17"/>
        <v>5</v>
      </c>
      <c r="J40" s="89"/>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row>
    <row r="41" spans="1:66" s="45" customFormat="1" ht="18">
      <c r="A41" s="66" t="str">
        <f t="shared" si="6"/>
        <v>1.33</v>
      </c>
      <c r="B41" s="99" t="s">
        <v>208</v>
      </c>
      <c r="C41" s="45" t="s">
        <v>15</v>
      </c>
      <c r="D41" s="68"/>
      <c r="E41" s="69">
        <f>F39+1</f>
        <v>45780</v>
      </c>
      <c r="F41" s="70">
        <f t="shared" si="16"/>
        <v>45787</v>
      </c>
      <c r="G41" s="71">
        <v>8</v>
      </c>
      <c r="H41" s="72">
        <v>0</v>
      </c>
      <c r="I41" s="88">
        <f t="shared" si="17"/>
        <v>5</v>
      </c>
      <c r="J41" s="89"/>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row>
    <row r="42" spans="1:66" s="45" customFormat="1" ht="18">
      <c r="A42" s="66" t="str">
        <f t="shared" si="6"/>
        <v>1.34</v>
      </c>
      <c r="B42" s="99" t="s">
        <v>209</v>
      </c>
      <c r="C42" s="45" t="s">
        <v>16</v>
      </c>
      <c r="D42" s="68"/>
      <c r="E42" s="69">
        <f>F40+1</f>
        <v>45788</v>
      </c>
      <c r="F42" s="70">
        <f t="shared" si="16"/>
        <v>45795</v>
      </c>
      <c r="G42" s="71">
        <v>8</v>
      </c>
      <c r="H42" s="72">
        <v>0</v>
      </c>
      <c r="I42" s="88">
        <f t="shared" si="17"/>
        <v>5</v>
      </c>
      <c r="J42" s="89"/>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row>
    <row r="43" spans="1:66" s="45" customFormat="1" ht="18">
      <c r="A43" s="66"/>
      <c r="B43" s="67"/>
      <c r="D43" s="68"/>
      <c r="E43" s="69"/>
      <c r="F43" s="70"/>
      <c r="G43" s="71"/>
      <c r="H43" s="72"/>
      <c r="I43" s="88"/>
      <c r="J43" s="89"/>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row>
    <row r="44" spans="1:66" s="45" customFormat="1" ht="18">
      <c r="A44" s="66"/>
      <c r="B44" s="67"/>
      <c r="D44" s="68"/>
      <c r="E44" s="69"/>
      <c r="F44" s="70"/>
      <c r="G44" s="71"/>
      <c r="H44" s="72"/>
      <c r="I44" s="88"/>
      <c r="J44" s="89"/>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row>
    <row r="45" spans="1:66" s="45" customFormat="1" ht="18">
      <c r="A45" s="66"/>
      <c r="B45" s="67"/>
      <c r="D45" s="68"/>
      <c r="E45" s="69"/>
      <c r="F45" s="70"/>
      <c r="G45" s="71"/>
      <c r="H45" s="72"/>
      <c r="I45" s="88"/>
      <c r="J45" s="89"/>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row>
    <row r="46" spans="1:66" s="45" customFormat="1" ht="18">
      <c r="A46" s="66"/>
      <c r="B46" s="67"/>
      <c r="D46" s="68"/>
      <c r="E46" s="69"/>
      <c r="F46" s="70"/>
      <c r="G46" s="71"/>
      <c r="H46" s="72"/>
      <c r="I46" s="88"/>
      <c r="J46" s="89"/>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row>
    <row r="47" spans="1:66" s="45" customFormat="1" ht="18">
      <c r="A47" s="66"/>
      <c r="B47" s="67"/>
      <c r="D47" s="68"/>
      <c r="E47" s="69"/>
      <c r="F47" s="70"/>
      <c r="G47" s="71"/>
      <c r="H47" s="72"/>
      <c r="I47" s="88"/>
      <c r="J47" s="89"/>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row>
    <row r="48" spans="1:66" s="45" customFormat="1" ht="18">
      <c r="A48" s="66"/>
      <c r="B48" s="67"/>
      <c r="D48" s="68"/>
      <c r="E48" s="69"/>
      <c r="F48" s="70"/>
      <c r="G48" s="71"/>
      <c r="H48" s="72"/>
      <c r="I48" s="88"/>
      <c r="J48" s="89"/>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row>
    <row r="49" spans="1:66" s="45" customFormat="1" ht="18">
      <c r="A49" s="66"/>
      <c r="B49" s="67"/>
      <c r="D49" s="68"/>
      <c r="E49" s="69"/>
      <c r="F49" s="70"/>
      <c r="G49" s="71"/>
      <c r="H49" s="72"/>
      <c r="I49" s="88"/>
      <c r="J49" s="89"/>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row>
    <row r="50" spans="1:66" s="45" customFormat="1" ht="18">
      <c r="A50" s="66"/>
      <c r="B50" s="67"/>
      <c r="D50" s="68"/>
      <c r="E50" s="69"/>
      <c r="F50" s="70"/>
      <c r="G50" s="71"/>
      <c r="H50" s="72"/>
      <c r="I50" s="88"/>
      <c r="J50" s="89"/>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row>
    <row r="51" spans="1:66" s="45" customFormat="1" ht="18">
      <c r="A51" s="66"/>
      <c r="B51" s="67"/>
      <c r="D51" s="68"/>
      <c r="E51" s="69"/>
      <c r="F51" s="70"/>
      <c r="G51" s="71"/>
      <c r="H51" s="72"/>
      <c r="I51" s="88"/>
      <c r="J51" s="89"/>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row>
    <row r="52" spans="1:66" s="45" customFormat="1" ht="18">
      <c r="A52" s="66"/>
      <c r="B52" s="67"/>
      <c r="D52" s="68"/>
      <c r="E52" s="69"/>
      <c r="F52" s="70"/>
      <c r="G52" s="71"/>
      <c r="H52" s="72"/>
      <c r="I52" s="88"/>
      <c r="J52" s="89"/>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row>
    <row r="53" spans="1:66" s="45" customFormat="1" ht="18">
      <c r="A53" s="66"/>
      <c r="B53" s="67"/>
      <c r="D53" s="68"/>
      <c r="E53" s="69"/>
      <c r="F53" s="70"/>
      <c r="G53" s="71"/>
      <c r="H53" s="72"/>
      <c r="I53" s="88"/>
      <c r="J53" s="89"/>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row>
    <row r="54" spans="1:66" s="45" customFormat="1" ht="18">
      <c r="A54" s="66"/>
      <c r="B54" s="67"/>
      <c r="D54" s="68"/>
      <c r="E54" s="69"/>
      <c r="F54" s="70"/>
      <c r="G54" s="71"/>
      <c r="H54" s="72"/>
      <c r="I54" s="88"/>
      <c r="J54" s="89"/>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row>
    <row r="55" spans="1:66" s="45" customFormat="1" ht="18">
      <c r="A55" s="66"/>
      <c r="B55" s="67"/>
      <c r="D55" s="68"/>
      <c r="E55" s="69"/>
      <c r="F55" s="70"/>
      <c r="G55" s="71"/>
      <c r="H55" s="72"/>
      <c r="I55" s="88"/>
      <c r="J55" s="89"/>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row>
    <row r="56" spans="1:66" s="45" customFormat="1" ht="18">
      <c r="A56" s="66"/>
      <c r="B56" s="67"/>
      <c r="D56" s="68"/>
      <c r="E56" s="69"/>
      <c r="F56" s="70"/>
      <c r="G56" s="71"/>
      <c r="H56" s="72"/>
      <c r="I56" s="88"/>
      <c r="J56" s="89"/>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row>
    <row r="57" spans="1:66" s="45" customFormat="1" ht="18">
      <c r="A57" s="66"/>
      <c r="B57" s="67"/>
      <c r="D57" s="68"/>
      <c r="E57" s="69"/>
      <c r="F57" s="70"/>
      <c r="G57" s="71"/>
      <c r="H57" s="72"/>
      <c r="I57" s="88"/>
      <c r="J57" s="89"/>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row>
    <row r="58" spans="1:66" s="45" customFormat="1" ht="18">
      <c r="A58" s="66"/>
      <c r="B58" s="67"/>
      <c r="D58" s="68"/>
      <c r="E58" s="69"/>
      <c r="F58" s="70"/>
      <c r="G58" s="71"/>
      <c r="H58" s="72"/>
      <c r="I58" s="88"/>
      <c r="J58" s="89"/>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row>
    <row r="59" spans="1:66" s="45" customFormat="1" ht="18">
      <c r="A59" s="66"/>
      <c r="B59" s="67"/>
      <c r="D59" s="68"/>
      <c r="E59" s="69"/>
      <c r="F59" s="70"/>
      <c r="G59" s="71"/>
      <c r="H59" s="72"/>
      <c r="I59" s="88"/>
      <c r="J59" s="89"/>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row>
    <row r="60" spans="1:66" s="45" customFormat="1" ht="18">
      <c r="A60" s="66"/>
      <c r="B60" s="67"/>
      <c r="D60" s="68"/>
      <c r="E60" s="69"/>
      <c r="F60" s="70"/>
      <c r="G60" s="71"/>
      <c r="H60" s="72"/>
      <c r="I60" s="88"/>
      <c r="J60" s="89"/>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row>
    <row r="61" spans="1:66" s="45" customFormat="1" ht="18">
      <c r="A61" s="66"/>
      <c r="B61" s="67"/>
      <c r="D61" s="68"/>
      <c r="E61" s="69"/>
      <c r="F61" s="70"/>
      <c r="G61" s="71"/>
      <c r="H61" s="72"/>
      <c r="I61" s="88"/>
      <c r="J61" s="89"/>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row>
    <row r="62" spans="1:66" s="44" customFormat="1" ht="18" hidden="1">
      <c r="A62" s="73" t="str">
        <f>IF(ISERROR(VALUE(SUBSTITUTE(prevWBS,".",""))),"1",IF(ISERROR(FIND("`",SUBSTITUTE(prevWBS,".","`",1))),TEXT(VALUE(prevWBS)+1,"#"),TEXT(VALUE(LEFT(prevWBS,FIND("`",SUBSTITUTE(prevWBS,".","`",1))-1))+1,"#")))</f>
        <v>1</v>
      </c>
      <c r="B62" s="74" t="s">
        <v>17</v>
      </c>
      <c r="D62" s="75"/>
      <c r="E62" s="76"/>
      <c r="F62" s="76" t="str">
        <f t="shared" ref="F62:F67" si="18">IF(ISBLANK(E62)," - ",IF(G62=0,E62,E62+G62-1))</f>
        <v xml:space="preserve"> - </v>
      </c>
      <c r="G62" s="77"/>
      <c r="H62" s="78"/>
      <c r="I62" s="90" t="str">
        <f t="shared" si="5"/>
        <v xml:space="preserve"> - </v>
      </c>
      <c r="J62" s="91"/>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2"/>
      <c r="AR62" s="92"/>
      <c r="AS62" s="92"/>
      <c r="AT62" s="92"/>
      <c r="AU62" s="92"/>
      <c r="AV62" s="92"/>
      <c r="AW62" s="92"/>
      <c r="AX62" s="92"/>
      <c r="AY62" s="92"/>
      <c r="AZ62" s="92"/>
      <c r="BA62" s="92"/>
      <c r="BB62" s="92"/>
      <c r="BC62" s="92"/>
      <c r="BD62" s="92"/>
      <c r="BE62" s="92"/>
      <c r="BF62" s="92"/>
      <c r="BG62" s="92"/>
      <c r="BH62" s="92"/>
      <c r="BI62" s="92"/>
      <c r="BJ62" s="92"/>
      <c r="BK62" s="92"/>
      <c r="BL62" s="92"/>
      <c r="BM62" s="92"/>
      <c r="BN62" s="92"/>
    </row>
    <row r="63" spans="1:66" s="45" customFormat="1" ht="18" hidden="1">
      <c r="A63" s="66" t="str">
        <f t="shared" ref="A63:A101" si="19">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63" s="67" t="s">
        <v>18</v>
      </c>
      <c r="C63" s="45" t="s">
        <v>19</v>
      </c>
      <c r="D63" s="68"/>
      <c r="E63" s="69">
        <v>46057</v>
      </c>
      <c r="F63" s="70">
        <f t="shared" si="18"/>
        <v>46063</v>
      </c>
      <c r="G63" s="71">
        <v>7</v>
      </c>
      <c r="H63" s="72">
        <v>0</v>
      </c>
      <c r="I63" s="88">
        <f t="shared" si="5"/>
        <v>5</v>
      </c>
      <c r="J63" s="89"/>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row>
    <row r="64" spans="1:66" s="45" customFormat="1" ht="18" hidden="1">
      <c r="A64" s="66" t="str">
        <f t="shared" si="19"/>
        <v>1.2</v>
      </c>
      <c r="B64" s="67" t="s">
        <v>20</v>
      </c>
      <c r="C64" s="45" t="s">
        <v>15</v>
      </c>
      <c r="D64" s="68"/>
      <c r="E64" s="69">
        <v>46064</v>
      </c>
      <c r="F64" s="70">
        <f t="shared" si="18"/>
        <v>46070</v>
      </c>
      <c r="G64" s="71">
        <v>7</v>
      </c>
      <c r="H64" s="72">
        <v>0</v>
      </c>
      <c r="I64" s="88">
        <f t="shared" si="5"/>
        <v>5</v>
      </c>
      <c r="J64" s="89"/>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row>
    <row r="65" spans="1:66" s="45" customFormat="1" ht="44.25" hidden="1" customHeight="1">
      <c r="A65" s="66" t="str">
        <f t="shared" si="19"/>
        <v>1.3</v>
      </c>
      <c r="B65" s="67" t="s">
        <v>21</v>
      </c>
      <c r="C65" s="45" t="s">
        <v>16</v>
      </c>
      <c r="D65" s="68"/>
      <c r="E65" s="69">
        <v>46064</v>
      </c>
      <c r="F65" s="70">
        <f t="shared" si="18"/>
        <v>46070</v>
      </c>
      <c r="G65" s="71">
        <v>7</v>
      </c>
      <c r="H65" s="72">
        <v>0</v>
      </c>
      <c r="I65" s="88">
        <f t="shared" si="5"/>
        <v>5</v>
      </c>
      <c r="J65" s="89"/>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66"/>
      <c r="BL65" s="66"/>
      <c r="BM65" s="66"/>
      <c r="BN65" s="66"/>
    </row>
    <row r="66" spans="1:66" s="45" customFormat="1" ht="18" hidden="1">
      <c r="A66" s="66" t="str">
        <f t="shared" si="19"/>
        <v>1.4</v>
      </c>
      <c r="B66" s="67" t="s">
        <v>22</v>
      </c>
      <c r="C66" s="45" t="s">
        <v>15</v>
      </c>
      <c r="D66" s="68"/>
      <c r="E66" s="69">
        <v>46071</v>
      </c>
      <c r="F66" s="70">
        <f t="shared" si="18"/>
        <v>46077</v>
      </c>
      <c r="G66" s="71">
        <v>7</v>
      </c>
      <c r="H66" s="72">
        <v>0</v>
      </c>
      <c r="I66" s="88">
        <f t="shared" si="5"/>
        <v>5</v>
      </c>
      <c r="J66" s="89"/>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row>
    <row r="67" spans="1:66" s="45" customFormat="1" ht="18" hidden="1">
      <c r="A67" s="66" t="str">
        <f t="shared" si="19"/>
        <v>1.5</v>
      </c>
      <c r="B67" s="67" t="s">
        <v>23</v>
      </c>
      <c r="C67" s="45" t="s">
        <v>16</v>
      </c>
      <c r="D67" s="68"/>
      <c r="E67" s="69">
        <v>46071</v>
      </c>
      <c r="F67" s="70">
        <f t="shared" si="18"/>
        <v>46077</v>
      </c>
      <c r="G67" s="71">
        <v>7</v>
      </c>
      <c r="H67" s="72">
        <v>0</v>
      </c>
      <c r="I67" s="88">
        <f t="shared" si="5"/>
        <v>5</v>
      </c>
      <c r="J67" s="89"/>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row>
    <row r="68" spans="1:66" s="45" customFormat="1" ht="18" hidden="1">
      <c r="A68" s="66" t="str">
        <f t="shared" si="19"/>
        <v>1.6</v>
      </c>
      <c r="B68" s="67" t="s">
        <v>24</v>
      </c>
      <c r="C68" s="45" t="s">
        <v>15</v>
      </c>
      <c r="D68" s="68"/>
      <c r="E68" s="69">
        <v>46078</v>
      </c>
      <c r="F68" s="70">
        <f t="shared" ref="F68:F82" si="20">IF(ISBLANK(E68)," - ",IF(G68=0,E68,E68+G68-1))</f>
        <v>46084</v>
      </c>
      <c r="G68" s="71">
        <v>7</v>
      </c>
      <c r="H68" s="72">
        <v>0</v>
      </c>
      <c r="I68" s="88">
        <f t="shared" ref="I68:I82" si="21">IF(OR(F68=0,E68=0)," - ",NETWORKDAYS(E68,F68))</f>
        <v>5</v>
      </c>
      <c r="J68" s="89"/>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row>
    <row r="69" spans="1:66" s="45" customFormat="1" ht="18" hidden="1">
      <c r="A69" s="66" t="str">
        <f t="shared" si="19"/>
        <v>1.7</v>
      </c>
      <c r="B69" s="67" t="s">
        <v>25</v>
      </c>
      <c r="C69" s="45" t="s">
        <v>16</v>
      </c>
      <c r="D69" s="68"/>
      <c r="E69" s="69">
        <v>46078</v>
      </c>
      <c r="F69" s="70">
        <f t="shared" si="20"/>
        <v>46084</v>
      </c>
      <c r="G69" s="71">
        <v>7</v>
      </c>
      <c r="H69" s="72">
        <v>0</v>
      </c>
      <c r="I69" s="88">
        <f t="shared" si="21"/>
        <v>5</v>
      </c>
      <c r="J69" s="89"/>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row>
    <row r="70" spans="1:66" s="45" customFormat="1" ht="18" hidden="1">
      <c r="A70" s="66" t="str">
        <f t="shared" si="19"/>
        <v>1.8</v>
      </c>
      <c r="B70" s="67" t="s">
        <v>26</v>
      </c>
      <c r="C70" s="45" t="s">
        <v>27</v>
      </c>
      <c r="D70" s="68"/>
      <c r="E70" s="69">
        <v>46057</v>
      </c>
      <c r="F70" s="70">
        <f t="shared" si="20"/>
        <v>46063</v>
      </c>
      <c r="G70" s="71">
        <v>7</v>
      </c>
      <c r="H70" s="72">
        <v>0</v>
      </c>
      <c r="I70" s="88">
        <f t="shared" si="21"/>
        <v>5</v>
      </c>
      <c r="J70" s="89"/>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row>
    <row r="71" spans="1:66" s="45" customFormat="1" ht="18" hidden="1">
      <c r="A71" s="66" t="str">
        <f t="shared" si="19"/>
        <v>1.9</v>
      </c>
      <c r="B71" s="67" t="s">
        <v>28</v>
      </c>
      <c r="C71" s="45" t="s">
        <v>15</v>
      </c>
      <c r="D71" s="68"/>
      <c r="E71" s="69">
        <v>46085</v>
      </c>
      <c r="F71" s="70">
        <f t="shared" si="20"/>
        <v>46091</v>
      </c>
      <c r="G71" s="71">
        <v>7</v>
      </c>
      <c r="H71" s="72">
        <v>0</v>
      </c>
      <c r="I71" s="88">
        <f t="shared" si="21"/>
        <v>5</v>
      </c>
      <c r="J71" s="89"/>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row>
    <row r="72" spans="1:66" s="45" customFormat="1" ht="18" hidden="1">
      <c r="A72" s="66" t="str">
        <f t="shared" si="19"/>
        <v>1.10</v>
      </c>
      <c r="B72" s="67" t="s">
        <v>29</v>
      </c>
      <c r="C72" s="45" t="s">
        <v>16</v>
      </c>
      <c r="D72" s="68"/>
      <c r="E72" s="69">
        <v>46085</v>
      </c>
      <c r="F72" s="70">
        <f t="shared" si="20"/>
        <v>46091</v>
      </c>
      <c r="G72" s="71">
        <v>7</v>
      </c>
      <c r="H72" s="72">
        <v>0</v>
      </c>
      <c r="I72" s="88">
        <f t="shared" si="21"/>
        <v>5</v>
      </c>
      <c r="J72" s="89"/>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row>
    <row r="73" spans="1:66" s="45" customFormat="1" ht="18" hidden="1">
      <c r="A73" s="66" t="str">
        <f t="shared" si="19"/>
        <v>1.11</v>
      </c>
      <c r="B73" s="67" t="s">
        <v>30</v>
      </c>
      <c r="C73" s="45" t="s">
        <v>16</v>
      </c>
      <c r="D73" s="68"/>
      <c r="E73" s="69">
        <v>46092</v>
      </c>
      <c r="F73" s="70">
        <f t="shared" si="20"/>
        <v>46098</v>
      </c>
      <c r="G73" s="71">
        <v>7</v>
      </c>
      <c r="H73" s="72">
        <v>0</v>
      </c>
      <c r="I73" s="88">
        <f t="shared" si="21"/>
        <v>5</v>
      </c>
      <c r="J73" s="89"/>
      <c r="K73" s="66"/>
      <c r="L73" s="66"/>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row>
    <row r="74" spans="1:66" s="45" customFormat="1" ht="18" hidden="1">
      <c r="A74" s="66" t="str">
        <f t="shared" si="19"/>
        <v>1.12</v>
      </c>
      <c r="B74" s="67" t="s">
        <v>31</v>
      </c>
      <c r="C74" s="45" t="s">
        <v>15</v>
      </c>
      <c r="D74" s="68"/>
      <c r="E74" s="69">
        <v>46092</v>
      </c>
      <c r="F74" s="70">
        <f t="shared" si="20"/>
        <v>46098</v>
      </c>
      <c r="G74" s="71">
        <v>7</v>
      </c>
      <c r="H74" s="72">
        <v>0</v>
      </c>
      <c r="I74" s="88">
        <f t="shared" si="21"/>
        <v>5</v>
      </c>
      <c r="J74" s="89"/>
      <c r="K74" s="66"/>
      <c r="L74" s="66"/>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c r="BL74" s="66"/>
      <c r="BM74" s="66"/>
      <c r="BN74" s="66"/>
    </row>
    <row r="75" spans="1:66" s="45" customFormat="1" ht="18" hidden="1">
      <c r="A75" s="66" t="str">
        <f t="shared" si="19"/>
        <v>1.13</v>
      </c>
      <c r="B75" s="67" t="s">
        <v>32</v>
      </c>
      <c r="C75" s="45" t="s">
        <v>16</v>
      </c>
      <c r="D75" s="68"/>
      <c r="E75" s="69">
        <v>46099</v>
      </c>
      <c r="F75" s="70">
        <f t="shared" si="20"/>
        <v>46105</v>
      </c>
      <c r="G75" s="71">
        <v>7</v>
      </c>
      <c r="H75" s="72">
        <v>0</v>
      </c>
      <c r="I75" s="88">
        <f t="shared" si="21"/>
        <v>5</v>
      </c>
      <c r="J75" s="89"/>
      <c r="K75" s="66"/>
      <c r="L75" s="66"/>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row>
    <row r="76" spans="1:66" s="45" customFormat="1" ht="18" hidden="1">
      <c r="A76" s="66" t="str">
        <f t="shared" si="19"/>
        <v>1.14</v>
      </c>
      <c r="B76" s="67" t="s">
        <v>33</v>
      </c>
      <c r="C76" s="45" t="s">
        <v>16</v>
      </c>
      <c r="D76" s="68"/>
      <c r="E76" s="69">
        <v>46106</v>
      </c>
      <c r="F76" s="70">
        <f t="shared" ref="F76" si="22">IF(ISBLANK(E76)," - ",IF(G76=0,E76,E76+G76-1))</f>
        <v>46112</v>
      </c>
      <c r="G76" s="71">
        <v>7</v>
      </c>
      <c r="H76" s="72">
        <v>0</v>
      </c>
      <c r="I76" s="88">
        <f t="shared" ref="I76" si="23">IF(OR(F76=0,E76=0)," - ",NETWORKDAYS(E76,F76))</f>
        <v>5</v>
      </c>
      <c r="J76" s="89"/>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row>
    <row r="77" spans="1:66" s="45" customFormat="1" ht="18" hidden="1">
      <c r="A77" s="66" t="str">
        <f t="shared" si="19"/>
        <v>1.15</v>
      </c>
      <c r="B77" s="67" t="s">
        <v>34</v>
      </c>
      <c r="C77" s="45" t="s">
        <v>16</v>
      </c>
      <c r="D77" s="68"/>
      <c r="E77" s="69">
        <v>46106</v>
      </c>
      <c r="F77" s="70">
        <f t="shared" ref="F77" si="24">IF(ISBLANK(E77)," - ",IF(G77=0,E77,E77+G77-1))</f>
        <v>46112</v>
      </c>
      <c r="G77" s="71">
        <v>7</v>
      </c>
      <c r="H77" s="72">
        <v>0</v>
      </c>
      <c r="I77" s="88">
        <f t="shared" ref="I77" si="25">IF(OR(F77=0,E77=0)," - ",NETWORKDAYS(E77,F77))</f>
        <v>5</v>
      </c>
      <c r="J77" s="89"/>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row>
    <row r="78" spans="1:66" s="45" customFormat="1" ht="18" hidden="1">
      <c r="A78" s="66" t="str">
        <f t="shared" si="19"/>
        <v>1.16</v>
      </c>
      <c r="B78" s="67" t="s">
        <v>35</v>
      </c>
      <c r="C78" s="45" t="s">
        <v>16</v>
      </c>
      <c r="D78" s="68"/>
      <c r="E78" s="69">
        <v>46113</v>
      </c>
      <c r="F78" s="70">
        <f t="shared" si="20"/>
        <v>46119</v>
      </c>
      <c r="G78" s="71">
        <v>7</v>
      </c>
      <c r="H78" s="72">
        <v>0</v>
      </c>
      <c r="I78" s="88">
        <f t="shared" si="21"/>
        <v>5</v>
      </c>
      <c r="J78" s="89"/>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row>
    <row r="79" spans="1:66" s="45" customFormat="1" ht="18" hidden="1">
      <c r="A79" s="66" t="str">
        <f t="shared" si="19"/>
        <v>1.17</v>
      </c>
      <c r="B79" s="67" t="s">
        <v>36</v>
      </c>
      <c r="C79" s="45" t="s">
        <v>15</v>
      </c>
      <c r="D79" s="68"/>
      <c r="E79" s="69">
        <v>46113</v>
      </c>
      <c r="F79" s="70">
        <f t="shared" si="20"/>
        <v>46119</v>
      </c>
      <c r="G79" s="71">
        <v>7</v>
      </c>
      <c r="H79" s="72">
        <v>0</v>
      </c>
      <c r="I79" s="88">
        <f t="shared" si="21"/>
        <v>5</v>
      </c>
      <c r="J79" s="89"/>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row>
    <row r="80" spans="1:66" s="45" customFormat="1" ht="18" hidden="1">
      <c r="A80" s="66" t="str">
        <f t="shared" si="19"/>
        <v>1.18</v>
      </c>
      <c r="B80" s="67" t="s">
        <v>37</v>
      </c>
      <c r="C80" s="45" t="s">
        <v>16</v>
      </c>
      <c r="D80" s="68"/>
      <c r="E80" s="69">
        <v>46120</v>
      </c>
      <c r="F80" s="70">
        <f t="shared" si="20"/>
        <v>46126</v>
      </c>
      <c r="G80" s="71">
        <v>7</v>
      </c>
      <c r="H80" s="72">
        <v>0</v>
      </c>
      <c r="I80" s="88">
        <f t="shared" si="21"/>
        <v>5</v>
      </c>
      <c r="J80" s="89"/>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row>
    <row r="81" spans="1:66" s="45" customFormat="1" ht="18" hidden="1">
      <c r="A81" s="66" t="str">
        <f t="shared" si="19"/>
        <v>1.19</v>
      </c>
      <c r="B81" s="67" t="s">
        <v>38</v>
      </c>
      <c r="C81" s="45" t="s">
        <v>15</v>
      </c>
      <c r="D81" s="68"/>
      <c r="E81" s="69">
        <v>46120</v>
      </c>
      <c r="F81" s="70">
        <f t="shared" si="20"/>
        <v>46126</v>
      </c>
      <c r="G81" s="71">
        <v>7</v>
      </c>
      <c r="H81" s="72">
        <v>0</v>
      </c>
      <c r="I81" s="88">
        <f t="shared" si="21"/>
        <v>5</v>
      </c>
      <c r="J81" s="89"/>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row>
    <row r="82" spans="1:66" s="45" customFormat="1" ht="18" hidden="1">
      <c r="A82" s="66" t="str">
        <f t="shared" si="19"/>
        <v>1.20</v>
      </c>
      <c r="B82" s="67" t="s">
        <v>39</v>
      </c>
      <c r="C82" s="45" t="s">
        <v>16</v>
      </c>
      <c r="D82" s="68"/>
      <c r="E82" s="69">
        <v>46127</v>
      </c>
      <c r="F82" s="70">
        <f t="shared" si="20"/>
        <v>46133</v>
      </c>
      <c r="G82" s="71">
        <v>7</v>
      </c>
      <c r="H82" s="72">
        <v>0</v>
      </c>
      <c r="I82" s="88">
        <f t="shared" si="21"/>
        <v>5</v>
      </c>
      <c r="J82" s="89"/>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row>
    <row r="83" spans="1:66" s="45" customFormat="1" ht="18" hidden="1">
      <c r="A83" s="66" t="str">
        <f t="shared" si="19"/>
        <v>1.21</v>
      </c>
      <c r="B83" s="67" t="s">
        <v>40</v>
      </c>
      <c r="C83" s="45" t="s">
        <v>15</v>
      </c>
      <c r="D83" s="68"/>
      <c r="E83" s="69">
        <v>46127</v>
      </c>
      <c r="F83" s="70">
        <f t="shared" ref="F83:F93" si="26">IF(ISBLANK(E83)," - ",IF(G83=0,E83,E83+G83-1))</f>
        <v>46133</v>
      </c>
      <c r="G83" s="71">
        <v>7</v>
      </c>
      <c r="H83" s="72">
        <v>0</v>
      </c>
      <c r="I83" s="88">
        <f t="shared" ref="I83:I91" si="27">IF(OR(F83=0,E83=0)," - ",NETWORKDAYS(E83,F83))</f>
        <v>5</v>
      </c>
      <c r="J83" s="89"/>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row>
    <row r="84" spans="1:66" s="45" customFormat="1" ht="18" hidden="1">
      <c r="A84" s="66" t="str">
        <f t="shared" si="19"/>
        <v>1.22</v>
      </c>
      <c r="B84" s="67" t="s">
        <v>41</v>
      </c>
      <c r="C84" s="45" t="s">
        <v>16</v>
      </c>
      <c r="D84" s="68"/>
      <c r="E84" s="69">
        <v>46134</v>
      </c>
      <c r="F84" s="70">
        <f t="shared" si="26"/>
        <v>46140</v>
      </c>
      <c r="G84" s="71">
        <v>7</v>
      </c>
      <c r="H84" s="72">
        <v>0</v>
      </c>
      <c r="I84" s="88">
        <f t="shared" si="27"/>
        <v>5</v>
      </c>
      <c r="J84" s="89"/>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row>
    <row r="85" spans="1:66" s="45" customFormat="1" ht="18" hidden="1">
      <c r="A85" s="66" t="str">
        <f t="shared" si="19"/>
        <v>1.23</v>
      </c>
      <c r="B85" s="67" t="s">
        <v>42</v>
      </c>
      <c r="C85" s="45" t="s">
        <v>15</v>
      </c>
      <c r="D85" s="68"/>
      <c r="E85" s="69">
        <v>46134</v>
      </c>
      <c r="F85" s="70">
        <f t="shared" ref="F85:F86" si="28">IF(ISBLANK(E85)," - ",IF(G85=0,E85,E85+G85-1))</f>
        <v>46140</v>
      </c>
      <c r="G85" s="71">
        <v>7</v>
      </c>
      <c r="H85" s="72">
        <v>0</v>
      </c>
      <c r="I85" s="88">
        <f t="shared" ref="I85:I86" si="29">IF(OR(F85=0,E85=0)," - ",NETWORKDAYS(E85,F85))</f>
        <v>5</v>
      </c>
      <c r="J85" s="89"/>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row>
    <row r="86" spans="1:66" s="45" customFormat="1" ht="18" hidden="1">
      <c r="A86" s="66" t="str">
        <f t="shared" si="19"/>
        <v>1.24</v>
      </c>
      <c r="B86" s="67" t="s">
        <v>43</v>
      </c>
      <c r="C86" s="45" t="s">
        <v>16</v>
      </c>
      <c r="D86" s="68"/>
      <c r="E86" s="69">
        <v>46141</v>
      </c>
      <c r="F86" s="70">
        <f t="shared" si="28"/>
        <v>46147</v>
      </c>
      <c r="G86" s="71">
        <v>7</v>
      </c>
      <c r="H86" s="72">
        <v>0</v>
      </c>
      <c r="I86" s="88">
        <f t="shared" si="29"/>
        <v>5</v>
      </c>
      <c r="J86" s="89"/>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row>
    <row r="87" spans="1:66" s="45" customFormat="1" ht="18" hidden="1">
      <c r="A87" s="66" t="str">
        <f t="shared" si="19"/>
        <v>1.25</v>
      </c>
      <c r="B87" s="67" t="s">
        <v>44</v>
      </c>
      <c r="C87" s="45" t="s">
        <v>16</v>
      </c>
      <c r="D87" s="68"/>
      <c r="E87" s="69">
        <v>46141</v>
      </c>
      <c r="F87" s="70">
        <f t="shared" ref="F87:F89" si="30">IF(ISBLANK(E87)," - ",IF(G87=0,E87,E87+G87-1))</f>
        <v>46147</v>
      </c>
      <c r="G87" s="71">
        <v>7</v>
      </c>
      <c r="H87" s="72">
        <v>0</v>
      </c>
      <c r="I87" s="88">
        <f t="shared" ref="I87:I89" si="31">IF(OR(F87=0,E87=0)," - ",NETWORKDAYS(E87,F87))</f>
        <v>5</v>
      </c>
      <c r="J87" s="89"/>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row>
    <row r="88" spans="1:66" s="45" customFormat="1" ht="18" hidden="1">
      <c r="A88" s="66" t="str">
        <f t="shared" si="19"/>
        <v>1.26</v>
      </c>
      <c r="B88" s="67" t="s">
        <v>45</v>
      </c>
      <c r="C88" s="45" t="s">
        <v>16</v>
      </c>
      <c r="D88" s="68"/>
      <c r="E88" s="69">
        <v>46148</v>
      </c>
      <c r="F88" s="70">
        <f t="shared" si="30"/>
        <v>46154</v>
      </c>
      <c r="G88" s="71">
        <v>7</v>
      </c>
      <c r="H88" s="72">
        <v>0</v>
      </c>
      <c r="I88" s="88">
        <f t="shared" si="31"/>
        <v>5</v>
      </c>
      <c r="J88" s="89"/>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row>
    <row r="89" spans="1:66" s="45" customFormat="1" ht="18" hidden="1">
      <c r="A89" s="66" t="str">
        <f t="shared" si="19"/>
        <v>1.27</v>
      </c>
      <c r="B89" s="67" t="s">
        <v>46</v>
      </c>
      <c r="C89" s="45" t="s">
        <v>16</v>
      </c>
      <c r="D89" s="68"/>
      <c r="E89" s="69">
        <v>46148</v>
      </c>
      <c r="F89" s="70">
        <f t="shared" si="30"/>
        <v>46154</v>
      </c>
      <c r="G89" s="71">
        <v>7</v>
      </c>
      <c r="H89" s="72">
        <v>0</v>
      </c>
      <c r="I89" s="88">
        <f t="shared" si="31"/>
        <v>5</v>
      </c>
      <c r="J89" s="89"/>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row>
    <row r="90" spans="1:66" s="44" customFormat="1" ht="18" hidden="1">
      <c r="A90" s="73" t="str">
        <f>IF(ISERROR(VALUE(SUBSTITUTE(prevWBS,".",""))),"1",IF(ISERROR(FIND("`",SUBSTITUTE(prevWBS,".","`",1))),TEXT(VALUE(prevWBS)+1,"#"),TEXT(VALUE(LEFT(prevWBS,FIND("`",SUBSTITUTE(prevWBS,".","`",1))-1))+1,"#")))</f>
        <v>2</v>
      </c>
      <c r="B90" s="74" t="s">
        <v>47</v>
      </c>
      <c r="D90" s="75"/>
      <c r="E90" s="76"/>
      <c r="F90" s="76" t="str">
        <f t="shared" si="26"/>
        <v xml:space="preserve"> - </v>
      </c>
      <c r="G90" s="77"/>
      <c r="H90" s="78"/>
      <c r="I90" s="90" t="str">
        <f t="shared" si="27"/>
        <v xml:space="preserve"> - </v>
      </c>
      <c r="J90" s="91"/>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2"/>
      <c r="AR90" s="92"/>
      <c r="AS90" s="92"/>
      <c r="AT90" s="92"/>
      <c r="AU90" s="92"/>
      <c r="AV90" s="92"/>
      <c r="AW90" s="92"/>
      <c r="AX90" s="92"/>
      <c r="AY90" s="92"/>
      <c r="AZ90" s="92"/>
      <c r="BA90" s="92"/>
      <c r="BB90" s="92"/>
      <c r="BC90" s="92"/>
      <c r="BD90" s="92"/>
      <c r="BE90" s="92"/>
      <c r="BF90" s="92"/>
      <c r="BG90" s="92"/>
      <c r="BH90" s="92"/>
      <c r="BI90" s="92"/>
      <c r="BJ90" s="92"/>
      <c r="BK90" s="92"/>
      <c r="BL90" s="92"/>
      <c r="BM90" s="92"/>
      <c r="BN90" s="92"/>
    </row>
    <row r="91" spans="1:66" s="45" customFormat="1" ht="18" hidden="1">
      <c r="A91" s="66" t="str">
        <f t="shared" si="19"/>
        <v>2.1</v>
      </c>
      <c r="B91" s="95" t="s">
        <v>48</v>
      </c>
      <c r="C91" s="45" t="s">
        <v>27</v>
      </c>
      <c r="D91" s="68"/>
      <c r="E91" s="69">
        <v>46034</v>
      </c>
      <c r="F91" s="70">
        <f t="shared" si="26"/>
        <v>46038</v>
      </c>
      <c r="G91" s="71">
        <v>5</v>
      </c>
      <c r="H91" s="72">
        <v>0</v>
      </c>
      <c r="I91" s="88">
        <f t="shared" si="27"/>
        <v>5</v>
      </c>
      <c r="J91" s="89"/>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row>
    <row r="92" spans="1:66" s="45" customFormat="1" ht="18" hidden="1">
      <c r="A92" s="66" t="str">
        <f t="shared" si="19"/>
        <v>2.2</v>
      </c>
      <c r="B92" s="95" t="s">
        <v>49</v>
      </c>
      <c r="C92" s="45" t="s">
        <v>50</v>
      </c>
      <c r="D92" s="68"/>
      <c r="E92" s="69">
        <v>46023</v>
      </c>
      <c r="F92" s="70">
        <f t="shared" si="26"/>
        <v>46032</v>
      </c>
      <c r="G92" s="71">
        <v>10</v>
      </c>
      <c r="H92" s="72">
        <v>0</v>
      </c>
      <c r="I92" s="88">
        <v>6</v>
      </c>
      <c r="J92" s="89"/>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row>
    <row r="93" spans="1:66" s="45" customFormat="1" ht="45" hidden="1" customHeight="1">
      <c r="A93" s="66" t="str">
        <f t="shared" si="19"/>
        <v>2.3</v>
      </c>
      <c r="B93" s="95" t="s">
        <v>51</v>
      </c>
      <c r="C93" s="45" t="s">
        <v>19</v>
      </c>
      <c r="D93" s="68"/>
      <c r="E93" s="69">
        <v>46034</v>
      </c>
      <c r="F93" s="70">
        <f t="shared" si="26"/>
        <v>46038</v>
      </c>
      <c r="G93" s="71">
        <v>5</v>
      </c>
      <c r="H93" s="72">
        <v>0</v>
      </c>
      <c r="I93" s="88">
        <v>5</v>
      </c>
      <c r="J93" s="89"/>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row>
    <row r="94" spans="1:66" s="44" customFormat="1" ht="18" hidden="1">
      <c r="A94" s="73" t="str">
        <f>IF(ISERROR(VALUE(SUBSTITUTE(prevWBS,".",""))),"1",IF(ISERROR(FIND("`",SUBSTITUTE(prevWBS,".","`",1))),TEXT(VALUE(prevWBS)+1,"#"),TEXT(VALUE(LEFT(prevWBS,FIND("`",SUBSTITUTE(prevWBS,".","`",1))-1))+1,"#")))</f>
        <v>3</v>
      </c>
      <c r="B94" s="74" t="s">
        <v>52</v>
      </c>
      <c r="D94" s="75"/>
      <c r="E94" s="76"/>
      <c r="F94" s="76" t="str">
        <f t="shared" ref="F94:F99" si="32">IF(ISBLANK(E94)," - ",IF(G94=0,E94,E94+G94-1))</f>
        <v xml:space="preserve"> - </v>
      </c>
      <c r="G94" s="77"/>
      <c r="H94" s="78"/>
      <c r="I94" s="90" t="str">
        <f t="shared" ref="I94" si="33">IF(OR(F94=0,E94=0)," - ",NETWORKDAYS(E94,F94))</f>
        <v xml:space="preserve"> - </v>
      </c>
      <c r="J94" s="91"/>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2"/>
      <c r="AR94" s="92"/>
      <c r="AS94" s="92"/>
      <c r="AT94" s="92"/>
      <c r="AU94" s="92"/>
      <c r="AV94" s="92"/>
      <c r="AW94" s="92"/>
      <c r="AX94" s="92"/>
      <c r="AY94" s="92"/>
      <c r="AZ94" s="92"/>
      <c r="BA94" s="92"/>
      <c r="BB94" s="92"/>
      <c r="BC94" s="92"/>
      <c r="BD94" s="92"/>
      <c r="BE94" s="92"/>
      <c r="BF94" s="92"/>
      <c r="BG94" s="92"/>
      <c r="BH94" s="92"/>
      <c r="BI94" s="92"/>
      <c r="BJ94" s="92"/>
      <c r="BK94" s="92"/>
      <c r="BL94" s="92"/>
      <c r="BM94" s="92"/>
      <c r="BN94" s="92"/>
    </row>
    <row r="95" spans="1:66" s="45" customFormat="1" ht="18" hidden="1">
      <c r="A95" s="66" t="str">
        <f t="shared" si="19"/>
        <v>3.1</v>
      </c>
      <c r="B95" s="95" t="s">
        <v>53</v>
      </c>
      <c r="C95" s="45" t="s">
        <v>27</v>
      </c>
      <c r="D95" s="68"/>
      <c r="E95" s="69">
        <v>46041</v>
      </c>
      <c r="F95" s="70">
        <f t="shared" si="32"/>
        <v>46044</v>
      </c>
      <c r="G95" s="71">
        <v>4</v>
      </c>
      <c r="H95" s="72">
        <v>0</v>
      </c>
      <c r="I95" s="88">
        <v>4</v>
      </c>
      <c r="J95" s="89"/>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row>
    <row r="96" spans="1:66" s="45" customFormat="1" ht="18" hidden="1">
      <c r="A96" s="66" t="str">
        <f t="shared" si="19"/>
        <v>3.2</v>
      </c>
      <c r="B96" s="95" t="s">
        <v>54</v>
      </c>
      <c r="C96" s="45" t="s">
        <v>19</v>
      </c>
      <c r="D96" s="68"/>
      <c r="E96" s="69">
        <v>46041</v>
      </c>
      <c r="F96" s="70">
        <f t="shared" si="32"/>
        <v>46044</v>
      </c>
      <c r="G96" s="71">
        <v>4</v>
      </c>
      <c r="H96" s="72">
        <v>0</v>
      </c>
      <c r="I96" s="88">
        <v>4</v>
      </c>
      <c r="J96" s="89"/>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row>
    <row r="97" spans="1:66" s="45" customFormat="1" ht="18" hidden="1">
      <c r="A97" s="66" t="str">
        <f t="shared" si="19"/>
        <v>3.3</v>
      </c>
      <c r="B97" s="95" t="s">
        <v>55</v>
      </c>
      <c r="C97" s="45" t="s">
        <v>15</v>
      </c>
      <c r="D97" s="68"/>
      <c r="E97" s="69">
        <v>46045</v>
      </c>
      <c r="F97" s="70">
        <f t="shared" si="32"/>
        <v>46050</v>
      </c>
      <c r="G97" s="71">
        <v>6</v>
      </c>
      <c r="H97" s="72">
        <v>0</v>
      </c>
      <c r="I97" s="88">
        <v>4</v>
      </c>
      <c r="J97" s="89"/>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row>
    <row r="98" spans="1:66" s="45" customFormat="1" ht="18" hidden="1">
      <c r="A98" s="66" t="str">
        <f t="shared" si="19"/>
        <v>3.4</v>
      </c>
      <c r="B98" s="95" t="s">
        <v>56</v>
      </c>
      <c r="C98" s="45" t="s">
        <v>15</v>
      </c>
      <c r="D98" s="68"/>
      <c r="E98" s="69">
        <v>46051</v>
      </c>
      <c r="F98" s="70">
        <f t="shared" si="32"/>
        <v>46056</v>
      </c>
      <c r="G98" s="71">
        <v>6</v>
      </c>
      <c r="H98" s="72">
        <v>0</v>
      </c>
      <c r="I98" s="88">
        <v>4</v>
      </c>
      <c r="J98" s="89"/>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row>
    <row r="99" spans="1:66" s="45" customFormat="1" ht="18" hidden="1">
      <c r="A99" s="66" t="str">
        <f t="shared" si="19"/>
        <v>3.5</v>
      </c>
      <c r="B99" s="95" t="s">
        <v>57</v>
      </c>
      <c r="C99" s="45" t="s">
        <v>16</v>
      </c>
      <c r="D99" s="68"/>
      <c r="E99" s="69">
        <v>46045</v>
      </c>
      <c r="F99" s="70">
        <f t="shared" si="32"/>
        <v>46050</v>
      </c>
      <c r="G99" s="71">
        <v>6</v>
      </c>
      <c r="H99" s="72">
        <v>0</v>
      </c>
      <c r="I99" s="88">
        <v>4</v>
      </c>
      <c r="J99" s="89"/>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row>
    <row r="100" spans="1:66" s="44" customFormat="1" ht="18" hidden="1">
      <c r="A100" s="73" t="str">
        <f>IF(ISERROR(VALUE(SUBSTITUTE(prevWBS,".",""))),"1",IF(ISERROR(FIND("`",SUBSTITUTE(prevWBS,".","`",1))),TEXT(VALUE(prevWBS)+1,"#"),TEXT(VALUE(LEFT(prevWBS,FIND("`",SUBSTITUTE(prevWBS,".","`",1))-1))+1,"#")))</f>
        <v>4</v>
      </c>
      <c r="B100" s="74" t="s">
        <v>58</v>
      </c>
      <c r="D100" s="75"/>
      <c r="E100" s="76"/>
      <c r="F100" s="76" t="str">
        <f t="shared" ref="F100:F101" si="34">IF(ISBLANK(E100)," - ",IF(G100=0,E100,E100+G100-1))</f>
        <v xml:space="preserve"> - </v>
      </c>
      <c r="G100" s="77"/>
      <c r="H100" s="78"/>
      <c r="I100" s="90" t="str">
        <f t="shared" ref="I100" si="35">IF(OR(F100=0,E100=0)," - ",NETWORKDAYS(E100,F100))</f>
        <v xml:space="preserve"> - </v>
      </c>
      <c r="J100" s="91"/>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2"/>
      <c r="AR100" s="92"/>
      <c r="AS100" s="92"/>
      <c r="AT100" s="92"/>
      <c r="AU100" s="92"/>
      <c r="AV100" s="92"/>
      <c r="AW100" s="92"/>
      <c r="AX100" s="92"/>
      <c r="AY100" s="92"/>
      <c r="AZ100" s="92"/>
      <c r="BA100" s="92"/>
      <c r="BB100" s="92"/>
      <c r="BC100" s="92"/>
      <c r="BD100" s="92"/>
      <c r="BE100" s="92"/>
      <c r="BF100" s="92"/>
      <c r="BG100" s="92"/>
      <c r="BH100" s="92"/>
      <c r="BI100" s="92"/>
      <c r="BJ100" s="92"/>
      <c r="BK100" s="92"/>
      <c r="BL100" s="92"/>
      <c r="BM100" s="92"/>
      <c r="BN100" s="92"/>
    </row>
    <row r="101" spans="1:66" s="45" customFormat="1" ht="18" hidden="1">
      <c r="A101" s="66" t="str">
        <f t="shared" si="19"/>
        <v>4.1</v>
      </c>
      <c r="B101" s="95" t="s">
        <v>59</v>
      </c>
      <c r="C101" s="45" t="s">
        <v>27</v>
      </c>
      <c r="D101" s="68"/>
      <c r="E101" s="69">
        <v>46051</v>
      </c>
      <c r="F101" s="70">
        <f t="shared" si="34"/>
        <v>46056</v>
      </c>
      <c r="G101" s="71">
        <v>6</v>
      </c>
      <c r="H101" s="72">
        <v>0</v>
      </c>
      <c r="I101" s="88">
        <v>4</v>
      </c>
      <c r="J101" s="89"/>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row>
  </sheetData>
  <sheetProtection formatCells="0" formatColumns="0" formatRows="0" insertRows="0" deleteRows="0"/>
  <mergeCells count="19">
    <mergeCell ref="AM5:AS5"/>
    <mergeCell ref="AT5:AZ5"/>
    <mergeCell ref="BA5:BG5"/>
    <mergeCell ref="BH5:BN5"/>
    <mergeCell ref="C5:E5"/>
    <mergeCell ref="K5:Q5"/>
    <mergeCell ref="R5:X5"/>
    <mergeCell ref="Y5:AE5"/>
    <mergeCell ref="AF5:AL5"/>
    <mergeCell ref="AF4:AL4"/>
    <mergeCell ref="AM4:AS4"/>
    <mergeCell ref="AT4:AZ4"/>
    <mergeCell ref="BA4:BG4"/>
    <mergeCell ref="BH4:BN4"/>
    <mergeCell ref="K1:AE1"/>
    <mergeCell ref="C4:E4"/>
    <mergeCell ref="K4:Q4"/>
    <mergeCell ref="R4:X4"/>
    <mergeCell ref="Y4:AE4"/>
  </mergeCells>
  <conditionalFormatting sqref="H8:H10 H62:H67">
    <cfRule type="dataBar" priority="166">
      <dataBar>
        <cfvo type="num" val="0"/>
        <cfvo type="num" val="1"/>
        <color theme="0" tint="-0.34998626667073579"/>
      </dataBar>
      <extLst>
        <ext xmlns:x14="http://schemas.microsoft.com/office/spreadsheetml/2009/9/main" uri="{B025F937-C7B1-47D3-B67F-A62EFF666E3E}">
          <x14:id>{D834253C-2637-4CD8-BB87-5780A1DCFB68}</x14:id>
        </ext>
      </extLst>
    </cfRule>
  </conditionalFormatting>
  <conditionalFormatting sqref="H11">
    <cfRule type="dataBar" priority="53">
      <dataBar>
        <cfvo type="num" val="0"/>
        <cfvo type="num" val="1"/>
        <color theme="0" tint="-0.34998626667073579"/>
      </dataBar>
      <extLst>
        <ext xmlns:x14="http://schemas.microsoft.com/office/spreadsheetml/2009/9/main" uri="{B025F937-C7B1-47D3-B67F-A62EFF666E3E}">
          <x14:id>{9DBCF6A1-040E-42DB-8847-078569C48B8A}</x14:id>
        </ext>
      </extLst>
    </cfRule>
  </conditionalFormatting>
  <conditionalFormatting sqref="H12:H14">
    <cfRule type="dataBar" priority="49">
      <dataBar>
        <cfvo type="num" val="0"/>
        <cfvo type="num" val="1"/>
        <color theme="0" tint="-0.34998626667073579"/>
      </dataBar>
      <extLst>
        <ext xmlns:x14="http://schemas.microsoft.com/office/spreadsheetml/2009/9/main" uri="{B025F937-C7B1-47D3-B67F-A62EFF666E3E}">
          <x14:id>{BFC745BB-0CC0-42B8-8CC2-ACE24C0EB15C}</x14:id>
        </ext>
      </extLst>
    </cfRule>
  </conditionalFormatting>
  <conditionalFormatting sqref="H15">
    <cfRule type="dataBar" priority="45">
      <dataBar>
        <cfvo type="num" val="0"/>
        <cfvo type="num" val="1"/>
        <color theme="0" tint="-0.34998626667073579"/>
      </dataBar>
      <extLst>
        <ext xmlns:x14="http://schemas.microsoft.com/office/spreadsheetml/2009/9/main" uri="{B025F937-C7B1-47D3-B67F-A62EFF666E3E}">
          <x14:id>{FA5CC67D-61F1-4CC3-AC50-36FEE0097B6B}</x14:id>
        </ext>
      </extLst>
    </cfRule>
  </conditionalFormatting>
  <conditionalFormatting sqref="H16">
    <cfRule type="dataBar" priority="33">
      <dataBar>
        <cfvo type="num" val="0"/>
        <cfvo type="num" val="1"/>
        <color theme="0" tint="-0.34998626667073579"/>
      </dataBar>
      <extLst>
        <ext xmlns:x14="http://schemas.microsoft.com/office/spreadsheetml/2009/9/main" uri="{B025F937-C7B1-47D3-B67F-A62EFF666E3E}">
          <x14:id>{A15FFD4D-71F6-4F94-91C5-3D7A56139C96}</x14:id>
        </ext>
      </extLst>
    </cfRule>
  </conditionalFormatting>
  <conditionalFormatting sqref="H17">
    <cfRule type="dataBar" priority="29">
      <dataBar>
        <cfvo type="num" val="0"/>
        <cfvo type="num" val="1"/>
        <color theme="0" tint="-0.34998626667073579"/>
      </dataBar>
      <extLst>
        <ext xmlns:x14="http://schemas.microsoft.com/office/spreadsheetml/2009/9/main" uri="{B025F937-C7B1-47D3-B67F-A62EFF666E3E}">
          <x14:id>{EC7A5987-0317-4F8F-B036-0AAA4FFCEF18}</x14:id>
        </ext>
      </extLst>
    </cfRule>
  </conditionalFormatting>
  <conditionalFormatting sqref="H18">
    <cfRule type="dataBar" priority="25">
      <dataBar>
        <cfvo type="num" val="0"/>
        <cfvo type="num" val="1"/>
        <color theme="0" tint="-0.34998626667073579"/>
      </dataBar>
      <extLst>
        <ext xmlns:x14="http://schemas.microsoft.com/office/spreadsheetml/2009/9/main" uri="{B025F937-C7B1-47D3-B67F-A62EFF666E3E}">
          <x14:id>{1ABC0867-9008-4CB7-A012-4723BF84D318}</x14:id>
        </ext>
      </extLst>
    </cfRule>
  </conditionalFormatting>
  <conditionalFormatting sqref="H19">
    <cfRule type="dataBar" priority="21">
      <dataBar>
        <cfvo type="num" val="0"/>
        <cfvo type="num" val="1"/>
        <color theme="0" tint="-0.34998626667073579"/>
      </dataBar>
      <extLst>
        <ext xmlns:x14="http://schemas.microsoft.com/office/spreadsheetml/2009/9/main" uri="{B025F937-C7B1-47D3-B67F-A62EFF666E3E}">
          <x14:id>{E8DE2DCF-2ACE-439A-B5AD-8BAA49CB0177}</x14:id>
        </ext>
      </extLst>
    </cfRule>
  </conditionalFormatting>
  <conditionalFormatting sqref="H20">
    <cfRule type="dataBar" priority="17">
      <dataBar>
        <cfvo type="num" val="0"/>
        <cfvo type="num" val="1"/>
        <color theme="0" tint="-0.34998626667073579"/>
      </dataBar>
      <extLst>
        <ext xmlns:x14="http://schemas.microsoft.com/office/spreadsheetml/2009/9/main" uri="{B025F937-C7B1-47D3-B67F-A62EFF666E3E}">
          <x14:id>{2D17D9C4-640A-4DBE-8963-4F7CAC60024D}</x14:id>
        </ext>
      </extLst>
    </cfRule>
  </conditionalFormatting>
  <conditionalFormatting sqref="H21">
    <cfRule type="dataBar" priority="9">
      <dataBar>
        <cfvo type="num" val="0"/>
        <cfvo type="num" val="1"/>
        <color theme="0" tint="-0.34998626667073579"/>
      </dataBar>
      <extLst>
        <ext xmlns:x14="http://schemas.microsoft.com/office/spreadsheetml/2009/9/main" uri="{B025F937-C7B1-47D3-B67F-A62EFF666E3E}">
          <x14:id>{907C1B43-1215-4343-A5B6-1D914534F244}</x14:id>
        </ext>
      </extLst>
    </cfRule>
  </conditionalFormatting>
  <conditionalFormatting sqref="H22">
    <cfRule type="dataBar" priority="5">
      <dataBar>
        <cfvo type="num" val="0"/>
        <cfvo type="num" val="1"/>
        <color theme="0" tint="-0.34998626667073579"/>
      </dataBar>
      <extLst>
        <ext xmlns:x14="http://schemas.microsoft.com/office/spreadsheetml/2009/9/main" uri="{B025F937-C7B1-47D3-B67F-A62EFF666E3E}">
          <x14:id>{3712B26A-4D34-442F-83C9-C966D2A6F17E}</x14:id>
        </ext>
      </extLst>
    </cfRule>
  </conditionalFormatting>
  <conditionalFormatting sqref="H23:H61">
    <cfRule type="dataBar" priority="1">
      <dataBar>
        <cfvo type="num" val="0"/>
        <cfvo type="num" val="1"/>
        <color theme="0" tint="-0.34998626667073579"/>
      </dataBar>
      <extLst>
        <ext xmlns:x14="http://schemas.microsoft.com/office/spreadsheetml/2009/9/main" uri="{B025F937-C7B1-47D3-B67F-A62EFF666E3E}">
          <x14:id>{BC7E2AE5-173A-48C2-B98F-7178E265808B}</x14:id>
        </ext>
      </extLst>
    </cfRule>
  </conditionalFormatting>
  <conditionalFormatting sqref="H68:H72">
    <cfRule type="dataBar" priority="153">
      <dataBar>
        <cfvo type="num" val="0"/>
        <cfvo type="num" val="1"/>
        <color theme="0" tint="-0.34998626667073579"/>
      </dataBar>
      <extLst>
        <ext xmlns:x14="http://schemas.microsoft.com/office/spreadsheetml/2009/9/main" uri="{B025F937-C7B1-47D3-B67F-A62EFF666E3E}">
          <x14:id>{D3DB2C3F-6C47-40F8-8848-827B2A997705}</x14:id>
        </ext>
      </extLst>
    </cfRule>
  </conditionalFormatting>
  <conditionalFormatting sqref="H73:H75">
    <cfRule type="dataBar" priority="149">
      <dataBar>
        <cfvo type="num" val="0"/>
        <cfvo type="num" val="1"/>
        <color theme="0" tint="-0.34998626667073579"/>
      </dataBar>
      <extLst>
        <ext xmlns:x14="http://schemas.microsoft.com/office/spreadsheetml/2009/9/main" uri="{B025F937-C7B1-47D3-B67F-A62EFF666E3E}">
          <x14:id>{3C42B16F-A101-4A97-868D-5B8146B1C130}</x14:id>
        </ext>
      </extLst>
    </cfRule>
  </conditionalFormatting>
  <conditionalFormatting sqref="H76">
    <cfRule type="dataBar" priority="93">
      <dataBar>
        <cfvo type="num" val="0"/>
        <cfvo type="num" val="1"/>
        <color theme="0" tint="-0.34998626667073579"/>
      </dataBar>
      <extLst>
        <ext xmlns:x14="http://schemas.microsoft.com/office/spreadsheetml/2009/9/main" uri="{B025F937-C7B1-47D3-B67F-A62EFF666E3E}">
          <x14:id>{95297AF6-74B6-45A3-8917-B1B696C9161B}</x14:id>
        </ext>
      </extLst>
    </cfRule>
  </conditionalFormatting>
  <conditionalFormatting sqref="H77">
    <cfRule type="dataBar" priority="89">
      <dataBar>
        <cfvo type="num" val="0"/>
        <cfvo type="num" val="1"/>
        <color theme="0" tint="-0.34998626667073579"/>
      </dataBar>
      <extLst>
        <ext xmlns:x14="http://schemas.microsoft.com/office/spreadsheetml/2009/9/main" uri="{B025F937-C7B1-47D3-B67F-A62EFF666E3E}">
          <x14:id>{2D435DCA-F0F5-4AE4-AA8B-9FC0907B9986}</x14:id>
        </ext>
      </extLst>
    </cfRule>
  </conditionalFormatting>
  <conditionalFormatting sqref="H78:H82">
    <cfRule type="dataBar" priority="145">
      <dataBar>
        <cfvo type="num" val="0"/>
        <cfvo type="num" val="1"/>
        <color theme="0" tint="-0.34998626667073579"/>
      </dataBar>
      <extLst>
        <ext xmlns:x14="http://schemas.microsoft.com/office/spreadsheetml/2009/9/main" uri="{B025F937-C7B1-47D3-B67F-A62EFF666E3E}">
          <x14:id>{09DABF8A-BD08-4C92-845E-E7AAD159D374}</x14:id>
        </ext>
      </extLst>
    </cfRule>
  </conditionalFormatting>
  <conditionalFormatting sqref="H83:H84">
    <cfRule type="dataBar" priority="141">
      <dataBar>
        <cfvo type="num" val="0"/>
        <cfvo type="num" val="1"/>
        <color theme="0" tint="-0.34998626667073579"/>
      </dataBar>
      <extLst>
        <ext xmlns:x14="http://schemas.microsoft.com/office/spreadsheetml/2009/9/main" uri="{B025F937-C7B1-47D3-B67F-A62EFF666E3E}">
          <x14:id>{B21B1AD0-95C6-4399-A847-B94749D393A8}</x14:id>
        </ext>
      </extLst>
    </cfRule>
  </conditionalFormatting>
  <conditionalFormatting sqref="H85">
    <cfRule type="dataBar" priority="85">
      <dataBar>
        <cfvo type="num" val="0"/>
        <cfvo type="num" val="1"/>
        <color theme="0" tint="-0.34998626667073579"/>
      </dataBar>
      <extLst>
        <ext xmlns:x14="http://schemas.microsoft.com/office/spreadsheetml/2009/9/main" uri="{B025F937-C7B1-47D3-B67F-A62EFF666E3E}">
          <x14:id>{98F1A4B0-A001-42E2-8DE0-E6D7F5D6E540}</x14:id>
        </ext>
      </extLst>
    </cfRule>
  </conditionalFormatting>
  <conditionalFormatting sqref="H86">
    <cfRule type="dataBar" priority="77">
      <dataBar>
        <cfvo type="num" val="0"/>
        <cfvo type="num" val="1"/>
        <color theme="0" tint="-0.34998626667073579"/>
      </dataBar>
      <extLst>
        <ext xmlns:x14="http://schemas.microsoft.com/office/spreadsheetml/2009/9/main" uri="{B025F937-C7B1-47D3-B67F-A62EFF666E3E}">
          <x14:id>{10EB3915-CCE8-4C24-8987-0286556DCB28}</x14:id>
        </ext>
      </extLst>
    </cfRule>
  </conditionalFormatting>
  <conditionalFormatting sqref="H87">
    <cfRule type="dataBar" priority="73">
      <dataBar>
        <cfvo type="num" val="0"/>
        <cfvo type="num" val="1"/>
        <color theme="0" tint="-0.34998626667073579"/>
      </dataBar>
      <extLst>
        <ext xmlns:x14="http://schemas.microsoft.com/office/spreadsheetml/2009/9/main" uri="{B025F937-C7B1-47D3-B67F-A62EFF666E3E}">
          <x14:id>{5118D0D2-5AC0-4660-B543-87D1DAFE9F4B}</x14:id>
        </ext>
      </extLst>
    </cfRule>
  </conditionalFormatting>
  <conditionalFormatting sqref="H88">
    <cfRule type="dataBar" priority="65">
      <dataBar>
        <cfvo type="num" val="0"/>
        <cfvo type="num" val="1"/>
        <color theme="0" tint="-0.34998626667073579"/>
      </dataBar>
      <extLst>
        <ext xmlns:x14="http://schemas.microsoft.com/office/spreadsheetml/2009/9/main" uri="{B025F937-C7B1-47D3-B67F-A62EFF666E3E}">
          <x14:id>{68765232-9793-455A-8466-C71FDEA78B82}</x14:id>
        </ext>
      </extLst>
    </cfRule>
  </conditionalFormatting>
  <conditionalFormatting sqref="H89">
    <cfRule type="dataBar" priority="61">
      <dataBar>
        <cfvo type="num" val="0"/>
        <cfvo type="num" val="1"/>
        <color theme="0" tint="-0.34998626667073579"/>
      </dataBar>
      <extLst>
        <ext xmlns:x14="http://schemas.microsoft.com/office/spreadsheetml/2009/9/main" uri="{B025F937-C7B1-47D3-B67F-A62EFF666E3E}">
          <x14:id>{45131D56-85BF-4A2C-8EE8-538D1B5E223C}</x14:id>
        </ext>
      </extLst>
    </cfRule>
  </conditionalFormatting>
  <conditionalFormatting sqref="H90">
    <cfRule type="dataBar" priority="133">
      <dataBar>
        <cfvo type="num" val="0"/>
        <cfvo type="num" val="1"/>
        <color theme="0" tint="-0.34998626667073579"/>
      </dataBar>
      <extLst>
        <ext xmlns:x14="http://schemas.microsoft.com/office/spreadsheetml/2009/9/main" uri="{B025F937-C7B1-47D3-B67F-A62EFF666E3E}">
          <x14:id>{74064339-B963-47EA-87E8-2B884F59CF6B}</x14:id>
        </ext>
      </extLst>
    </cfRule>
  </conditionalFormatting>
  <conditionalFormatting sqref="H91:H93">
    <cfRule type="dataBar" priority="129">
      <dataBar>
        <cfvo type="num" val="0"/>
        <cfvo type="num" val="1"/>
        <color theme="0" tint="-0.34998626667073579"/>
      </dataBar>
      <extLst>
        <ext xmlns:x14="http://schemas.microsoft.com/office/spreadsheetml/2009/9/main" uri="{B025F937-C7B1-47D3-B67F-A62EFF666E3E}">
          <x14:id>{409F0501-C7EF-40E7-8630-1268448E74EB}</x14:id>
        </ext>
      </extLst>
    </cfRule>
  </conditionalFormatting>
  <conditionalFormatting sqref="H94">
    <cfRule type="dataBar" priority="121">
      <dataBar>
        <cfvo type="num" val="0"/>
        <cfvo type="num" val="1"/>
        <color theme="0" tint="-0.34998626667073579"/>
      </dataBar>
      <extLst>
        <ext xmlns:x14="http://schemas.microsoft.com/office/spreadsheetml/2009/9/main" uri="{B025F937-C7B1-47D3-B67F-A62EFF666E3E}">
          <x14:id>{8B977969-9EAC-4FFC-B673-BD8EC0F829F9}</x14:id>
        </ext>
      </extLst>
    </cfRule>
  </conditionalFormatting>
  <conditionalFormatting sqref="H95:H99">
    <cfRule type="dataBar" priority="113">
      <dataBar>
        <cfvo type="num" val="0"/>
        <cfvo type="num" val="1"/>
        <color theme="0" tint="-0.34998626667073579"/>
      </dataBar>
      <extLst>
        <ext xmlns:x14="http://schemas.microsoft.com/office/spreadsheetml/2009/9/main" uri="{B025F937-C7B1-47D3-B67F-A62EFF666E3E}">
          <x14:id>{B502B2EA-46E0-4770-89C1-BE08E83EC7AB}</x14:id>
        </ext>
      </extLst>
    </cfRule>
  </conditionalFormatting>
  <conditionalFormatting sqref="H100">
    <cfRule type="dataBar" priority="101">
      <dataBar>
        <cfvo type="num" val="0"/>
        <cfvo type="num" val="1"/>
        <color theme="0" tint="-0.34998626667073579"/>
      </dataBar>
      <extLst>
        <ext xmlns:x14="http://schemas.microsoft.com/office/spreadsheetml/2009/9/main" uri="{B025F937-C7B1-47D3-B67F-A62EFF666E3E}">
          <x14:id>{278381FD-084D-48F8-8C3E-ED8A470CB7F5}</x14:id>
        </ext>
      </extLst>
    </cfRule>
  </conditionalFormatting>
  <conditionalFormatting sqref="H101">
    <cfRule type="dataBar" priority="97">
      <dataBar>
        <cfvo type="num" val="0"/>
        <cfvo type="num" val="1"/>
        <color theme="0" tint="-0.34998626667073579"/>
      </dataBar>
      <extLst>
        <ext xmlns:x14="http://schemas.microsoft.com/office/spreadsheetml/2009/9/main" uri="{B025F937-C7B1-47D3-B67F-A62EFF666E3E}">
          <x14:id>{087D2E0B-0BF5-4922-A951-DE98CD967E81}</x14:id>
        </ext>
      </extLst>
    </cfRule>
  </conditionalFormatting>
  <conditionalFormatting sqref="K6:BN7">
    <cfRule type="expression" dxfId="3" priority="209">
      <formula>K$6=TODAY()</formula>
    </cfRule>
  </conditionalFormatting>
  <conditionalFormatting sqref="K6:BN101">
    <cfRule type="expression" dxfId="2" priority="46">
      <formula>K$6=TODAY()</formula>
    </cfRule>
  </conditionalFormatting>
  <conditionalFormatting sqref="K8:BN101">
    <cfRule type="expression" dxfId="1" priority="47">
      <formula>AND($E8&lt;=K$6,ROUNDDOWN(($F8-$E8+1)*$H8,0)+$E8-1&gt;=K$6)</formula>
    </cfRule>
    <cfRule type="expression" dxfId="0" priority="48">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53" orientation="landscape" r:id="rId1"/>
  <headerFooter alignWithMargins="0"/>
  <ignoredErrors>
    <ignoredError sqref="A62" formula="1"/>
    <ignoredError sqref="E62 G62:H62 H64:H66"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D834253C-2637-4CD8-BB87-5780A1DCFB68}">
            <x14:dataBar minLength="0" maxLength="100" gradient="0">
              <x14:cfvo type="num">
                <xm:f>0</xm:f>
              </x14:cfvo>
              <x14:cfvo type="num">
                <xm:f>1</xm:f>
              </x14:cfvo>
              <x14:negativeFillColor rgb="FFFF0000"/>
              <x14:axisColor rgb="FF000000"/>
            </x14:dataBar>
          </x14:cfRule>
          <xm:sqref>H8:H10 H62:H67</xm:sqref>
        </x14:conditionalFormatting>
        <x14:conditionalFormatting xmlns:xm="http://schemas.microsoft.com/office/excel/2006/main">
          <x14:cfRule type="dataBar" id="{9DBCF6A1-040E-42DB-8847-078569C48B8A}">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BFC745BB-0CC0-42B8-8CC2-ACE24C0EB15C}">
            <x14:dataBar minLength="0" maxLength="100" gradient="0">
              <x14:cfvo type="num">
                <xm:f>0</xm:f>
              </x14:cfvo>
              <x14:cfvo type="num">
                <xm:f>1</xm:f>
              </x14:cfvo>
              <x14:negativeFillColor rgb="FFFF0000"/>
              <x14:axisColor rgb="FF000000"/>
            </x14:dataBar>
          </x14:cfRule>
          <xm:sqref>H12:H14</xm:sqref>
        </x14:conditionalFormatting>
        <x14:conditionalFormatting xmlns:xm="http://schemas.microsoft.com/office/excel/2006/main">
          <x14:cfRule type="dataBar" id="{FA5CC67D-61F1-4CC3-AC50-36FEE0097B6B}">
            <x14:dataBar minLength="0" maxLength="100" gradient="0">
              <x14:cfvo type="num">
                <xm:f>0</xm:f>
              </x14:cfvo>
              <x14:cfvo type="num">
                <xm:f>1</xm:f>
              </x14:cfvo>
              <x14:negativeFillColor rgb="FFFF0000"/>
              <x14:axisColor rgb="FF000000"/>
            </x14:dataBar>
          </x14:cfRule>
          <xm:sqref>H15</xm:sqref>
        </x14:conditionalFormatting>
        <x14:conditionalFormatting xmlns:xm="http://schemas.microsoft.com/office/excel/2006/main">
          <x14:cfRule type="dataBar" id="{A15FFD4D-71F6-4F94-91C5-3D7A56139C96}">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EC7A5987-0317-4F8F-B036-0AAA4FFCEF18}">
            <x14:dataBar minLength="0" maxLength="100" gradient="0">
              <x14:cfvo type="num">
                <xm:f>0</xm:f>
              </x14:cfvo>
              <x14:cfvo type="num">
                <xm:f>1</xm:f>
              </x14:cfvo>
              <x14:negativeFillColor rgb="FFFF0000"/>
              <x14:axisColor rgb="FF000000"/>
            </x14:dataBar>
          </x14:cfRule>
          <xm:sqref>H17</xm:sqref>
        </x14:conditionalFormatting>
        <x14:conditionalFormatting xmlns:xm="http://schemas.microsoft.com/office/excel/2006/main">
          <x14:cfRule type="dataBar" id="{1ABC0867-9008-4CB7-A012-4723BF84D318}">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E8DE2DCF-2ACE-439A-B5AD-8BAA49CB0177}">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2D17D9C4-640A-4DBE-8963-4F7CAC60024D}">
            <x14:dataBar minLength="0" maxLength="100" gradient="0">
              <x14:cfvo type="num">
                <xm:f>0</xm:f>
              </x14:cfvo>
              <x14:cfvo type="num">
                <xm:f>1</xm:f>
              </x14:cfvo>
              <x14:negativeFillColor rgb="FFFF0000"/>
              <x14:axisColor rgb="FF000000"/>
            </x14:dataBar>
          </x14:cfRule>
          <xm:sqref>H20</xm:sqref>
        </x14:conditionalFormatting>
        <x14:conditionalFormatting xmlns:xm="http://schemas.microsoft.com/office/excel/2006/main">
          <x14:cfRule type="dataBar" id="{907C1B43-1215-4343-A5B6-1D914534F244}">
            <x14:dataBar minLength="0" maxLength="100" gradient="0">
              <x14:cfvo type="num">
                <xm:f>0</xm:f>
              </x14:cfvo>
              <x14:cfvo type="num">
                <xm:f>1</xm:f>
              </x14:cfvo>
              <x14:negativeFillColor rgb="FFFF0000"/>
              <x14:axisColor rgb="FF000000"/>
            </x14:dataBar>
          </x14:cfRule>
          <xm:sqref>H21</xm:sqref>
        </x14:conditionalFormatting>
        <x14:conditionalFormatting xmlns:xm="http://schemas.microsoft.com/office/excel/2006/main">
          <x14:cfRule type="dataBar" id="{3712B26A-4D34-442F-83C9-C966D2A6F17E}">
            <x14:dataBar minLength="0" maxLength="100" gradient="0">
              <x14:cfvo type="num">
                <xm:f>0</xm:f>
              </x14:cfvo>
              <x14:cfvo type="num">
                <xm:f>1</xm:f>
              </x14:cfvo>
              <x14:negativeFillColor rgb="FFFF0000"/>
              <x14:axisColor rgb="FF000000"/>
            </x14:dataBar>
          </x14:cfRule>
          <xm:sqref>H22</xm:sqref>
        </x14:conditionalFormatting>
        <x14:conditionalFormatting xmlns:xm="http://schemas.microsoft.com/office/excel/2006/main">
          <x14:cfRule type="dataBar" id="{BC7E2AE5-173A-48C2-B98F-7178E265808B}">
            <x14:dataBar minLength="0" maxLength="100" gradient="0">
              <x14:cfvo type="num">
                <xm:f>0</xm:f>
              </x14:cfvo>
              <x14:cfvo type="num">
                <xm:f>1</xm:f>
              </x14:cfvo>
              <x14:negativeFillColor rgb="FFFF0000"/>
              <x14:axisColor rgb="FF000000"/>
            </x14:dataBar>
          </x14:cfRule>
          <xm:sqref>H23:H61</xm:sqref>
        </x14:conditionalFormatting>
        <x14:conditionalFormatting xmlns:xm="http://schemas.microsoft.com/office/excel/2006/main">
          <x14:cfRule type="dataBar" id="{D3DB2C3F-6C47-40F8-8848-827B2A997705}">
            <x14:dataBar minLength="0" maxLength="100" gradient="0">
              <x14:cfvo type="num">
                <xm:f>0</xm:f>
              </x14:cfvo>
              <x14:cfvo type="num">
                <xm:f>1</xm:f>
              </x14:cfvo>
              <x14:negativeFillColor rgb="FFFF0000"/>
              <x14:axisColor rgb="FF000000"/>
            </x14:dataBar>
          </x14:cfRule>
          <xm:sqref>H68:H72</xm:sqref>
        </x14:conditionalFormatting>
        <x14:conditionalFormatting xmlns:xm="http://schemas.microsoft.com/office/excel/2006/main">
          <x14:cfRule type="dataBar" id="{3C42B16F-A101-4A97-868D-5B8146B1C130}">
            <x14:dataBar minLength="0" maxLength="100" gradient="0">
              <x14:cfvo type="num">
                <xm:f>0</xm:f>
              </x14:cfvo>
              <x14:cfvo type="num">
                <xm:f>1</xm:f>
              </x14:cfvo>
              <x14:negativeFillColor rgb="FFFF0000"/>
              <x14:axisColor rgb="FF000000"/>
            </x14:dataBar>
          </x14:cfRule>
          <xm:sqref>H73:H75</xm:sqref>
        </x14:conditionalFormatting>
        <x14:conditionalFormatting xmlns:xm="http://schemas.microsoft.com/office/excel/2006/main">
          <x14:cfRule type="dataBar" id="{95297AF6-74B6-45A3-8917-B1B696C9161B}">
            <x14:dataBar minLength="0" maxLength="100" gradient="0">
              <x14:cfvo type="num">
                <xm:f>0</xm:f>
              </x14:cfvo>
              <x14:cfvo type="num">
                <xm:f>1</xm:f>
              </x14:cfvo>
              <x14:negativeFillColor rgb="FFFF0000"/>
              <x14:axisColor rgb="FF000000"/>
            </x14:dataBar>
          </x14:cfRule>
          <xm:sqref>H76</xm:sqref>
        </x14:conditionalFormatting>
        <x14:conditionalFormatting xmlns:xm="http://schemas.microsoft.com/office/excel/2006/main">
          <x14:cfRule type="dataBar" id="{2D435DCA-F0F5-4AE4-AA8B-9FC0907B9986}">
            <x14:dataBar minLength="0" maxLength="100" gradient="0">
              <x14:cfvo type="num">
                <xm:f>0</xm:f>
              </x14:cfvo>
              <x14:cfvo type="num">
                <xm:f>1</xm:f>
              </x14:cfvo>
              <x14:negativeFillColor rgb="FFFF0000"/>
              <x14:axisColor rgb="FF000000"/>
            </x14:dataBar>
          </x14:cfRule>
          <xm:sqref>H77</xm:sqref>
        </x14:conditionalFormatting>
        <x14:conditionalFormatting xmlns:xm="http://schemas.microsoft.com/office/excel/2006/main">
          <x14:cfRule type="dataBar" id="{09DABF8A-BD08-4C92-845E-E7AAD159D374}">
            <x14:dataBar minLength="0" maxLength="100" gradient="0">
              <x14:cfvo type="num">
                <xm:f>0</xm:f>
              </x14:cfvo>
              <x14:cfvo type="num">
                <xm:f>1</xm:f>
              </x14:cfvo>
              <x14:negativeFillColor rgb="FFFF0000"/>
              <x14:axisColor rgb="FF000000"/>
            </x14:dataBar>
          </x14:cfRule>
          <xm:sqref>H78:H82</xm:sqref>
        </x14:conditionalFormatting>
        <x14:conditionalFormatting xmlns:xm="http://schemas.microsoft.com/office/excel/2006/main">
          <x14:cfRule type="dataBar" id="{B21B1AD0-95C6-4399-A847-B94749D393A8}">
            <x14:dataBar minLength="0" maxLength="100" gradient="0">
              <x14:cfvo type="num">
                <xm:f>0</xm:f>
              </x14:cfvo>
              <x14:cfvo type="num">
                <xm:f>1</xm:f>
              </x14:cfvo>
              <x14:negativeFillColor rgb="FFFF0000"/>
              <x14:axisColor rgb="FF000000"/>
            </x14:dataBar>
          </x14:cfRule>
          <xm:sqref>H83:H84</xm:sqref>
        </x14:conditionalFormatting>
        <x14:conditionalFormatting xmlns:xm="http://schemas.microsoft.com/office/excel/2006/main">
          <x14:cfRule type="dataBar" id="{98F1A4B0-A001-42E2-8DE0-E6D7F5D6E540}">
            <x14:dataBar minLength="0" maxLength="100" gradient="0">
              <x14:cfvo type="num">
                <xm:f>0</xm:f>
              </x14:cfvo>
              <x14:cfvo type="num">
                <xm:f>1</xm:f>
              </x14:cfvo>
              <x14:negativeFillColor rgb="FFFF0000"/>
              <x14:axisColor rgb="FF000000"/>
            </x14:dataBar>
          </x14:cfRule>
          <xm:sqref>H85</xm:sqref>
        </x14:conditionalFormatting>
        <x14:conditionalFormatting xmlns:xm="http://schemas.microsoft.com/office/excel/2006/main">
          <x14:cfRule type="dataBar" id="{10EB3915-CCE8-4C24-8987-0286556DCB28}">
            <x14:dataBar minLength="0" maxLength="100" gradient="0">
              <x14:cfvo type="num">
                <xm:f>0</xm:f>
              </x14:cfvo>
              <x14:cfvo type="num">
                <xm:f>1</xm:f>
              </x14:cfvo>
              <x14:negativeFillColor rgb="FFFF0000"/>
              <x14:axisColor rgb="FF000000"/>
            </x14:dataBar>
          </x14:cfRule>
          <xm:sqref>H86</xm:sqref>
        </x14:conditionalFormatting>
        <x14:conditionalFormatting xmlns:xm="http://schemas.microsoft.com/office/excel/2006/main">
          <x14:cfRule type="dataBar" id="{5118D0D2-5AC0-4660-B543-87D1DAFE9F4B}">
            <x14:dataBar minLength="0" maxLength="100" gradient="0">
              <x14:cfvo type="num">
                <xm:f>0</xm:f>
              </x14:cfvo>
              <x14:cfvo type="num">
                <xm:f>1</xm:f>
              </x14:cfvo>
              <x14:negativeFillColor rgb="FFFF0000"/>
              <x14:axisColor rgb="FF000000"/>
            </x14:dataBar>
          </x14:cfRule>
          <xm:sqref>H87</xm:sqref>
        </x14:conditionalFormatting>
        <x14:conditionalFormatting xmlns:xm="http://schemas.microsoft.com/office/excel/2006/main">
          <x14:cfRule type="dataBar" id="{68765232-9793-455A-8466-C71FDEA78B82}">
            <x14:dataBar minLength="0" maxLength="100" gradient="0">
              <x14:cfvo type="num">
                <xm:f>0</xm:f>
              </x14:cfvo>
              <x14:cfvo type="num">
                <xm:f>1</xm:f>
              </x14:cfvo>
              <x14:negativeFillColor rgb="FFFF0000"/>
              <x14:axisColor rgb="FF000000"/>
            </x14:dataBar>
          </x14:cfRule>
          <xm:sqref>H88</xm:sqref>
        </x14:conditionalFormatting>
        <x14:conditionalFormatting xmlns:xm="http://schemas.microsoft.com/office/excel/2006/main">
          <x14:cfRule type="dataBar" id="{45131D56-85BF-4A2C-8EE8-538D1B5E223C}">
            <x14:dataBar minLength="0" maxLength="100" gradient="0">
              <x14:cfvo type="num">
                <xm:f>0</xm:f>
              </x14:cfvo>
              <x14:cfvo type="num">
                <xm:f>1</xm:f>
              </x14:cfvo>
              <x14:negativeFillColor rgb="FFFF0000"/>
              <x14:axisColor rgb="FF000000"/>
            </x14:dataBar>
          </x14:cfRule>
          <xm:sqref>H89</xm:sqref>
        </x14:conditionalFormatting>
        <x14:conditionalFormatting xmlns:xm="http://schemas.microsoft.com/office/excel/2006/main">
          <x14:cfRule type="dataBar" id="{74064339-B963-47EA-87E8-2B884F59CF6B}">
            <x14:dataBar minLength="0" maxLength="100" gradient="0">
              <x14:cfvo type="num">
                <xm:f>0</xm:f>
              </x14:cfvo>
              <x14:cfvo type="num">
                <xm:f>1</xm:f>
              </x14:cfvo>
              <x14:negativeFillColor rgb="FFFF0000"/>
              <x14:axisColor rgb="FF000000"/>
            </x14:dataBar>
          </x14:cfRule>
          <xm:sqref>H90</xm:sqref>
        </x14:conditionalFormatting>
        <x14:conditionalFormatting xmlns:xm="http://schemas.microsoft.com/office/excel/2006/main">
          <x14:cfRule type="dataBar" id="{409F0501-C7EF-40E7-8630-1268448E74EB}">
            <x14:dataBar minLength="0" maxLength="100" gradient="0">
              <x14:cfvo type="num">
                <xm:f>0</xm:f>
              </x14:cfvo>
              <x14:cfvo type="num">
                <xm:f>1</xm:f>
              </x14:cfvo>
              <x14:negativeFillColor rgb="FFFF0000"/>
              <x14:axisColor rgb="FF000000"/>
            </x14:dataBar>
          </x14:cfRule>
          <xm:sqref>H91:H93</xm:sqref>
        </x14:conditionalFormatting>
        <x14:conditionalFormatting xmlns:xm="http://schemas.microsoft.com/office/excel/2006/main">
          <x14:cfRule type="dataBar" id="{8B977969-9EAC-4FFC-B673-BD8EC0F829F9}">
            <x14:dataBar minLength="0" maxLength="100" gradient="0">
              <x14:cfvo type="num">
                <xm:f>0</xm:f>
              </x14:cfvo>
              <x14:cfvo type="num">
                <xm:f>1</xm:f>
              </x14:cfvo>
              <x14:negativeFillColor rgb="FFFF0000"/>
              <x14:axisColor rgb="FF000000"/>
            </x14:dataBar>
          </x14:cfRule>
          <xm:sqref>H94</xm:sqref>
        </x14:conditionalFormatting>
        <x14:conditionalFormatting xmlns:xm="http://schemas.microsoft.com/office/excel/2006/main">
          <x14:cfRule type="dataBar" id="{B502B2EA-46E0-4770-89C1-BE08E83EC7AB}">
            <x14:dataBar minLength="0" maxLength="100" gradient="0">
              <x14:cfvo type="num">
                <xm:f>0</xm:f>
              </x14:cfvo>
              <x14:cfvo type="num">
                <xm:f>1</xm:f>
              </x14:cfvo>
              <x14:negativeFillColor rgb="FFFF0000"/>
              <x14:axisColor rgb="FF000000"/>
            </x14:dataBar>
          </x14:cfRule>
          <xm:sqref>H95:H99</xm:sqref>
        </x14:conditionalFormatting>
        <x14:conditionalFormatting xmlns:xm="http://schemas.microsoft.com/office/excel/2006/main">
          <x14:cfRule type="dataBar" id="{278381FD-084D-48F8-8C3E-ED8A470CB7F5}">
            <x14:dataBar minLength="0" maxLength="100" gradient="0">
              <x14:cfvo type="num">
                <xm:f>0</xm:f>
              </x14:cfvo>
              <x14:cfvo type="num">
                <xm:f>1</xm:f>
              </x14:cfvo>
              <x14:negativeFillColor rgb="FFFF0000"/>
              <x14:axisColor rgb="FF000000"/>
            </x14:dataBar>
          </x14:cfRule>
          <xm:sqref>H100</xm:sqref>
        </x14:conditionalFormatting>
        <x14:conditionalFormatting xmlns:xm="http://schemas.microsoft.com/office/excel/2006/main">
          <x14:cfRule type="dataBar" id="{087D2E0B-0BF5-4922-A951-DE98CD967E81}">
            <x14:dataBar minLength="0" maxLength="100" gradient="0">
              <x14:cfvo type="num">
                <xm:f>0</xm:f>
              </x14:cfvo>
              <x14:cfvo type="num">
                <xm:f>1</xm:f>
              </x14:cfvo>
              <x14:negativeFillColor rgb="FFFF0000"/>
              <x14:axisColor rgb="FF000000"/>
            </x14:dataBar>
          </x14:cfRule>
          <xm:sqref>H101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C46"/>
  <sheetViews>
    <sheetView showGridLines="0" workbookViewId="0"/>
  </sheetViews>
  <sheetFormatPr defaultColWidth="9" defaultRowHeight="12.75"/>
  <cols>
    <col min="1" max="1" width="5.5703125" customWidth="1"/>
    <col min="2" max="2" width="37.7109375" customWidth="1"/>
    <col min="3" max="3" width="55.140625" customWidth="1"/>
    <col min="4" max="7" width="8.85546875"/>
  </cols>
  <sheetData>
    <row r="1" spans="1:3" ht="30" customHeight="1">
      <c r="A1" s="40" t="s">
        <v>60</v>
      </c>
    </row>
    <row r="4" spans="1:3">
      <c r="C4" s="25" t="s">
        <v>61</v>
      </c>
    </row>
    <row r="5" spans="1:3">
      <c r="C5" t="s">
        <v>62</v>
      </c>
    </row>
    <row r="7" spans="1:3" ht="18">
      <c r="C7" s="41" t="s">
        <v>63</v>
      </c>
    </row>
    <row r="8" spans="1:3">
      <c r="C8" s="42" t="s">
        <v>64</v>
      </c>
    </row>
    <row r="10" spans="1:3">
      <c r="C10" t="s">
        <v>65</v>
      </c>
    </row>
    <row r="11" spans="1:3">
      <c r="C11" t="s">
        <v>66</v>
      </c>
    </row>
    <row r="13" spans="1:3" ht="18">
      <c r="C13" s="41" t="s">
        <v>67</v>
      </c>
    </row>
    <row r="16" spans="1:3" ht="15.75">
      <c r="A16" s="16" t="s">
        <v>68</v>
      </c>
    </row>
    <row r="18" spans="2:2" ht="15">
      <c r="B18" s="43" t="s">
        <v>69</v>
      </c>
    </row>
    <row r="19" spans="2:2">
      <c r="B19" t="s">
        <v>70</v>
      </c>
    </row>
    <row r="20" spans="2:2">
      <c r="B20" t="s">
        <v>71</v>
      </c>
    </row>
    <row r="22" spans="2:2" ht="15">
      <c r="B22" s="43" t="s">
        <v>72</v>
      </c>
    </row>
    <row r="23" spans="2:2">
      <c r="B23" t="s">
        <v>73</v>
      </c>
    </row>
    <row r="24" spans="2:2">
      <c r="B24" t="s">
        <v>74</v>
      </c>
    </row>
    <row r="26" spans="2:2" ht="15">
      <c r="B26" s="43" t="s">
        <v>75</v>
      </c>
    </row>
    <row r="27" spans="2:2">
      <c r="B27" t="s">
        <v>76</v>
      </c>
    </row>
    <row r="28" spans="2:2">
      <c r="B28" t="s">
        <v>77</v>
      </c>
    </row>
    <row r="29" spans="2:2">
      <c r="B29" t="s">
        <v>78</v>
      </c>
    </row>
    <row r="30" spans="2:2">
      <c r="B30" t="s">
        <v>79</v>
      </c>
    </row>
    <row r="31" spans="2:2">
      <c r="B31" t="s">
        <v>80</v>
      </c>
    </row>
    <row r="32" spans="2:2">
      <c r="B32" t="s">
        <v>81</v>
      </c>
    </row>
    <row r="34" spans="2:2" ht="15">
      <c r="B34" s="43" t="s">
        <v>82</v>
      </c>
    </row>
    <row r="35" spans="2:2">
      <c r="B35" t="s">
        <v>83</v>
      </c>
    </row>
    <row r="36" spans="2:2">
      <c r="B36" t="s">
        <v>84</v>
      </c>
    </row>
    <row r="37" spans="2:2">
      <c r="B37" t="s">
        <v>85</v>
      </c>
    </row>
    <row r="39" spans="2:2" ht="15">
      <c r="B39" s="43" t="s">
        <v>86</v>
      </c>
    </row>
    <row r="40" spans="2:2">
      <c r="B40" t="s">
        <v>87</v>
      </c>
    </row>
    <row r="42" spans="2:2" ht="15">
      <c r="B42" s="43" t="s">
        <v>88</v>
      </c>
    </row>
    <row r="43" spans="2:2">
      <c r="B43" t="s">
        <v>89</v>
      </c>
    </row>
    <row r="44" spans="2:2">
      <c r="B44" t="s">
        <v>90</v>
      </c>
    </row>
    <row r="46" spans="2:2" ht="18">
      <c r="B46" s="41" t="s">
        <v>91</v>
      </c>
    </row>
  </sheetData>
  <hyperlinks>
    <hyperlink ref="C7" r:id="rId1" xr:uid="{00000000-0004-0000-0100-000000000000}"/>
    <hyperlink ref="B46" r:id="rId2" tooltip="Go to Vertex42.com" xr:uid="{00000000-0004-0000-0100-000001000000}"/>
    <hyperlink ref="C13" r:id="rId3" xr:uid="{00000000-0004-0000-0100-000002000000}"/>
  </hyperlinks>
  <pageMargins left="0.7" right="0.7" top="0.75" bottom="0.75" header="0.3" footer="0.3"/>
  <pageSetup scale="93" orientation="portrait"/>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94"/>
  <sheetViews>
    <sheetView showGridLines="0" workbookViewId="0"/>
  </sheetViews>
  <sheetFormatPr defaultColWidth="8.85546875" defaultRowHeight="12.75"/>
  <cols>
    <col min="1" max="1" width="5.5703125" customWidth="1"/>
    <col min="2" max="2" width="90.42578125" customWidth="1"/>
    <col min="3" max="3" width="16.42578125" customWidth="1"/>
  </cols>
  <sheetData>
    <row r="1" spans="1:3" ht="30" customHeight="1">
      <c r="A1" s="1" t="s">
        <v>92</v>
      </c>
      <c r="B1" s="12"/>
    </row>
    <row r="2" spans="1:3" ht="14.25">
      <c r="A2" s="13" t="s">
        <v>64</v>
      </c>
      <c r="B2" s="14"/>
    </row>
    <row r="3" spans="1:3">
      <c r="B3" s="14"/>
    </row>
    <row r="4" spans="1:3" ht="18">
      <c r="A4" s="15" t="s">
        <v>93</v>
      </c>
      <c r="B4" s="16"/>
    </row>
    <row r="5" spans="1:3" ht="57">
      <c r="B5" s="17" t="s">
        <v>94</v>
      </c>
    </row>
    <row r="7" spans="1:3" ht="28.5">
      <c r="B7" s="17" t="s">
        <v>95</v>
      </c>
    </row>
    <row r="9" spans="1:3" ht="14.25">
      <c r="B9" s="13" t="s">
        <v>96</v>
      </c>
    </row>
    <row r="11" spans="1:3" ht="28.5">
      <c r="B11" s="18" t="s">
        <v>97</v>
      </c>
    </row>
    <row r="13" spans="1:3" ht="18">
      <c r="A13" s="110" t="s">
        <v>98</v>
      </c>
      <c r="B13" s="110"/>
    </row>
    <row r="15" spans="1:3" s="11" customFormat="1" ht="18">
      <c r="A15" s="19"/>
      <c r="B15" s="20" t="s">
        <v>99</v>
      </c>
    </row>
    <row r="16" spans="1:3" s="11" customFormat="1" ht="18">
      <c r="A16" s="19"/>
      <c r="B16" s="20" t="s">
        <v>100</v>
      </c>
      <c r="C16" s="21" t="s">
        <v>101</v>
      </c>
    </row>
    <row r="17" spans="1:3" ht="18">
      <c r="A17" s="22"/>
      <c r="B17" s="20" t="s">
        <v>102</v>
      </c>
    </row>
    <row r="18" spans="1:3" ht="18">
      <c r="A18" s="22"/>
      <c r="B18" s="20" t="s">
        <v>103</v>
      </c>
    </row>
    <row r="19" spans="1:3" ht="18">
      <c r="A19" s="22"/>
      <c r="B19" s="20" t="s">
        <v>104</v>
      </c>
    </row>
    <row r="20" spans="1:3" s="11" customFormat="1" ht="18">
      <c r="A20" s="19"/>
      <c r="B20" s="20" t="s">
        <v>105</v>
      </c>
      <c r="C20" s="23" t="s">
        <v>106</v>
      </c>
    </row>
    <row r="21" spans="1:3" ht="18">
      <c r="A21" s="22"/>
      <c r="B21" s="20" t="s">
        <v>107</v>
      </c>
    </row>
    <row r="22" spans="1:3" ht="18">
      <c r="A22" s="22"/>
      <c r="B22" s="24" t="s">
        <v>108</v>
      </c>
    </row>
    <row r="23" spans="1:3" ht="18">
      <c r="A23" s="22"/>
      <c r="B23" s="25"/>
    </row>
    <row r="24" spans="1:3" ht="18">
      <c r="A24" s="110" t="s">
        <v>109</v>
      </c>
      <c r="B24" s="110"/>
    </row>
    <row r="25" spans="1:3" ht="43.5">
      <c r="A25" s="22"/>
      <c r="B25" s="20" t="s">
        <v>110</v>
      </c>
    </row>
    <row r="26" spans="1:3" ht="18">
      <c r="A26" s="22"/>
      <c r="B26" s="20"/>
    </row>
    <row r="27" spans="1:3" ht="18">
      <c r="A27" s="22"/>
      <c r="B27" s="26" t="s">
        <v>111</v>
      </c>
    </row>
    <row r="28" spans="1:3" ht="18">
      <c r="A28" s="22"/>
      <c r="B28" s="20" t="s">
        <v>112</v>
      </c>
    </row>
    <row r="29" spans="1:3" ht="28.5">
      <c r="A29" s="22"/>
      <c r="B29" s="20" t="s">
        <v>113</v>
      </c>
    </row>
    <row r="30" spans="1:3" ht="18">
      <c r="A30" s="22"/>
      <c r="B30" s="20"/>
    </row>
    <row r="31" spans="1:3" ht="18">
      <c r="A31" s="22"/>
      <c r="B31" s="26" t="s">
        <v>114</v>
      </c>
    </row>
    <row r="32" spans="1:3" ht="18">
      <c r="A32" s="22"/>
      <c r="B32" s="20" t="s">
        <v>115</v>
      </c>
    </row>
    <row r="33" spans="1:2" ht="18">
      <c r="A33" s="22"/>
      <c r="B33" s="20" t="s">
        <v>116</v>
      </c>
    </row>
    <row r="34" spans="1:2" ht="18">
      <c r="A34" s="22"/>
      <c r="B34" s="25"/>
    </row>
    <row r="35" spans="1:2" ht="28.5">
      <c r="A35" s="22"/>
      <c r="B35" s="20" t="s">
        <v>117</v>
      </c>
    </row>
    <row r="36" spans="1:2" ht="18">
      <c r="A36" s="22"/>
      <c r="B36" s="27" t="s">
        <v>118</v>
      </c>
    </row>
    <row r="37" spans="1:2" ht="18">
      <c r="A37" s="22"/>
      <c r="B37" s="25"/>
    </row>
    <row r="38" spans="1:2" ht="18">
      <c r="A38" s="110" t="s">
        <v>119</v>
      </c>
      <c r="B38" s="110"/>
    </row>
    <row r="39" spans="1:2" ht="28.5">
      <c r="B39" s="20" t="s">
        <v>120</v>
      </c>
    </row>
    <row r="41" spans="1:2" ht="14.25">
      <c r="B41" s="20" t="s">
        <v>121</v>
      </c>
    </row>
    <row r="43" spans="1:2" ht="28.5">
      <c r="B43" s="20" t="s">
        <v>122</v>
      </c>
    </row>
    <row r="45" spans="1:2" ht="28.5">
      <c r="B45" s="20" t="s">
        <v>123</v>
      </c>
    </row>
    <row r="46" spans="1:2">
      <c r="B46" s="28"/>
    </row>
    <row r="47" spans="1:2" ht="28.5">
      <c r="B47" s="20" t="s">
        <v>124</v>
      </c>
    </row>
    <row r="49" spans="1:2" ht="18">
      <c r="A49" s="110" t="s">
        <v>125</v>
      </c>
      <c r="B49" s="110"/>
    </row>
    <row r="50" spans="1:2" ht="28.5">
      <c r="B50" s="20" t="s">
        <v>126</v>
      </c>
    </row>
    <row r="52" spans="1:2" ht="14.25">
      <c r="A52" s="29" t="s">
        <v>127</v>
      </c>
      <c r="B52" s="20" t="s">
        <v>128</v>
      </c>
    </row>
    <row r="53" spans="1:2" ht="14.25">
      <c r="A53" s="29" t="s">
        <v>129</v>
      </c>
      <c r="B53" s="20" t="s">
        <v>130</v>
      </c>
    </row>
    <row r="54" spans="1:2" ht="14.25">
      <c r="A54" s="29" t="s">
        <v>131</v>
      </c>
      <c r="B54" s="20" t="s">
        <v>132</v>
      </c>
    </row>
    <row r="55" spans="1:2" ht="28.5">
      <c r="A55" s="18"/>
      <c r="B55" s="20" t="s">
        <v>133</v>
      </c>
    </row>
    <row r="56" spans="1:2" ht="28.5">
      <c r="A56" s="18"/>
      <c r="B56" s="20" t="s">
        <v>134</v>
      </c>
    </row>
    <row r="57" spans="1:2" ht="14.25">
      <c r="A57" s="29" t="s">
        <v>135</v>
      </c>
      <c r="B57" s="20" t="s">
        <v>136</v>
      </c>
    </row>
    <row r="58" spans="1:2" ht="14.25">
      <c r="A58" s="18"/>
      <c r="B58" s="20" t="s">
        <v>137</v>
      </c>
    </row>
    <row r="59" spans="1:2" ht="14.25">
      <c r="A59" s="18"/>
      <c r="B59" s="20" t="s">
        <v>138</v>
      </c>
    </row>
    <row r="60" spans="1:2" ht="14.25">
      <c r="A60" s="29" t="s">
        <v>139</v>
      </c>
      <c r="B60" s="20" t="s">
        <v>140</v>
      </c>
    </row>
    <row r="61" spans="1:2" ht="28.5">
      <c r="A61" s="18"/>
      <c r="B61" s="20" t="s">
        <v>141</v>
      </c>
    </row>
    <row r="62" spans="1:2" ht="14.25">
      <c r="A62" s="29" t="s">
        <v>142</v>
      </c>
      <c r="B62" s="20" t="s">
        <v>143</v>
      </c>
    </row>
    <row r="63" spans="1:2" ht="14.25">
      <c r="A63" s="30"/>
      <c r="B63" s="20" t="s">
        <v>144</v>
      </c>
    </row>
    <row r="64" spans="1:2">
      <c r="B64" s="31"/>
    </row>
    <row r="65" spans="1:2" ht="18">
      <c r="A65" s="110" t="s">
        <v>145</v>
      </c>
      <c r="B65" s="110"/>
    </row>
    <row r="66" spans="1:2" ht="42.75">
      <c r="B66" s="20" t="s">
        <v>146</v>
      </c>
    </row>
    <row r="68" spans="1:2" ht="18">
      <c r="A68" s="110" t="s">
        <v>147</v>
      </c>
      <c r="B68" s="110"/>
    </row>
    <row r="69" spans="1:2" ht="15">
      <c r="A69" s="32" t="s">
        <v>148</v>
      </c>
      <c r="B69" s="33" t="s">
        <v>149</v>
      </c>
    </row>
    <row r="70" spans="1:2" ht="28.5">
      <c r="A70" s="30"/>
      <c r="B70" s="34" t="s">
        <v>150</v>
      </c>
    </row>
    <row r="71" spans="1:2" ht="14.25">
      <c r="A71" s="30"/>
      <c r="B71" s="35"/>
    </row>
    <row r="72" spans="1:2" ht="15">
      <c r="A72" s="32" t="s">
        <v>148</v>
      </c>
      <c r="B72" s="33" t="s">
        <v>151</v>
      </c>
    </row>
    <row r="73" spans="1:2" ht="28.5">
      <c r="A73" s="30"/>
      <c r="B73" s="34" t="s">
        <v>152</v>
      </c>
    </row>
    <row r="74" spans="1:2" ht="14.25">
      <c r="A74" s="30"/>
      <c r="B74" s="35"/>
    </row>
    <row r="75" spans="1:2" ht="15">
      <c r="A75" s="32" t="s">
        <v>148</v>
      </c>
      <c r="B75" s="36" t="s">
        <v>153</v>
      </c>
    </row>
    <row r="76" spans="1:2" ht="42.75">
      <c r="A76" s="30"/>
      <c r="B76" s="17" t="s">
        <v>154</v>
      </c>
    </row>
    <row r="77" spans="1:2" ht="14.25">
      <c r="A77" s="30"/>
      <c r="B77" s="30"/>
    </row>
    <row r="78" spans="1:2" ht="15">
      <c r="A78" s="32" t="s">
        <v>148</v>
      </c>
      <c r="B78" s="36" t="s">
        <v>155</v>
      </c>
    </row>
    <row r="79" spans="1:2" ht="28.5">
      <c r="A79" s="30"/>
      <c r="B79" s="17" t="s">
        <v>156</v>
      </c>
    </row>
    <row r="80" spans="1:2" ht="14.25">
      <c r="A80" s="30"/>
      <c r="B80" s="30"/>
    </row>
    <row r="81" spans="1:2" ht="15">
      <c r="A81" s="32" t="s">
        <v>148</v>
      </c>
      <c r="B81" s="36" t="s">
        <v>157</v>
      </c>
    </row>
    <row r="82" spans="1:2" ht="14.25">
      <c r="A82" s="30"/>
      <c r="B82" s="37" t="s">
        <v>158</v>
      </c>
    </row>
    <row r="83" spans="1:2" ht="14.25">
      <c r="A83" s="30"/>
      <c r="B83" s="37" t="s">
        <v>159</v>
      </c>
    </row>
    <row r="84" spans="1:2" ht="14.25">
      <c r="A84" s="30"/>
      <c r="B84" s="37" t="s">
        <v>160</v>
      </c>
    </row>
    <row r="85" spans="1:2" ht="15">
      <c r="A85" s="30"/>
      <c r="B85" s="38"/>
    </row>
    <row r="86" spans="1:2" ht="15">
      <c r="A86" s="32" t="s">
        <v>148</v>
      </c>
      <c r="B86" s="36" t="s">
        <v>161</v>
      </c>
    </row>
    <row r="87" spans="1:2" ht="42.75">
      <c r="A87" s="30"/>
      <c r="B87" s="17" t="s">
        <v>162</v>
      </c>
    </row>
    <row r="88" spans="1:2" ht="14.25">
      <c r="A88" s="30"/>
      <c r="B88" s="96" t="s">
        <v>163</v>
      </c>
    </row>
    <row r="89" spans="1:2" ht="57">
      <c r="A89" s="30"/>
      <c r="B89" s="97" t="s">
        <v>164</v>
      </c>
    </row>
    <row r="90" spans="1:2" ht="14.25">
      <c r="A90" s="30"/>
      <c r="B90" s="30"/>
    </row>
    <row r="91" spans="1:2" ht="15">
      <c r="A91" s="32" t="s">
        <v>148</v>
      </c>
      <c r="B91" s="36" t="s">
        <v>165</v>
      </c>
    </row>
    <row r="92" spans="1:2" ht="28.5">
      <c r="A92" s="18"/>
      <c r="B92" s="37" t="s">
        <v>166</v>
      </c>
    </row>
    <row r="94" spans="1:2">
      <c r="A94" s="39" t="s">
        <v>167</v>
      </c>
    </row>
  </sheetData>
  <mergeCells count="6">
    <mergeCell ref="A68:B68"/>
    <mergeCell ref="A13:B13"/>
    <mergeCell ref="A24:B24"/>
    <mergeCell ref="A38:B38"/>
    <mergeCell ref="A49:B49"/>
    <mergeCell ref="A65:B65"/>
  </mergeCells>
  <hyperlinks>
    <hyperlink ref="B9" r:id="rId1" xr:uid="{00000000-0004-0000-0200-000000000000}"/>
    <hyperlink ref="A2" r:id="rId2" xr:uid="{00000000-0004-0000-0200-000001000000}"/>
    <hyperlink ref="B36" r:id="rId3" xr:uid="{00000000-0004-0000-0200-000002000000}"/>
  </hyperlinks>
  <pageMargins left="0.5" right="0.5" top="0.25" bottom="0.25" header="0.5" footer="0.5"/>
  <pageSetup orientation="portrait"/>
  <headerFooter alignWithMargins="0"/>
  <drawing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C29"/>
  <sheetViews>
    <sheetView showGridLines="0" workbookViewId="0"/>
  </sheetViews>
  <sheetFormatPr defaultColWidth="8.85546875" defaultRowHeight="12.75"/>
  <cols>
    <col min="1" max="1" width="5.5703125" customWidth="1"/>
    <col min="2" max="2" width="82.140625" customWidth="1"/>
  </cols>
  <sheetData>
    <row r="1" spans="1:3" ht="30" customHeight="1">
      <c r="A1" s="1" t="s">
        <v>168</v>
      </c>
      <c r="B1" s="1"/>
    </row>
    <row r="2" spans="1:3" ht="15">
      <c r="B2" s="2"/>
    </row>
    <row r="3" spans="1:3" ht="15">
      <c r="A3" s="3"/>
      <c r="B3" s="4" t="s">
        <v>169</v>
      </c>
      <c r="C3" s="3"/>
    </row>
    <row r="4" spans="1:3" ht="14.25">
      <c r="A4" s="5"/>
      <c r="B4" s="6" t="s">
        <v>64</v>
      </c>
      <c r="C4" s="5"/>
    </row>
    <row r="5" spans="1:3" ht="15">
      <c r="A5" s="5"/>
      <c r="B5" s="7"/>
      <c r="C5" s="5"/>
    </row>
    <row r="6" spans="1:3" ht="15.75">
      <c r="A6" s="5"/>
      <c r="B6" s="8" t="s">
        <v>167</v>
      </c>
      <c r="C6" s="5"/>
    </row>
    <row r="7" spans="1:3" ht="15">
      <c r="A7" s="5"/>
      <c r="B7" s="7"/>
      <c r="C7" s="5"/>
    </row>
    <row r="8" spans="1:3" ht="30">
      <c r="A8" s="5"/>
      <c r="B8" s="7" t="s">
        <v>170</v>
      </c>
      <c r="C8" s="5"/>
    </row>
    <row r="9" spans="1:3" ht="15">
      <c r="A9" s="5"/>
      <c r="B9" s="7"/>
      <c r="C9" s="5"/>
    </row>
    <row r="10" spans="1:3" ht="46.5">
      <c r="A10" s="5"/>
      <c r="B10" s="7" t="s">
        <v>171</v>
      </c>
      <c r="C10" s="5"/>
    </row>
    <row r="11" spans="1:3" ht="15">
      <c r="A11" s="5"/>
      <c r="B11" s="7"/>
      <c r="C11" s="5"/>
    </row>
    <row r="12" spans="1:3" ht="45">
      <c r="A12" s="5"/>
      <c r="B12" s="7" t="s">
        <v>172</v>
      </c>
      <c r="C12" s="5"/>
    </row>
    <row r="13" spans="1:3" ht="15">
      <c r="A13" s="5"/>
      <c r="B13" s="7"/>
      <c r="C13" s="5"/>
    </row>
    <row r="14" spans="1:3" ht="60">
      <c r="A14" s="5"/>
      <c r="B14" s="7" t="s">
        <v>173</v>
      </c>
      <c r="C14" s="5"/>
    </row>
    <row r="15" spans="1:3" ht="15">
      <c r="A15" s="5"/>
      <c r="B15" s="7"/>
      <c r="C15" s="5"/>
    </row>
    <row r="16" spans="1:3" ht="30.75">
      <c r="A16" s="5"/>
      <c r="B16" s="7" t="s">
        <v>174</v>
      </c>
      <c r="C16" s="5"/>
    </row>
    <row r="17" spans="1:3" ht="15">
      <c r="A17" s="5"/>
      <c r="B17" s="7"/>
      <c r="C17" s="5"/>
    </row>
    <row r="18" spans="1:3" ht="15.75">
      <c r="A18" s="5"/>
      <c r="B18" s="8" t="s">
        <v>175</v>
      </c>
      <c r="C18" s="5"/>
    </row>
    <row r="19" spans="1:3" ht="15">
      <c r="A19" s="5"/>
      <c r="B19" s="9" t="s">
        <v>176</v>
      </c>
      <c r="C19" s="5"/>
    </row>
    <row r="20" spans="1:3" ht="15">
      <c r="A20" s="5"/>
      <c r="B20" s="10"/>
      <c r="C20" s="5"/>
    </row>
    <row r="21" spans="1:3">
      <c r="A21" s="5"/>
      <c r="B21" s="5"/>
      <c r="C21" s="5"/>
    </row>
    <row r="22" spans="1:3">
      <c r="A22" s="5"/>
      <c r="B22" s="5"/>
      <c r="C22" s="5"/>
    </row>
    <row r="23" spans="1:3">
      <c r="A23" s="5"/>
      <c r="B23" s="5"/>
      <c r="C23" s="5"/>
    </row>
    <row r="24" spans="1:3">
      <c r="A24" s="5"/>
      <c r="B24" s="5"/>
      <c r="C24" s="5"/>
    </row>
    <row r="25" spans="1:3">
      <c r="A25" s="5"/>
      <c r="B25" s="5"/>
      <c r="C25" s="5"/>
    </row>
    <row r="26" spans="1:3">
      <c r="A26" s="5"/>
      <c r="B26" s="5"/>
      <c r="C26" s="5"/>
    </row>
    <row r="27" spans="1:3">
      <c r="A27" s="5"/>
      <c r="B27" s="5"/>
      <c r="C27" s="5"/>
    </row>
    <row r="28" spans="1:3">
      <c r="A28" s="5"/>
      <c r="B28" s="5"/>
      <c r="C28" s="5"/>
    </row>
    <row r="29" spans="1:3">
      <c r="A29" s="5"/>
      <c r="B29" s="5"/>
      <c r="C29" s="5"/>
    </row>
  </sheetData>
  <hyperlinks>
    <hyperlink ref="B4" r:id="rId1" xr:uid="{00000000-0004-0000-0300-000000000000}"/>
    <hyperlink ref="B19" r:id="rId2" xr:uid="{00000000-0004-0000-0300-000001000000}"/>
  </hyperlinks>
  <pageMargins left="0.7" right="0.7" top="0.75" bottom="0.75" header="0.3" footer="0.3"/>
  <pageSetup orientation="portrait"/>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GanttChart</vt:lpstr>
      <vt:lpstr>GanttChartPro</vt:lpstr>
      <vt:lpstr>Help</vt:lpstr>
      <vt:lpstr>TermsOfUse</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Billy Winata</cp:lastModifiedBy>
  <cp:lastPrinted>2025-11-24T02:54:00Z</cp:lastPrinted>
  <dcterms:created xsi:type="dcterms:W3CDTF">2010-06-09T16:05:00Z</dcterms:created>
  <dcterms:modified xsi:type="dcterms:W3CDTF">2026-01-01T13:25:36Z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8BC01C34AA7C4290B4DBEC7AD5B576BD_12</vt:lpwstr>
  </property>
  <property fmtid="{D5CDD505-2E9C-101B-9397-08002B2CF9AE}" pid="6" name="KSOProductBuildVer">
    <vt:lpwstr>1033-12.2.0.23196</vt:lpwstr>
  </property>
</Properties>
</file>
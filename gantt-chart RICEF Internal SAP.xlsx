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490" windowHeight="702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GanttChart!$A$1:$BN$19</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Vertex42</author>
    <author>Vertex42.com Templates</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<sst xmlns="http://schemas.openxmlformats.org/spreadsheetml/2006/main" count="223" uniqueCount="181">
  <si>
    <t>RICEF BY LEUWITEX</t>
  </si>
  <si>
    <t xml:space="preserve">Project Start Date </t>
  </si>
  <si>
    <t xml:space="preserve">Display Week </t>
  </si>
  <si>
    <t xml:space="preserve">Project Lead </t>
  </si>
  <si>
    <t>Billy</t>
  </si>
  <si>
    <t>WBS</t>
  </si>
  <si>
    <t>TASK</t>
  </si>
  <si>
    <t>PIC</t>
  </si>
  <si>
    <t>PREDECESSOR</t>
  </si>
  <si>
    <t>START</t>
  </si>
  <si>
    <t>END</t>
  </si>
  <si>
    <t>DAYS</t>
  </si>
  <si>
    <t>% DONE</t>
  </si>
  <si>
    <t>WORK DAYS</t>
  </si>
  <si>
    <t>Learning Basic</t>
  </si>
  <si>
    <t>Install Eclipse, Adobe lifecycle di laptop/PC</t>
  </si>
  <si>
    <t>Baim, Budi</t>
  </si>
  <si>
    <t>Tanya 2 ke Aditya Hertian, Agung tentang SAP</t>
  </si>
  <si>
    <t>Billy, Baim, Budi</t>
  </si>
  <si>
    <t>Menyiapkan Database dan Program Baru untuk Ricef SAP</t>
  </si>
  <si>
    <t>Report</t>
  </si>
  <si>
    <t>REPORT - WM - MOVING HISTORY - GUDANG GREY</t>
  </si>
  <si>
    <t>Billy, Baim</t>
  </si>
  <si>
    <t>REPORT - WM - STOCK PER BARCODE</t>
  </si>
  <si>
    <t>Baim</t>
  </si>
  <si>
    <t>REPORT - WM - LAPORAN PERSEDIAAN GUDANG PACKING</t>
  </si>
  <si>
    <t>Budi</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</si>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</sst>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dddd\)"/>
    <numFmt numFmtId="179" formatCode="ddd\ m/dd/yy"/>
    <numFmt numFmtId="180" formatCode="d\ mmm\ yyyy"/>
    <numFmt numFmtId="181" formatCode="d"/>
  </numFmts>
  <fonts count="67">
    <font>
      <sz val="10"/>
      <name val="Arial"/>
      <charset val="134"/>
    </font>
    <font>
      <sz val="10"/>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sz val="10"/>
      <name val="Arial"/>
      <charset val="134"/>
      <scheme val="major"/>
    </font>
    <font>
      <b/>
      <sz val="9"/>
      <name val="Arial"/>
      <charset val="134"/>
      <scheme val="major"/>
    </font>
    <font>
      <b/>
      <sz val="8"/>
      <name val="Arial"/>
      <charset val="134"/>
      <scheme val="major"/>
    </font>
    <font>
      <b/>
      <sz val="11"/>
      <name val="Arial"/>
      <charset val="134"/>
      <scheme val="minor"/>
    </font>
    <font>
      <sz val="9"/>
      <color rgb="FF000000"/>
      <name val="Arial"/>
      <charset val="134"/>
      <scheme val="minor"/>
    </font>
    <font>
      <sz val="11"/>
      <color indexed="8"/>
      <name val="Calibri"/>
      <charset val="134"/>
    </font>
    <font>
      <i/>
      <sz val="8"/>
      <color theme="0" tint="-0.349986266670736"/>
      <name val="Arial"/>
      <charset val="134"/>
    </font>
    <font>
      <u/>
      <sz val="10"/>
      <color indexed="12"/>
      <name val="Arial"/>
      <charset val="134"/>
    </font>
    <font>
      <sz val="11"/>
      <name val="Arial"/>
      <charset val="134"/>
      <scheme val="minor"/>
    </font>
    <font>
      <sz val="14"/>
      <name val="Arial"/>
      <charset val="134"/>
      <scheme val="minor"/>
    </font>
    <font>
      <sz val="14"/>
      <color rgb="FF000000"/>
      <name val="Arial"/>
      <charset val="134"/>
      <scheme val="minor"/>
    </font>
    <font>
      <sz val="11"/>
      <color theme="1"/>
      <name val="Arial"/>
      <charset val="134"/>
      <scheme val="minor"/>
    </font>
    <font>
      <u/>
      <sz val="11"/>
      <color rgb="FF800080"/>
      <name val="Arial"/>
      <charset val="0"/>
      <scheme val="minor"/>
    </font>
    <font>
      <sz val="11"/>
      <color indexed="10"/>
      <name val="Calibri"/>
      <charset val="134"/>
    </font>
    <font>
      <b/>
      <sz val="18"/>
      <color indexed="18"/>
      <name val="Cambria"/>
      <charset val="134"/>
    </font>
    <font>
      <i/>
      <sz val="11"/>
      <color indexed="23"/>
      <name val="Calibri"/>
      <charset val="134"/>
    </font>
    <font>
      <b/>
      <sz val="15"/>
      <color indexed="18"/>
      <name val="Calibri"/>
      <charset val="134"/>
    </font>
    <font>
      <b/>
      <sz val="13"/>
      <color indexed="18"/>
      <name val="Calibri"/>
      <charset val="134"/>
    </font>
    <font>
      <b/>
      <sz val="11"/>
      <color indexed="18"/>
      <name val="Calibri"/>
      <charset val="134"/>
    </font>
    <font>
      <sz val="11"/>
      <color indexed="53"/>
      <name val="Calibri"/>
      <charset val="134"/>
    </font>
    <font>
      <b/>
      <sz val="11"/>
      <color indexed="63"/>
      <name val="Calibri"/>
      <charset val="134"/>
    </font>
    <font>
      <b/>
      <sz val="11"/>
      <color indexed="50"/>
      <name val="Calibri"/>
      <charset val="134"/>
    </font>
    <font>
      <b/>
      <sz val="11"/>
      <color indexed="9"/>
      <name val="Calibri"/>
      <charset val="134"/>
    </font>
    <font>
      <sz val="11"/>
      <color indexed="50"/>
      <name val="Calibri"/>
      <charset val="134"/>
    </font>
    <font>
      <b/>
      <sz val="11"/>
      <color indexed="8"/>
      <name val="Calibri"/>
      <charset val="134"/>
    </font>
    <font>
      <sz val="11"/>
      <color indexed="17"/>
      <name val="Calibri"/>
      <charset val="134"/>
    </font>
    <font>
      <sz val="11"/>
      <color indexed="36"/>
      <name val="Calibri"/>
      <charset val="134"/>
    </font>
    <font>
      <sz val="11"/>
      <color indexed="59"/>
      <name val="Calibri"/>
      <charset val="134"/>
    </font>
    <font>
      <sz val="11"/>
      <color indexed="9"/>
      <name val="Calibri"/>
      <charset val="134"/>
    </font>
    <font>
      <i/>
      <sz val="11"/>
      <name val="Arial"/>
      <charset val="134"/>
    </font>
    <font>
      <i/>
      <sz val="11"/>
      <color rgb="FF000000"/>
      <name val="Arial"/>
      <charset val="134"/>
    </font>
    <font>
      <b/>
      <sz val="11"/>
      <color rgb="FFFF0000"/>
      <name val="Arial"/>
      <charset val="134"/>
    </font>
    <font>
      <sz val="9"/>
      <name val="Tahoma"/>
      <charset val="134"/>
    </font>
    <font>
      <b/>
      <sz val="9"/>
      <name val="Tahoma"/>
      <charset val="134"/>
    </font>
    <font>
      <i/>
      <sz val="9"/>
      <name val="Tahoma"/>
      <charset val="134"/>
    </font>
    <font>
      <b/>
      <i/>
      <sz val="9"/>
      <name val="Tahoma"/>
      <charset val="134"/>
    </font>
    <font>
      <sz val="8"/>
      <name val="Tahoma"/>
      <charset val="134"/>
    </font>
  </fonts>
  <fills count="24">
    <fill>
      <patternFill patternType="none"/>
    </fill>
    <fill>
      <patternFill patternType="gray125"/>
    </fill>
    <fill>
      <patternFill patternType="solid">
        <fgColor indexed="22"/>
        <bgColor indexed="64"/>
      </patternFill>
    </fill>
    <fill>
      <patternFill patternType="solid">
        <fgColor theme="3" tint="0.799981688894314"/>
        <bgColor indexed="64"/>
      </patternFill>
    </fill>
    <fill>
      <patternFill patternType="solid">
        <fgColor theme="0" tint="-0.149998474074526"/>
        <bgColor indexed="64"/>
      </patternFill>
    </fill>
    <fill>
      <patternFill patternType="solid">
        <fgColor indexed="9"/>
        <bgColor indexed="64"/>
      </patternFill>
    </fill>
    <fill>
      <patternFill patternType="solid">
        <fgColor theme="3" tint="0.799981688894314"/>
        <bgColor rgb="FFD6F4D9"/>
      </patternFill>
    </fill>
    <fill>
      <patternFill patternType="solid">
        <fgColor indexed="26"/>
        <bgColor indexed="64"/>
      </patternFill>
    </fill>
    <fill>
      <patternFill patternType="solid">
        <fgColor indexed="2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0"/>
        <bgColor indexed="64"/>
      </patternFill>
    </fill>
    <fill>
      <patternFill patternType="solid">
        <fgColor indexed="47"/>
        <bgColor indexed="64"/>
      </patternFill>
    </fill>
    <fill>
      <patternFill patternType="solid">
        <fgColor indexed="51"/>
        <bgColor indexed="64"/>
      </patternFill>
    </fill>
    <fill>
      <patternFill patternType="solid">
        <fgColor indexed="52"/>
        <bgColor indexed="64"/>
      </patternFill>
    </fill>
    <fill>
      <patternFill patternType="solid">
        <fgColor indexed="14"/>
        <bgColor indexed="64"/>
      </patternFill>
    </fill>
    <fill>
      <patternFill patternType="solid">
        <fgColor indexed="46"/>
        <bgColor indexed="64"/>
      </patternFill>
    </fill>
    <fill>
      <patternFill patternType="solid">
        <fgColor indexed="61"/>
        <bgColor indexed="64"/>
      </patternFill>
    </fill>
    <fill>
      <patternFill patternType="solid">
        <fgColor indexed="20"/>
        <bgColor indexed="64"/>
      </patternFill>
    </fill>
    <fill>
      <patternFill patternType="solid">
        <fgColor indexed="23"/>
        <bgColor indexed="64"/>
      </patternFill>
    </fill>
    <fill>
      <patternFill patternType="solid">
        <fgColor indexed="15"/>
        <bgColor indexed="64"/>
      </patternFill>
    </fill>
    <fill>
      <patternFill patternType="solid">
        <fgColor indexed="41"/>
        <bgColor indexed="64"/>
      </patternFill>
    </fill>
    <fill>
      <patternFill patternType="solid">
        <fgColor indexed="10"/>
        <bgColor indexed="64"/>
      </patternFill>
    </fill>
  </fills>
  <borders count="24">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
      </bottom>
      <diagonal/>
    </border>
    <border>
      <left/>
      <right/>
      <top style="thin">
        <color theme="0" tint="-0.249946592608417"/>
      </top>
      <bottom style="thin">
        <color theme="0" tint="-0.249946592608417"/>
      </bottom>
      <diagonal/>
    </border>
    <border>
      <left/>
      <right/>
      <top/>
      <bottom style="medium">
        <color theme="0" tint="-0.349986266670736"/>
      </bottom>
      <diagonal/>
    </border>
    <border>
      <left/>
      <right/>
      <top/>
      <bottom style="thin">
        <color indexed="22"/>
      </bottom>
      <diagonal/>
    </border>
    <border>
      <left/>
      <right/>
      <top style="thin">
        <color rgb="FFEFEFEF"/>
      </top>
      <bottom style="thin">
        <color rgb="FFEFEFEF"/>
      </bottom>
      <diagonal/>
    </border>
    <border>
      <left style="medium">
        <color theme="0" tint="-0.249946592608417"/>
      </left>
      <right style="thin">
        <color theme="0" tint="-0.249946592608417"/>
      </right>
      <top/>
      <bottom/>
      <diagonal/>
    </border>
    <border>
      <left style="thin">
        <color theme="0" tint="-0.249946592608417"/>
      </left>
      <right style="thin">
        <color theme="0" tint="-0.249946592608417"/>
      </right>
      <top/>
      <bottom/>
      <diagonal/>
    </border>
    <border>
      <left style="medium">
        <color theme="0" tint="-0.249946592608417"/>
      </left>
      <right style="thin">
        <color theme="0" tint="-0.249946592608417"/>
      </right>
      <top/>
      <bottom style="medium">
        <color theme="0" tint="-0.349986266670736"/>
      </bottom>
      <diagonal/>
    </border>
    <border>
      <left style="thin">
        <color theme="0" tint="-0.249946592608417"/>
      </left>
      <right style="thin">
        <color theme="0" tint="-0.249946592608417"/>
      </right>
      <top/>
      <bottom style="medium">
        <color theme="0" tint="-0.349986266670736"/>
      </bottom>
      <diagonal/>
    </border>
    <border>
      <left style="thin">
        <color theme="0" tint="-0.249946592608417"/>
      </left>
      <right style="medium">
        <color theme="0" tint="-0.249946592608417"/>
      </right>
      <top/>
      <bottom/>
      <diagonal/>
    </border>
    <border>
      <left style="thin">
        <color theme="0" tint="-0.249946592608417"/>
      </left>
      <right style="medium">
        <color theme="0" tint="-0.249946592608417"/>
      </right>
      <top/>
      <bottom style="medium">
        <color theme="0" tint="-0.349986266670736"/>
      </bottom>
      <diagonal/>
    </border>
    <border>
      <left style="thin">
        <color indexed="55"/>
      </left>
      <right style="thin">
        <color indexed="55"/>
      </right>
      <top style="thin">
        <color indexed="55"/>
      </top>
      <bottom style="thin">
        <color indexed="55"/>
      </bottom>
      <diagonal/>
    </border>
    <border>
      <left/>
      <right/>
      <top/>
      <bottom style="thick">
        <color indexed="40"/>
      </bottom>
      <diagonal/>
    </border>
    <border>
      <left/>
      <right/>
      <top/>
      <bottom style="thick">
        <color indexed="51"/>
      </bottom>
      <diagonal/>
    </border>
    <border>
      <left/>
      <right/>
      <top/>
      <bottom style="medium">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0"/>
      </bottom>
      <diagonal/>
    </border>
    <border>
      <left/>
      <right/>
      <top style="thin">
        <color indexed="40"/>
      </top>
      <bottom style="double">
        <color indexed="40"/>
      </bottom>
      <diagonal/>
    </border>
  </borders>
  <cellStyleXfs count="49">
    <xf numFmtId="0" fontId="0" fillId="0" borderId="0"/>
    <xf numFmtId="176" fontId="41" fillId="0" borderId="0" applyFont="0" applyFill="0" applyBorder="0" applyAlignment="0" applyProtection="0">
      <alignment vertical="center"/>
    </xf>
    <xf numFmtId="44" fontId="41" fillId="0" borderId="0" applyFont="0" applyFill="0" applyBorder="0" applyAlignment="0" applyProtection="0">
      <alignment vertical="center"/>
    </xf>
    <xf numFmtId="9" fontId="1" fillId="0" borderId="0" applyFont="0" applyFill="0" applyBorder="0" applyAlignment="0" applyProtection="0"/>
    <xf numFmtId="177" fontId="41" fillId="0" borderId="0" applyFont="0" applyFill="0" applyBorder="0" applyAlignment="0" applyProtection="0">
      <alignment vertical="center"/>
    </xf>
    <xf numFmtId="42" fontId="41" fillId="0" borderId="0" applyFont="0" applyFill="0" applyBorder="0" applyAlignment="0" applyProtection="0">
      <alignment vertical="center"/>
    </xf>
    <xf numFmtId="0" fontId="37" fillId="0" borderId="0" applyNumberFormat="0" applyFill="0" applyBorder="0" applyAlignment="0" applyProtection="0">
      <alignment vertical="top"/>
      <protection locked="0"/>
    </xf>
    <xf numFmtId="0" fontId="42" fillId="0" borderId="0" applyNumberFormat="0" applyFill="0" applyBorder="0" applyAlignment="0" applyProtection="0">
      <alignment vertical="center"/>
    </xf>
    <xf numFmtId="0" fontId="1" fillId="7" borderId="15" applyNumberFormat="0" applyFont="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6" fillId="0" borderId="16" applyNumberFormat="0" applyFill="0" applyAlignment="0" applyProtection="0"/>
    <xf numFmtId="0" fontId="47" fillId="0" borderId="17" applyNumberFormat="0" applyFill="0" applyAlignment="0" applyProtection="0"/>
    <xf numFmtId="0" fontId="48" fillId="0" borderId="18" applyNumberFormat="0" applyFill="0" applyAlignment="0" applyProtection="0"/>
    <xf numFmtId="0" fontId="48" fillId="0" borderId="0" applyNumberFormat="0" applyFill="0" applyBorder="0" applyAlignment="0" applyProtection="0"/>
    <xf numFmtId="0" fontId="49" fillId="8" borderId="19" applyNumberFormat="0" applyAlignment="0" applyProtection="0"/>
    <xf numFmtId="0" fontId="50" fillId="2" borderId="20" applyNumberFormat="0" applyAlignment="0" applyProtection="0"/>
    <xf numFmtId="0" fontId="51" fillId="2" borderId="19" applyNumberFormat="0" applyAlignment="0" applyProtection="0"/>
    <xf numFmtId="0" fontId="52" fillId="9" borderId="21" applyNumberFormat="0" applyAlignment="0" applyProtection="0"/>
    <xf numFmtId="0" fontId="53" fillId="0" borderId="22" applyNumberFormat="0" applyFill="0" applyAlignment="0" applyProtection="0"/>
    <xf numFmtId="0" fontId="54" fillId="0" borderId="23" applyNumberFormat="0" applyFill="0" applyAlignment="0" applyProtection="0"/>
    <xf numFmtId="0" fontId="55" fillId="10" borderId="0" applyNumberFormat="0" applyBorder="0" applyAlignment="0" applyProtection="0"/>
    <xf numFmtId="0" fontId="56" fillId="11" borderId="0" applyNumberFormat="0" applyBorder="0" applyAlignment="0" applyProtection="0"/>
    <xf numFmtId="0" fontId="57" fillId="7" borderId="0" applyNumberFormat="0" applyBorder="0" applyAlignment="0" applyProtection="0"/>
    <xf numFmtId="0" fontId="58" fillId="12" borderId="0" applyNumberFormat="0" applyBorder="0" applyAlignment="0" applyProtection="0"/>
    <xf numFmtId="0" fontId="35" fillId="13" borderId="0" applyNumberFormat="0" applyBorder="0" applyAlignment="0" applyProtection="0"/>
    <xf numFmtId="0" fontId="35" fillId="14" borderId="0" applyNumberFormat="0" applyBorder="0" applyAlignment="0" applyProtection="0"/>
    <xf numFmtId="0" fontId="58" fillId="15" borderId="0" applyNumberFormat="0" applyBorder="0" applyAlignment="0" applyProtection="0"/>
    <xf numFmtId="0" fontId="58" fillId="16"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58" fillId="19" borderId="0" applyNumberFormat="0" applyBorder="0" applyAlignment="0" applyProtection="0"/>
    <xf numFmtId="0" fontId="58" fillId="20" borderId="0" applyNumberFormat="0" applyBorder="0" applyAlignment="0" applyProtection="0"/>
    <xf numFmtId="0" fontId="35" fillId="13" borderId="0" applyNumberFormat="0" applyBorder="0" applyAlignment="0" applyProtection="0"/>
    <xf numFmtId="0" fontId="35" fillId="14" borderId="0" applyNumberFormat="0" applyBorder="0" applyAlignment="0" applyProtection="0"/>
    <xf numFmtId="0" fontId="58" fillId="15" borderId="0" applyNumberFormat="0" applyBorder="0" applyAlignment="0" applyProtection="0"/>
    <xf numFmtId="0" fontId="58" fillId="21" borderId="0" applyNumberFormat="0" applyBorder="0" applyAlignment="0" applyProtection="0"/>
    <xf numFmtId="0" fontId="35" fillId="22" borderId="0" applyNumberFormat="0" applyBorder="0" applyAlignment="0" applyProtection="0"/>
    <xf numFmtId="0" fontId="35" fillId="22" borderId="0" applyNumberFormat="0" applyBorder="0" applyAlignment="0" applyProtection="0"/>
    <xf numFmtId="0" fontId="58" fillId="12" borderId="0" applyNumberFormat="0" applyBorder="0" applyAlignment="0" applyProtection="0"/>
    <xf numFmtId="0" fontId="58" fillId="23" borderId="0" applyNumberFormat="0" applyBorder="0" applyAlignment="0" applyProtection="0"/>
    <xf numFmtId="0" fontId="35" fillId="7" borderId="0" applyNumberFormat="0" applyBorder="0" applyAlignment="0" applyProtection="0"/>
    <xf numFmtId="0" fontId="35" fillId="7" borderId="0" applyNumberFormat="0" applyBorder="0" applyAlignment="0" applyProtection="0"/>
    <xf numFmtId="0" fontId="58" fillId="8" borderId="0" applyNumberFormat="0" applyBorder="0" applyAlignment="0" applyProtection="0"/>
  </cellStyleXfs>
  <cellXfs count="113">
    <xf numFmtId="0" fontId="0" fillId="0" borderId="0" xfId="0"/>
    <xf numFmtId="0" fontId="1" fillId="0" borderId="0" xfId="0" applyFont="1"/>
    <xf numFmtId="0" fontId="2" fillId="0" borderId="0" xfId="0" applyFont="1" applyAlignment="1">
      <alignment horizontal="left" vertical="center"/>
    </xf>
    <xf numFmtId="0" fontId="3" fillId="0" borderId="0" xfId="0" applyFont="1" applyAlignment="1">
      <alignment horizontal="left" wrapText="1"/>
    </xf>
    <xf numFmtId="0" fontId="1" fillId="0" borderId="1" xfId="0" applyFont="1" applyBorder="1"/>
    <xf numFmtId="0" fontId="3" fillId="0" borderId="1" xfId="0" applyFont="1" applyBorder="1" applyAlignment="1">
      <alignment horizontal="left" wrapText="1"/>
    </xf>
    <xf numFmtId="0" fontId="0" fillId="0" borderId="1" xfId="0" applyBorder="1"/>
    <xf numFmtId="0" fontId="1" fillId="0" borderId="2" xfId="0" applyFont="1" applyBorder="1"/>
    <xf numFmtId="0" fontId="4" fillId="0" borderId="1" xfId="6" applyFont="1" applyBorder="1" applyAlignment="1" applyProtection="1">
      <alignment wrapText="1"/>
    </xf>
    <xf numFmtId="0" fontId="0" fillId="0" borderId="2" xfId="0" applyBorder="1"/>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6" applyFont="1" applyBorder="1" applyAlignment="1" applyProtection="1">
      <alignment horizontal="left" wrapText="1"/>
    </xf>
    <xf numFmtId="0" fontId="3" fillId="0" borderId="2" xfId="0" applyFont="1" applyBorder="1" applyAlignment="1">
      <alignment horizontal="left"/>
    </xf>
    <xf numFmtId="0" fontId="1" fillId="0" borderId="0" xfId="0" applyFont="1" applyAlignment="1">
      <alignment vertical="center"/>
    </xf>
    <xf numFmtId="0" fontId="7" fillId="0" borderId="0" xfId="0" applyFont="1" applyAlignment="1">
      <alignment horizontal="left" vertical="center"/>
    </xf>
    <xf numFmtId="0" fontId="4" fillId="0" borderId="0" xfId="6" applyFont="1" applyAlignment="1" applyProtection="1"/>
    <xf numFmtId="0" fontId="8" fillId="0" borderId="0" xfId="0" applyFont="1" applyAlignment="1">
      <alignment horizontal="right"/>
    </xf>
    <xf numFmtId="0" fontId="9" fillId="0" borderId="0" xfId="0" applyFont="1"/>
    <xf numFmtId="0" fontId="10" fillId="0" borderId="0" xfId="0" applyFont="1"/>
    <xf numFmtId="0" fontId="11" fillId="0" borderId="0" xfId="0" applyFont="1" applyAlignment="1">
      <alignment horizontal="left" wrapText="1"/>
    </xf>
    <xf numFmtId="0" fontId="11" fillId="0" borderId="0" xfId="0" applyFont="1" applyAlignment="1">
      <alignment wrapText="1"/>
    </xf>
    <xf numFmtId="0" fontId="9" fillId="0" borderId="0" xfId="0" applyFont="1" applyAlignment="1">
      <alignment horizontal="left"/>
    </xf>
    <xf numFmtId="0" fontId="12" fillId="0" borderId="0" xfId="0" applyFont="1" applyAlignment="1">
      <alignment vertical="center"/>
    </xf>
    <xf numFmtId="0" fontId="11" fillId="0" borderId="0" xfId="0" applyFont="1" applyAlignment="1">
      <alignment vertical="center" wrapText="1"/>
    </xf>
    <xf numFmtId="0" fontId="1" fillId="2" borderId="0" xfId="0" applyFont="1" applyFill="1" applyAlignment="1">
      <alignment horizontal="center" vertical="center"/>
    </xf>
    <xf numFmtId="0" fontId="12" fillId="0" borderId="0" xfId="0" applyFont="1"/>
    <xf numFmtId="0" fontId="1" fillId="3" borderId="0" xfId="0" applyFont="1" applyFill="1" applyAlignment="1">
      <alignment horizontal="center" vertical="center"/>
    </xf>
    <xf numFmtId="0" fontId="13" fillId="0" borderId="0" xfId="0" applyFont="1" applyAlignment="1">
      <alignment vertical="center" wrapText="1"/>
    </xf>
    <xf numFmtId="0" fontId="14" fillId="0" borderId="0" xfId="0" applyFont="1"/>
    <xf numFmtId="0" fontId="15" fillId="0" borderId="0" xfId="0" applyFont="1"/>
    <xf numFmtId="0" fontId="4" fillId="0" borderId="0" xfId="6" applyFont="1" applyFill="1" applyBorder="1" applyAlignment="1" applyProtection="1">
      <alignment vertical="center"/>
    </xf>
    <xf numFmtId="0" fontId="8" fillId="0" borderId="0" xfId="0" applyFont="1" applyAlignment="1">
      <alignment wrapText="1"/>
    </xf>
    <xf numFmtId="0" fontId="16" fillId="0" borderId="0" xfId="0" applyFont="1" applyAlignment="1">
      <alignment horizontal="right"/>
    </xf>
    <xf numFmtId="0" fontId="11" fillId="0" borderId="0" xfId="0" applyFont="1"/>
    <xf numFmtId="0" fontId="1" fillId="0" borderId="0" xfId="0" applyFont="1" applyAlignment="1">
      <alignment horizontal="left" wrapText="1" indent="1"/>
    </xf>
    <xf numFmtId="0" fontId="15" fillId="0" borderId="0" xfId="0" applyFont="1" applyAlignment="1">
      <alignment horizontal="right"/>
    </xf>
    <xf numFmtId="0" fontId="17"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indent="1"/>
    </xf>
    <xf numFmtId="0" fontId="17" fillId="0" borderId="0" xfId="0" applyFont="1"/>
    <xf numFmtId="0" fontId="16" fillId="0" borderId="0" xfId="0" applyFont="1" applyAlignment="1">
      <alignment horizontal="left" wrapText="1"/>
    </xf>
    <xf numFmtId="0" fontId="18" fillId="0" borderId="0" xfId="0" applyFont="1" applyAlignment="1">
      <alignment horizontal="left" indent="1"/>
    </xf>
    <xf numFmtId="0" fontId="11" fillId="0" borderId="0" xfId="0" applyFont="1" applyAlignment="1">
      <alignment horizontal="left" wrapText="1" indent="1"/>
    </xf>
    <xf numFmtId="0" fontId="8" fillId="0" borderId="0" xfId="0" applyFont="1" applyAlignment="1">
      <alignment horizontal="left" vertical="center"/>
    </xf>
    <xf numFmtId="0" fontId="2" fillId="0" borderId="0" xfId="0" applyFont="1" applyAlignment="1">
      <alignment vertical="center"/>
    </xf>
    <xf numFmtId="0" fontId="19" fillId="0" borderId="0" xfId="6" applyFont="1" applyAlignment="1" applyProtection="1"/>
    <xf numFmtId="0" fontId="20" fillId="0" borderId="0" xfId="0" applyFont="1"/>
    <xf numFmtId="0" fontId="18" fillId="0" borderId="0" xfId="0" applyFont="1"/>
    <xf numFmtId="0" fontId="21" fillId="4" borderId="3" xfId="0" applyFont="1" applyFill="1" applyBorder="1" applyAlignment="1">
      <alignment vertical="center"/>
    </xf>
    <xf numFmtId="0" fontId="21" fillId="0" borderId="3" xfId="0" applyFont="1" applyBorder="1" applyAlignment="1">
      <alignment vertical="center"/>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Alignment="1" applyProtection="1">
      <alignment vertical="center"/>
      <protection locked="0"/>
    </xf>
    <xf numFmtId="0" fontId="25" fillId="0" borderId="0" xfId="0" applyFont="1" applyProtection="1">
      <protection locked="0"/>
    </xf>
    <xf numFmtId="0" fontId="26" fillId="5" borderId="0" xfId="6" applyNumberFormat="1" applyFont="1" applyFill="1" applyAlignment="1" applyProtection="1">
      <alignment horizontal="right"/>
      <protection locked="0"/>
    </xf>
    <xf numFmtId="0" fontId="27" fillId="0" borderId="0" xfId="0" applyFont="1" applyProtection="1">
      <protection locked="0"/>
    </xf>
    <xf numFmtId="0" fontId="0" fillId="5" borderId="0" xfId="0" applyFill="1"/>
    <xf numFmtId="0" fontId="28" fillId="0" borderId="0" xfId="0" applyFont="1"/>
    <xf numFmtId="0" fontId="28" fillId="0" borderId="0" xfId="0" applyFont="1" applyAlignment="1">
      <alignment horizontal="right" vertical="center"/>
    </xf>
    <xf numFmtId="178" fontId="29" fillId="0" borderId="4" xfId="0" applyNumberFormat="1" applyFont="1" applyBorder="1" applyAlignment="1" applyProtection="1">
      <alignment horizontal="center" vertical="center" shrinkToFit="1"/>
      <protection locked="0"/>
    </xf>
    <xf numFmtId="0" fontId="29" fillId="0" borderId="4" xfId="0" applyFont="1" applyBorder="1" applyAlignment="1" applyProtection="1">
      <alignment horizontal="center" vertical="center"/>
      <protection locked="0"/>
    </xf>
    <xf numFmtId="178" fontId="29" fillId="0" borderId="5" xfId="0" applyNumberFormat="1" applyFont="1" applyBorder="1" applyAlignment="1" applyProtection="1">
      <alignment horizontal="center" vertical="center" shrinkToFit="1"/>
      <protection locked="0"/>
    </xf>
    <xf numFmtId="0" fontId="30" fillId="0" borderId="0" xfId="0" applyFont="1"/>
    <xf numFmtId="0" fontId="31" fillId="0" borderId="6" xfId="0" applyFont="1" applyBorder="1" applyAlignment="1">
      <alignment horizontal="left" vertical="center"/>
    </xf>
    <xf numFmtId="0" fontId="31" fillId="0" borderId="6" xfId="0" applyFont="1" applyBorder="1" applyAlignment="1">
      <alignment horizontal="center" vertical="center" wrapText="1"/>
    </xf>
    <xf numFmtId="0" fontId="32" fillId="0" borderId="6" xfId="0" applyFont="1" applyBorder="1" applyAlignment="1">
      <alignment horizontal="center" vertical="center" wrapText="1"/>
    </xf>
    <xf numFmtId="0" fontId="31" fillId="0" borderId="6" xfId="0" applyFont="1" applyBorder="1" applyAlignment="1">
      <alignment horizontal="center" vertical="center"/>
    </xf>
    <xf numFmtId="0" fontId="33" fillId="4" borderId="7" xfId="0" applyFont="1" applyFill="1" applyBorder="1" applyAlignment="1">
      <alignment horizontal="left" vertical="center"/>
    </xf>
    <xf numFmtId="0" fontId="33" fillId="4" borderId="7" xfId="0" applyFont="1" applyFill="1" applyBorder="1" applyAlignment="1">
      <alignment vertical="center"/>
    </xf>
    <xf numFmtId="0" fontId="21" fillId="4" borderId="7" xfId="0" applyFont="1" applyFill="1" applyBorder="1" applyAlignment="1">
      <alignment vertical="center"/>
    </xf>
    <xf numFmtId="0" fontId="21" fillId="4" borderId="7" xfId="0" applyFont="1" applyFill="1" applyBorder="1" applyAlignment="1">
      <alignment horizontal="center" vertical="center"/>
    </xf>
    <xf numFmtId="179" fontId="21" fillId="4" borderId="7" xfId="0" applyNumberFormat="1" applyFont="1" applyFill="1" applyBorder="1" applyAlignment="1">
      <alignment horizontal="right" vertical="center"/>
    </xf>
    <xf numFmtId="179" fontId="21" fillId="4" borderId="7" xfId="0" applyNumberFormat="1" applyFont="1" applyFill="1" applyBorder="1" applyAlignment="1">
      <alignment horizontal="center" vertical="center"/>
    </xf>
    <xf numFmtId="1" fontId="21" fillId="4" borderId="7" xfId="3" applyNumberFormat="1" applyFont="1" applyFill="1" applyBorder="1" applyAlignment="1" applyProtection="1">
      <alignment horizontal="center" vertical="center"/>
    </xf>
    <xf numFmtId="9" fontId="21" fillId="4" borderId="7" xfId="3" applyFont="1" applyFill="1" applyBorder="1" applyAlignment="1" applyProtection="1">
      <alignment horizontal="center" vertical="center"/>
    </xf>
    <xf numFmtId="0" fontId="21" fillId="0" borderId="3" xfId="0" applyFont="1" applyBorder="1" applyAlignment="1">
      <alignment horizontal="left" vertical="center"/>
    </xf>
    <xf numFmtId="0" fontId="21" fillId="0" borderId="3" xfId="0" applyFont="1" applyBorder="1" applyAlignment="1">
      <alignment vertical="center" wrapText="1"/>
    </xf>
    <xf numFmtId="0" fontId="34" fillId="0" borderId="8" xfId="0" applyFont="1" applyBorder="1" applyAlignment="1">
      <alignment horizontal="center" vertical="center"/>
    </xf>
    <xf numFmtId="179" fontId="34" fillId="6" borderId="8" xfId="0" applyNumberFormat="1" applyFont="1" applyFill="1" applyBorder="1" applyAlignment="1">
      <alignment horizontal="center" vertical="center"/>
    </xf>
    <xf numFmtId="179" fontId="34" fillId="0" borderId="8" xfId="0" applyNumberFormat="1" applyFont="1" applyBorder="1" applyAlignment="1">
      <alignment horizontal="center" vertical="center"/>
    </xf>
    <xf numFmtId="1" fontId="34" fillId="3" borderId="8" xfId="0" applyNumberFormat="1" applyFont="1" applyFill="1" applyBorder="1" applyAlignment="1">
      <alignment horizontal="center" vertical="center"/>
    </xf>
    <xf numFmtId="9" fontId="34" fillId="3" borderId="8" xfId="3" applyFont="1" applyFill="1" applyBorder="1" applyAlignment="1" applyProtection="1">
      <alignment horizontal="center" vertical="center"/>
    </xf>
    <xf numFmtId="0" fontId="33" fillId="4" borderId="3" xfId="0" applyFont="1" applyFill="1" applyBorder="1" applyAlignment="1">
      <alignment horizontal="left" vertical="center"/>
    </xf>
    <xf numFmtId="0" fontId="33" fillId="4" borderId="3" xfId="0" applyFont="1" applyFill="1" applyBorder="1" applyAlignment="1">
      <alignment vertical="center"/>
    </xf>
    <xf numFmtId="0" fontId="21" fillId="4" borderId="3" xfId="0" applyFont="1" applyFill="1" applyBorder="1" applyAlignment="1">
      <alignment horizontal="center" vertical="center"/>
    </xf>
    <xf numFmtId="179" fontId="21" fillId="4" borderId="3" xfId="0" applyNumberFormat="1" applyFont="1" applyFill="1" applyBorder="1" applyAlignment="1">
      <alignment horizontal="center" vertical="center"/>
    </xf>
    <xf numFmtId="1" fontId="21" fillId="4" borderId="3" xfId="3" applyNumberFormat="1" applyFont="1" applyFill="1" applyBorder="1" applyAlignment="1" applyProtection="1">
      <alignment horizontal="center" vertical="center"/>
    </xf>
    <xf numFmtId="9" fontId="21" fillId="4" borderId="3" xfId="3" applyFont="1" applyFill="1" applyBorder="1" applyAlignment="1" applyProtection="1">
      <alignment horizontal="center" vertical="center"/>
    </xf>
    <xf numFmtId="0" fontId="35" fillId="0" borderId="0" xfId="0" applyNumberFormat="1" applyFont="1" applyFill="1" applyBorder="1" applyAlignment="1" applyProtection="1">
      <alignment vertical="center" wrapText="1"/>
    </xf>
    <xf numFmtId="0" fontId="1" fillId="0" borderId="0" xfId="0" applyFont="1" applyAlignment="1">
      <alignment horizontal="right" vertical="center"/>
    </xf>
    <xf numFmtId="0" fontId="36" fillId="0" borderId="0" xfId="6" applyFont="1" applyBorder="1" applyAlignment="1" applyProtection="1">
      <alignment horizontal="left" vertical="center"/>
    </xf>
    <xf numFmtId="0" fontId="37" fillId="0" borderId="0" xfId="6" applyAlignment="1" applyProtection="1">
      <alignment horizontal="left"/>
    </xf>
    <xf numFmtId="0" fontId="38" fillId="0" borderId="9" xfId="0" applyFont="1" applyBorder="1" applyAlignment="1">
      <alignment horizontal="center" vertical="center"/>
    </xf>
    <xf numFmtId="0" fontId="38" fillId="0" borderId="10" xfId="0" applyFont="1" applyBorder="1" applyAlignment="1">
      <alignment horizontal="center" vertical="center"/>
    </xf>
    <xf numFmtId="180" fontId="29" fillId="0" borderId="9" xfId="0" applyNumberFormat="1" applyFont="1" applyBorder="1" applyAlignment="1">
      <alignment horizontal="center" vertical="center"/>
    </xf>
    <xf numFmtId="180" fontId="29" fillId="0" borderId="10" xfId="0" applyNumberFormat="1" applyFont="1" applyBorder="1" applyAlignment="1">
      <alignment horizontal="center" vertical="center"/>
    </xf>
    <xf numFmtId="181" fontId="8" fillId="0" borderId="9" xfId="0" applyNumberFormat="1" applyFont="1" applyBorder="1" applyAlignment="1">
      <alignment horizontal="center" vertical="center" shrinkToFit="1"/>
    </xf>
    <xf numFmtId="181" fontId="8" fillId="0" borderId="10" xfId="0" applyNumberFormat="1"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1" fontId="21" fillId="4" borderId="7" xfId="0" applyNumberFormat="1" applyFont="1" applyFill="1" applyBorder="1" applyAlignment="1">
      <alignment horizontal="center" vertical="center"/>
    </xf>
    <xf numFmtId="1" fontId="39" fillId="4" borderId="7" xfId="0" applyNumberFormat="1" applyFont="1" applyFill="1" applyBorder="1" applyAlignment="1">
      <alignment horizontal="center" vertical="center"/>
    </xf>
    <xf numFmtId="0" fontId="21" fillId="4" borderId="7" xfId="0" applyFont="1" applyFill="1" applyBorder="1" applyAlignment="1">
      <alignment horizontal="left" vertical="center"/>
    </xf>
    <xf numFmtId="1" fontId="34" fillId="0" borderId="8" xfId="0" applyNumberFormat="1" applyFont="1" applyBorder="1" applyAlignment="1">
      <alignment horizontal="center" vertical="center"/>
    </xf>
    <xf numFmtId="1" fontId="40" fillId="0" borderId="8" xfId="0" applyNumberFormat="1" applyFont="1" applyBorder="1" applyAlignment="1">
      <alignment horizontal="center" vertical="center"/>
    </xf>
    <xf numFmtId="1" fontId="21" fillId="4" borderId="3" xfId="0" applyNumberFormat="1" applyFont="1" applyFill="1" applyBorder="1" applyAlignment="1">
      <alignment horizontal="center" vertical="center"/>
    </xf>
    <xf numFmtId="1" fontId="39" fillId="4" borderId="3" xfId="0" applyNumberFormat="1" applyFont="1" applyFill="1" applyBorder="1" applyAlignment="1">
      <alignment horizontal="center" vertical="center"/>
    </xf>
    <xf numFmtId="0" fontId="21" fillId="4" borderId="3" xfId="0" applyFont="1" applyFill="1" applyBorder="1" applyAlignment="1">
      <alignment horizontal="left" vertical="center"/>
    </xf>
    <xf numFmtId="0" fontId="38" fillId="0" borderId="13" xfId="0" applyFont="1" applyBorder="1" applyAlignment="1">
      <alignment horizontal="center" vertical="center"/>
    </xf>
    <xf numFmtId="180" fontId="29" fillId="0" borderId="13" xfId="0" applyNumberFormat="1" applyFont="1" applyBorder="1" applyAlignment="1">
      <alignment horizontal="center" vertical="center"/>
    </xf>
    <xf numFmtId="181" fontId="8" fillId="0" borderId="13" xfId="0" applyNumberFormat="1" applyFont="1" applyBorder="1" applyAlignment="1">
      <alignment horizontal="center" vertical="center" shrinkToFit="1"/>
    </xf>
    <xf numFmtId="0" fontId="21" fillId="0" borderId="14" xfId="0" applyFont="1" applyBorder="1" applyAlignment="1">
      <alignment horizontal="center" vertical="center" shrinkToFit="1"/>
    </xf>
    <xf numFmtId="0" fontId="11" fillId="0" borderId="0" xfId="0" applyFont="1" applyAlignment="1" quotePrefix="1">
      <alignment horizontal="left" wrapText="1" indent="1"/>
    </xf>
    <xf numFmtId="0" fontId="11" fillId="0" borderId="0" xfId="0" applyFont="1" applyAlignment="1" quotePrefix="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border>
        <left style="thin">
          <color rgb="FFC00000"/>
        </left>
        <right style="thin">
          <color rgb="FFC00000"/>
        </right>
      </border>
    </dxf>
    <dxf>
      <fill>
        <patternFill patternType="solid">
          <bgColor theme="0" tint="-0.499984740745262"/>
        </patternFill>
      </fill>
    </dxf>
    <dxf>
      <fill>
        <patternFill patternType="solid">
          <bgColor rgb="FF0070C0"/>
        </patternFill>
      </fill>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FFCCCC"/>
      <color rgb="00FF9900"/>
      <color rgb="0091D0FF"/>
      <color rgb="00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Scroll" dx="22" fmlaLink="$H$4" horiz="1" max="100" min="1" val="1"/>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4</xdr:col>
      <xdr:colOff>419100</xdr:colOff>
      <xdr:row>5</xdr:row>
      <xdr:rowOff>142875</xdr:rowOff>
    </xdr:from>
    <xdr:to>
      <xdr:col>15</xdr:col>
      <xdr:colOff>28575</xdr:colOff>
      <xdr:row>10</xdr:row>
      <xdr:rowOff>80433</xdr:rowOff>
    </xdr:to>
    <xdr:sp>
      <xdr:nvSpPr>
        <xdr:cNvPr id="8236" name="Text Box 44" hidden="1"/>
        <xdr:cNvSpPr txBox="1">
          <a:spLocks noChangeArrowheads="1"/>
        </xdr:cNvSpPr>
      </xdr:nvSpPr>
      <xdr:spPr>
        <a:xfrm>
          <a:off x="4953000" y="1371600"/>
          <a:ext cx="3419475" cy="1223010"/>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xdr:nvSpPr>
            <xdr:cNvPr id="8238" name="Scroll Bar 46" hidden="1">
              <a:extLst>
                <a:ext uri="{63B3BB69-23CF-44E3-9099-C40C66FF867C}">
                  <a14:compatExt spid="_x0000_s8238"/>
                </a:ext>
              </a:extLst>
            </xdr:cNvPr>
            <xdr:cNvSpPr/>
          </xdr:nvSpPr>
          <xdr:spPr>
            <a:xfrm>
              <a:off x="7505700" y="504825"/>
              <a:ext cx="2886075" cy="219075"/>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xmlns:a14="http://schemas.microsoft.com/office/drawing/2010/main" val="000000" mc:Ignorable="a14" a14:legacySpreadsheetColorIndex="64"/>
              </a:solidFill>
            </a14:hiddenFill>
          </a:ext>
          <a:ext uri="{91240B29-F687-4F45-9708-019B960494DF}">
            <a14:hiddenLine xmlns:a14="http://schemas.microsoft.com/office/drawing/2010/main" w="1">
              <a:solidFill>
                <a:srgbClr xmlns:mc="http://schemas.openxmlformats.org/markup-compatibility/2006" xmlns:a14="http://schemas.microsoft.com/office/drawing/2010/main"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 Type="http://schemas.openxmlformats.org/officeDocument/2006/relationships/hyperlink" Target="https://excel.uservoice.com/forums/304921-excel-for-windows-desktop-application/suggestions/19676413-make-paste-and-merge-conditional-formatting-the"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Links/go.php?urlid=GanttChartPro" TargetMode="External"/><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licensing/EULA_privateuse.html" TargetMode="External"/><Relationship Id="rId2" Type="http://schemas.openxmlformats.org/officeDocument/2006/relationships/hyperlink" Target="https://www.vertex42.com/ExcelTemplates/excel-gantt-chart.html"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51"/>
  <sheetViews>
    <sheetView showGridLines="0" tabSelected="1" workbookViewId="0">
      <pane ySplit="7" topLeftCell="A10" activePane="bottomLeft" state="frozen"/>
      <selection/>
      <selection pane="bottomLeft" activeCell="R15" sqref="R15"/>
    </sheetView>
  </sheetViews>
  <sheetFormatPr defaultColWidth="9.14285714285714" defaultRowHeight="12.75"/>
  <cols>
    <col min="1" max="1" width="6.85714285714286" customWidth="1"/>
    <col min="2" max="2" width="42.4285714285714" customWidth="1"/>
    <col min="3" max="3" width="13.4285714285714" customWidth="1"/>
    <col min="4" max="4" width="5.28571428571429" customWidth="1"/>
    <col min="5" max="6" width="12" customWidth="1"/>
    <col min="7" max="7" width="6" customWidth="1"/>
    <col min="8" max="8" width="6.71428571428571" customWidth="1"/>
    <col min="9" max="9" width="6.42857142857143" customWidth="1"/>
    <col min="10" max="10" width="1.85714285714286" customWidth="1"/>
    <col min="11" max="66" width="2.42857142857143" customWidth="1"/>
  </cols>
  <sheetData>
    <row r="1" ht="30" customHeight="1" spans="1:31">
      <c r="A1" s="51" t="s">
        <v>0</v>
      </c>
      <c r="B1" s="52"/>
      <c r="C1" s="52"/>
      <c r="D1" s="52"/>
      <c r="E1" s="52"/>
      <c r="F1" s="52"/>
      <c r="I1" s="90"/>
      <c r="K1" s="91"/>
      <c r="L1" s="91"/>
      <c r="M1" s="91"/>
      <c r="N1" s="91"/>
      <c r="O1" s="91"/>
      <c r="P1" s="91"/>
      <c r="Q1" s="91"/>
      <c r="R1" s="91"/>
      <c r="S1" s="91"/>
      <c r="T1" s="91"/>
      <c r="U1" s="91"/>
      <c r="V1" s="91"/>
      <c r="W1" s="91"/>
      <c r="X1" s="91"/>
      <c r="Y1" s="91"/>
      <c r="Z1" s="91"/>
      <c r="AA1" s="91"/>
      <c r="AB1" s="91"/>
      <c r="AC1" s="91"/>
      <c r="AD1" s="91"/>
      <c r="AE1" s="91"/>
    </row>
    <row r="2" ht="18" customHeight="1" spans="1:8">
      <c r="A2" s="53"/>
      <c r="B2" s="54"/>
      <c r="C2" s="54"/>
      <c r="D2" s="55"/>
      <c r="E2" s="56"/>
      <c r="F2" s="56"/>
      <c r="H2" s="57"/>
    </row>
    <row r="3" ht="14.25" spans="1:27">
      <c r="A3" s="53"/>
      <c r="B3" s="1"/>
      <c r="H3" s="57"/>
      <c r="K3" s="92"/>
      <c r="L3" s="92"/>
      <c r="M3" s="92"/>
      <c r="N3" s="92"/>
      <c r="O3" s="92"/>
      <c r="P3" s="92"/>
      <c r="Q3" s="92"/>
      <c r="R3" s="92"/>
      <c r="S3" s="92"/>
      <c r="T3" s="92"/>
      <c r="U3" s="92"/>
      <c r="V3" s="92"/>
      <c r="W3" s="92"/>
      <c r="X3" s="92"/>
      <c r="Y3" s="92"/>
      <c r="Z3" s="92"/>
      <c r="AA3" s="92"/>
    </row>
    <row r="4" ht="17.25" customHeight="1" spans="1:66">
      <c r="A4" s="58"/>
      <c r="B4" s="59" t="s">
        <v>1</v>
      </c>
      <c r="C4" s="60">
        <v>45986</v>
      </c>
      <c r="D4" s="60"/>
      <c r="E4" s="60"/>
      <c r="F4" s="58"/>
      <c r="G4" s="59" t="s">
        <v>2</v>
      </c>
      <c r="H4" s="61">
        <v>1</v>
      </c>
      <c r="I4" s="1"/>
      <c r="J4" s="63"/>
      <c r="K4" s="93" t="str">
        <f>"Week "&amp;(K6-($C$4-WEEKDAY($C$4,1)+2))/7+1</f>
        <v>Week 1</v>
      </c>
      <c r="L4" s="94"/>
      <c r="M4" s="94"/>
      <c r="N4" s="94"/>
      <c r="O4" s="94"/>
      <c r="P4" s="94"/>
      <c r="Q4" s="109"/>
      <c r="R4" s="93" t="str">
        <f>"Week "&amp;(R6-($C$4-WEEKDAY($C$4,1)+2))/7+1</f>
        <v>Week 2</v>
      </c>
      <c r="S4" s="94"/>
      <c r="T4" s="94"/>
      <c r="U4" s="94"/>
      <c r="V4" s="94"/>
      <c r="W4" s="94"/>
      <c r="X4" s="109"/>
      <c r="Y4" s="93" t="str">
        <f>"Week "&amp;(Y6-($C$4-WEEKDAY($C$4,1)+2))/7+1</f>
        <v>Week 3</v>
      </c>
      <c r="Z4" s="94"/>
      <c r="AA4" s="94"/>
      <c r="AB4" s="94"/>
      <c r="AC4" s="94"/>
      <c r="AD4" s="94"/>
      <c r="AE4" s="109"/>
      <c r="AF4" s="93" t="str">
        <f>"Week "&amp;(AF6-($C$4-WEEKDAY($C$4,1)+2))/7+1</f>
        <v>Week 4</v>
      </c>
      <c r="AG4" s="94"/>
      <c r="AH4" s="94"/>
      <c r="AI4" s="94"/>
      <c r="AJ4" s="94"/>
      <c r="AK4" s="94"/>
      <c r="AL4" s="109"/>
      <c r="AM4" s="93" t="str">
        <f>"Week "&amp;(AM6-($C$4-WEEKDAY($C$4,1)+2))/7+1</f>
        <v>Week 5</v>
      </c>
      <c r="AN4" s="94"/>
      <c r="AO4" s="94"/>
      <c r="AP4" s="94"/>
      <c r="AQ4" s="94"/>
      <c r="AR4" s="94"/>
      <c r="AS4" s="109"/>
      <c r="AT4" s="93" t="str">
        <f>"Week "&amp;(AT6-($C$4-WEEKDAY($C$4,1)+2))/7+1</f>
        <v>Week 6</v>
      </c>
      <c r="AU4" s="94"/>
      <c r="AV4" s="94"/>
      <c r="AW4" s="94"/>
      <c r="AX4" s="94"/>
      <c r="AY4" s="94"/>
      <c r="AZ4" s="109"/>
      <c r="BA4" s="93" t="str">
        <f>"Week "&amp;(BA6-($C$4-WEEKDAY($C$4,1)+2))/7+1</f>
        <v>Week 7</v>
      </c>
      <c r="BB4" s="94"/>
      <c r="BC4" s="94"/>
      <c r="BD4" s="94"/>
      <c r="BE4" s="94"/>
      <c r="BF4" s="94"/>
      <c r="BG4" s="109"/>
      <c r="BH4" s="93" t="str">
        <f>"Week "&amp;(BH6-($C$4-WEEKDAY($C$4,1)+2))/7+1</f>
        <v>Week 8</v>
      </c>
      <c r="BI4" s="94"/>
      <c r="BJ4" s="94"/>
      <c r="BK4" s="94"/>
      <c r="BL4" s="94"/>
      <c r="BM4" s="94"/>
      <c r="BN4" s="109"/>
    </row>
    <row r="5" ht="17.25" customHeight="1" spans="1:66">
      <c r="A5" s="58"/>
      <c r="B5" s="59" t="s">
        <v>3</v>
      </c>
      <c r="C5" s="62" t="s">
        <v>4</v>
      </c>
      <c r="D5" s="62"/>
      <c r="E5" s="62"/>
      <c r="F5" s="58"/>
      <c r="G5" s="58"/>
      <c r="H5" s="58"/>
      <c r="I5" s="58"/>
      <c r="J5" s="63"/>
      <c r="K5" s="95">
        <f>K6</f>
        <v>45985</v>
      </c>
      <c r="L5" s="96"/>
      <c r="M5" s="96"/>
      <c r="N5" s="96"/>
      <c r="O5" s="96"/>
      <c r="P5" s="96"/>
      <c r="Q5" s="110"/>
      <c r="R5" s="95">
        <f>R6</f>
        <v>45992</v>
      </c>
      <c r="S5" s="96"/>
      <c r="T5" s="96"/>
      <c r="U5" s="96"/>
      <c r="V5" s="96"/>
      <c r="W5" s="96"/>
      <c r="X5" s="110"/>
      <c r="Y5" s="95">
        <f>Y6</f>
        <v>45999</v>
      </c>
      <c r="Z5" s="96"/>
      <c r="AA5" s="96"/>
      <c r="AB5" s="96"/>
      <c r="AC5" s="96"/>
      <c r="AD5" s="96"/>
      <c r="AE5" s="110"/>
      <c r="AF5" s="95">
        <f>AF6</f>
        <v>46006</v>
      </c>
      <c r="AG5" s="96"/>
      <c r="AH5" s="96"/>
      <c r="AI5" s="96"/>
      <c r="AJ5" s="96"/>
      <c r="AK5" s="96"/>
      <c r="AL5" s="110"/>
      <c r="AM5" s="95">
        <f>AM6</f>
        <v>46013</v>
      </c>
      <c r="AN5" s="96"/>
      <c r="AO5" s="96"/>
      <c r="AP5" s="96"/>
      <c r="AQ5" s="96"/>
      <c r="AR5" s="96"/>
      <c r="AS5" s="110"/>
      <c r="AT5" s="95">
        <f>AT6</f>
        <v>46020</v>
      </c>
      <c r="AU5" s="96"/>
      <c r="AV5" s="96"/>
      <c r="AW5" s="96"/>
      <c r="AX5" s="96"/>
      <c r="AY5" s="96"/>
      <c r="AZ5" s="110"/>
      <c r="BA5" s="95">
        <f>BA6</f>
        <v>46027</v>
      </c>
      <c r="BB5" s="96"/>
      <c r="BC5" s="96"/>
      <c r="BD5" s="96"/>
      <c r="BE5" s="96"/>
      <c r="BF5" s="96"/>
      <c r="BG5" s="110"/>
      <c r="BH5" s="95">
        <f>BH6</f>
        <v>46034</v>
      </c>
      <c r="BI5" s="96"/>
      <c r="BJ5" s="96"/>
      <c r="BK5" s="96"/>
      <c r="BL5" s="96"/>
      <c r="BM5" s="96"/>
      <c r="BN5" s="110"/>
    </row>
    <row r="6" spans="1:66">
      <c r="A6" s="63"/>
      <c r="B6" s="63"/>
      <c r="C6" s="63"/>
      <c r="D6" s="63"/>
      <c r="E6" s="63"/>
      <c r="F6" s="63"/>
      <c r="G6" s="63"/>
      <c r="H6" s="63"/>
      <c r="I6" s="63"/>
      <c r="J6" s="63"/>
      <c r="K6" s="97">
        <f>C4-WEEKDAY(C4,1)+2+7*(H4-1)</f>
        <v>45985</v>
      </c>
      <c r="L6" s="98">
        <f t="shared" ref="L6:AQ6" si="0">K6+1</f>
        <v>45986</v>
      </c>
      <c r="M6" s="98">
        <f t="shared" si="0"/>
        <v>45987</v>
      </c>
      <c r="N6" s="98">
        <f t="shared" si="0"/>
        <v>45988</v>
      </c>
      <c r="O6" s="98">
        <f t="shared" si="0"/>
        <v>45989</v>
      </c>
      <c r="P6" s="98">
        <f t="shared" si="0"/>
        <v>45990</v>
      </c>
      <c r="Q6" s="111">
        <f t="shared" si="0"/>
        <v>45991</v>
      </c>
      <c r="R6" s="97">
        <f t="shared" si="0"/>
        <v>45992</v>
      </c>
      <c r="S6" s="98">
        <f t="shared" si="0"/>
        <v>45993</v>
      </c>
      <c r="T6" s="98">
        <f t="shared" si="0"/>
        <v>45994</v>
      </c>
      <c r="U6" s="98">
        <f t="shared" si="0"/>
        <v>45995</v>
      </c>
      <c r="V6" s="98">
        <f t="shared" si="0"/>
        <v>45996</v>
      </c>
      <c r="W6" s="98">
        <f t="shared" si="0"/>
        <v>45997</v>
      </c>
      <c r="X6" s="111">
        <f t="shared" si="0"/>
        <v>45998</v>
      </c>
      <c r="Y6" s="97">
        <f t="shared" si="0"/>
        <v>45999</v>
      </c>
      <c r="Z6" s="98">
        <f t="shared" si="0"/>
        <v>46000</v>
      </c>
      <c r="AA6" s="98">
        <f t="shared" si="0"/>
        <v>46001</v>
      </c>
      <c r="AB6" s="98">
        <f t="shared" si="0"/>
        <v>46002</v>
      </c>
      <c r="AC6" s="98">
        <f t="shared" si="0"/>
        <v>46003</v>
      </c>
      <c r="AD6" s="98">
        <f t="shared" si="0"/>
        <v>46004</v>
      </c>
      <c r="AE6" s="111">
        <f t="shared" si="0"/>
        <v>46005</v>
      </c>
      <c r="AF6" s="97">
        <f t="shared" si="0"/>
        <v>46006</v>
      </c>
      <c r="AG6" s="98">
        <f t="shared" si="0"/>
        <v>46007</v>
      </c>
      <c r="AH6" s="98">
        <f t="shared" si="0"/>
        <v>46008</v>
      </c>
      <c r="AI6" s="98">
        <f t="shared" si="0"/>
        <v>46009</v>
      </c>
      <c r="AJ6" s="98">
        <f t="shared" si="0"/>
        <v>46010</v>
      </c>
      <c r="AK6" s="98">
        <f t="shared" si="0"/>
        <v>46011</v>
      </c>
      <c r="AL6" s="111">
        <f t="shared" si="0"/>
        <v>46012</v>
      </c>
      <c r="AM6" s="97">
        <f t="shared" si="0"/>
        <v>46013</v>
      </c>
      <c r="AN6" s="98">
        <f t="shared" si="0"/>
        <v>46014</v>
      </c>
      <c r="AO6" s="98">
        <f t="shared" si="0"/>
        <v>46015</v>
      </c>
      <c r="AP6" s="98">
        <f t="shared" si="0"/>
        <v>46016</v>
      </c>
      <c r="AQ6" s="98">
        <f t="shared" si="0"/>
        <v>46017</v>
      </c>
      <c r="AR6" s="98">
        <f t="shared" ref="AR6:BN6" si="1">AQ6+1</f>
        <v>46018</v>
      </c>
      <c r="AS6" s="111">
        <f t="shared" si="1"/>
        <v>46019</v>
      </c>
      <c r="AT6" s="97">
        <f t="shared" si="1"/>
        <v>46020</v>
      </c>
      <c r="AU6" s="98">
        <f t="shared" si="1"/>
        <v>46021</v>
      </c>
      <c r="AV6" s="98">
        <f t="shared" si="1"/>
        <v>46022</v>
      </c>
      <c r="AW6" s="98">
        <f t="shared" si="1"/>
        <v>46023</v>
      </c>
      <c r="AX6" s="98">
        <f t="shared" si="1"/>
        <v>46024</v>
      </c>
      <c r="AY6" s="98">
        <f t="shared" si="1"/>
        <v>46025</v>
      </c>
      <c r="AZ6" s="111">
        <f t="shared" si="1"/>
        <v>46026</v>
      </c>
      <c r="BA6" s="97">
        <f t="shared" si="1"/>
        <v>46027</v>
      </c>
      <c r="BB6" s="98">
        <f t="shared" si="1"/>
        <v>46028</v>
      </c>
      <c r="BC6" s="98">
        <f t="shared" si="1"/>
        <v>46029</v>
      </c>
      <c r="BD6" s="98">
        <f t="shared" si="1"/>
        <v>46030</v>
      </c>
      <c r="BE6" s="98">
        <f t="shared" si="1"/>
        <v>46031</v>
      </c>
      <c r="BF6" s="98">
        <f t="shared" si="1"/>
        <v>46032</v>
      </c>
      <c r="BG6" s="111">
        <f t="shared" si="1"/>
        <v>46033</v>
      </c>
      <c r="BH6" s="97">
        <f t="shared" si="1"/>
        <v>46034</v>
      </c>
      <c r="BI6" s="98">
        <f t="shared" si="1"/>
        <v>46035</v>
      </c>
      <c r="BJ6" s="98">
        <f t="shared" si="1"/>
        <v>46036</v>
      </c>
      <c r="BK6" s="98">
        <f t="shared" si="1"/>
        <v>46037</v>
      </c>
      <c r="BL6" s="98">
        <f t="shared" si="1"/>
        <v>46038</v>
      </c>
      <c r="BM6" s="98">
        <f t="shared" si="1"/>
        <v>46039</v>
      </c>
      <c r="BN6" s="111">
        <f t="shared" si="1"/>
        <v>46040</v>
      </c>
    </row>
    <row r="7" s="1" customFormat="1" ht="34.5" spans="1:66">
      <c r="A7" s="64" t="s">
        <v>5</v>
      </c>
      <c r="B7" s="64" t="s">
        <v>6</v>
      </c>
      <c r="C7" s="65" t="s">
        <v>7</v>
      </c>
      <c r="D7" s="66" t="s">
        <v>8</v>
      </c>
      <c r="E7" s="67" t="s">
        <v>9</v>
      </c>
      <c r="F7" s="67" t="s">
        <v>10</v>
      </c>
      <c r="G7" s="65" t="s">
        <v>11</v>
      </c>
      <c r="H7" s="65" t="s">
        <v>12</v>
      </c>
      <c r="I7" s="65" t="s">
        <v>13</v>
      </c>
      <c r="J7" s="65"/>
      <c r="K7" s="99" t="str">
        <f t="shared" ref="K7:AP7" si="2">CHOOSE(WEEKDAY(K6,1),"S","M","T","W","T","F","S")</f>
        <v>M</v>
      </c>
      <c r="L7" s="100" t="str">
        <f t="shared" si="2"/>
        <v>T</v>
      </c>
      <c r="M7" s="100" t="str">
        <f t="shared" si="2"/>
        <v>W</v>
      </c>
      <c r="N7" s="100" t="str">
        <f t="shared" si="2"/>
        <v>T</v>
      </c>
      <c r="O7" s="100" t="str">
        <f t="shared" si="2"/>
        <v>F</v>
      </c>
      <c r="P7" s="100" t="str">
        <f t="shared" si="2"/>
        <v>S</v>
      </c>
      <c r="Q7" s="112" t="str">
        <f t="shared" si="2"/>
        <v>S</v>
      </c>
      <c r="R7" s="99" t="str">
        <f t="shared" si="2"/>
        <v>M</v>
      </c>
      <c r="S7" s="100" t="str">
        <f t="shared" si="2"/>
        <v>T</v>
      </c>
      <c r="T7" s="100" t="str">
        <f t="shared" si="2"/>
        <v>W</v>
      </c>
      <c r="U7" s="100" t="str">
        <f t="shared" si="2"/>
        <v>T</v>
      </c>
      <c r="V7" s="100" t="str">
        <f t="shared" si="2"/>
        <v>F</v>
      </c>
      <c r="W7" s="100" t="str">
        <f t="shared" si="2"/>
        <v>S</v>
      </c>
      <c r="X7" s="112" t="str">
        <f t="shared" si="2"/>
        <v>S</v>
      </c>
      <c r="Y7" s="99" t="str">
        <f t="shared" si="2"/>
        <v>M</v>
      </c>
      <c r="Z7" s="100" t="str">
        <f t="shared" si="2"/>
        <v>T</v>
      </c>
      <c r="AA7" s="100" t="str">
        <f t="shared" si="2"/>
        <v>W</v>
      </c>
      <c r="AB7" s="100" t="str">
        <f t="shared" si="2"/>
        <v>T</v>
      </c>
      <c r="AC7" s="100" t="str">
        <f t="shared" si="2"/>
        <v>F</v>
      </c>
      <c r="AD7" s="100" t="str">
        <f t="shared" si="2"/>
        <v>S</v>
      </c>
      <c r="AE7" s="112" t="str">
        <f t="shared" si="2"/>
        <v>S</v>
      </c>
      <c r="AF7" s="99" t="str">
        <f t="shared" si="2"/>
        <v>M</v>
      </c>
      <c r="AG7" s="100" t="str">
        <f t="shared" si="2"/>
        <v>T</v>
      </c>
      <c r="AH7" s="100" t="str">
        <f t="shared" si="2"/>
        <v>W</v>
      </c>
      <c r="AI7" s="100" t="str">
        <f t="shared" si="2"/>
        <v>T</v>
      </c>
      <c r="AJ7" s="100" t="str">
        <f t="shared" si="2"/>
        <v>F</v>
      </c>
      <c r="AK7" s="100" t="str">
        <f t="shared" si="2"/>
        <v>S</v>
      </c>
      <c r="AL7" s="112" t="str">
        <f t="shared" si="2"/>
        <v>S</v>
      </c>
      <c r="AM7" s="99" t="str">
        <f t="shared" si="2"/>
        <v>M</v>
      </c>
      <c r="AN7" s="100" t="str">
        <f t="shared" si="2"/>
        <v>T</v>
      </c>
      <c r="AO7" s="100" t="str">
        <f t="shared" si="2"/>
        <v>W</v>
      </c>
      <c r="AP7" s="100" t="str">
        <f t="shared" si="2"/>
        <v>T</v>
      </c>
      <c r="AQ7" s="100" t="str">
        <f t="shared" ref="AQ7:BN7" si="3">CHOOSE(WEEKDAY(AQ6,1),"S","M","T","W","T","F","S")</f>
        <v>F</v>
      </c>
      <c r="AR7" s="100" t="str">
        <f t="shared" si="3"/>
        <v>S</v>
      </c>
      <c r="AS7" s="112" t="str">
        <f t="shared" si="3"/>
        <v>S</v>
      </c>
      <c r="AT7" s="99" t="str">
        <f t="shared" si="3"/>
        <v>M</v>
      </c>
      <c r="AU7" s="100" t="str">
        <f t="shared" si="3"/>
        <v>T</v>
      </c>
      <c r="AV7" s="100" t="str">
        <f t="shared" si="3"/>
        <v>W</v>
      </c>
      <c r="AW7" s="100" t="str">
        <f t="shared" si="3"/>
        <v>T</v>
      </c>
      <c r="AX7" s="100" t="str">
        <f t="shared" si="3"/>
        <v>F</v>
      </c>
      <c r="AY7" s="100" t="str">
        <f t="shared" si="3"/>
        <v>S</v>
      </c>
      <c r="AZ7" s="112" t="str">
        <f t="shared" si="3"/>
        <v>S</v>
      </c>
      <c r="BA7" s="99" t="str">
        <f t="shared" si="3"/>
        <v>M</v>
      </c>
      <c r="BB7" s="100" t="str">
        <f t="shared" si="3"/>
        <v>T</v>
      </c>
      <c r="BC7" s="100" t="str">
        <f t="shared" si="3"/>
        <v>W</v>
      </c>
      <c r="BD7" s="100" t="str">
        <f t="shared" si="3"/>
        <v>T</v>
      </c>
      <c r="BE7" s="100" t="str">
        <f t="shared" si="3"/>
        <v>F</v>
      </c>
      <c r="BF7" s="100" t="str">
        <f t="shared" si="3"/>
        <v>S</v>
      </c>
      <c r="BG7" s="112" t="str">
        <f t="shared" si="3"/>
        <v>S</v>
      </c>
      <c r="BH7" s="99" t="str">
        <f t="shared" si="3"/>
        <v>M</v>
      </c>
      <c r="BI7" s="100" t="str">
        <f t="shared" si="3"/>
        <v>T</v>
      </c>
      <c r="BJ7" s="100" t="str">
        <f t="shared" si="3"/>
        <v>W</v>
      </c>
      <c r="BK7" s="100" t="str">
        <f t="shared" si="3"/>
        <v>T</v>
      </c>
      <c r="BL7" s="100" t="str">
        <f t="shared" si="3"/>
        <v>F</v>
      </c>
      <c r="BM7" s="100" t="str">
        <f t="shared" si="3"/>
        <v>S</v>
      </c>
      <c r="BN7" s="112" t="str">
        <f t="shared" si="3"/>
        <v>S</v>
      </c>
    </row>
    <row r="8" s="49" customFormat="1" ht="18" spans="1:66">
      <c r="A8" s="68" t="str">
        <f>IF(ISERROR(VALUE(SUBSTITUTE(prevWBS,".",""))),"1",IF(ISERROR(FIND("`",SUBSTITUTE(prevWBS,".","`",1))),TEXT(VALUE(prevWBS)+1,"#"),TEXT(VALUE(LEFT(prevWBS,FIND("`",SUBSTITUTE(prevWBS,".","`",1))-1))+1,"#")))</f>
        <v>1</v>
      </c>
      <c r="B8" s="69" t="s">
        <v>14</v>
      </c>
      <c r="C8" s="70"/>
      <c r="D8" s="71"/>
      <c r="E8" s="72"/>
      <c r="F8" s="73" t="str">
        <f>IF(ISBLANK(E8)," - ",IF(G8=0,E8,E8+G8-1))</f>
        <v> - </v>
      </c>
      <c r="G8" s="74"/>
      <c r="H8" s="75"/>
      <c r="I8" s="101" t="str">
        <f t="shared" ref="I8:I17" si="4">IF(OR(F8=0,E8=0)," - ",NETWORKDAYS(E8,F8))</f>
        <v> - </v>
      </c>
      <c r="J8" s="102"/>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row>
    <row r="9" s="50" customFormat="1" ht="18" spans="1:66">
      <c r="A9" s="76" t="str">
        <f t="shared" ref="A9:A1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7" t="s">
        <v>15</v>
      </c>
      <c r="C9" s="50" t="s">
        <v>16</v>
      </c>
      <c r="D9" s="78"/>
      <c r="E9" s="79">
        <v>45987</v>
      </c>
      <c r="F9" s="80">
        <f>IF(ISBLANK(E9)," - ",IF(G9=0,E9,E9+G9-1))</f>
        <v>45987</v>
      </c>
      <c r="G9" s="81">
        <v>1</v>
      </c>
      <c r="H9" s="82">
        <v>0</v>
      </c>
      <c r="I9" s="104">
        <f t="shared" si="4"/>
        <v>1</v>
      </c>
      <c r="J9" s="105"/>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row>
    <row r="10" s="50" customFormat="1" ht="18" spans="1:66">
      <c r="A10" s="76" t="str">
        <f t="shared" si="5"/>
        <v>1.2</v>
      </c>
      <c r="B10" s="77" t="s">
        <v>17</v>
      </c>
      <c r="C10" s="50" t="s">
        <v>18</v>
      </c>
      <c r="D10" s="78"/>
      <c r="E10" s="79">
        <v>45988</v>
      </c>
      <c r="F10" s="80">
        <f>IF(ISBLANK(E10)," - ",IF(G10=0,E10,E10+G10-1))</f>
        <v>46001</v>
      </c>
      <c r="G10" s="81">
        <v>14</v>
      </c>
      <c r="H10" s="82">
        <v>0</v>
      </c>
      <c r="I10" s="104">
        <f t="shared" si="4"/>
        <v>10</v>
      </c>
      <c r="J10" s="105"/>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row>
    <row r="11" s="50" customFormat="1" ht="24" spans="1:66">
      <c r="A11" s="76" t="str">
        <f t="shared" si="5"/>
        <v>1.3</v>
      </c>
      <c r="B11" s="77" t="s">
        <v>19</v>
      </c>
      <c r="C11" s="50" t="s">
        <v>18</v>
      </c>
      <c r="D11" s="78"/>
      <c r="E11" s="79">
        <v>45988</v>
      </c>
      <c r="F11" s="80">
        <f>IF(ISBLANK(E11)," - ",IF(G11=0,E11,E11+G11-1))</f>
        <v>46001</v>
      </c>
      <c r="G11" s="81">
        <v>14</v>
      </c>
      <c r="H11" s="82">
        <v>0</v>
      </c>
      <c r="I11" s="104">
        <f t="shared" si="4"/>
        <v>10</v>
      </c>
      <c r="J11" s="105"/>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row>
    <row r="12" s="49" customFormat="1" ht="18" spans="1:66">
      <c r="A12" s="83" t="str">
        <f>IF(ISERROR(VALUE(SUBSTITUTE(prevWBS,".",""))),"1",IF(ISERROR(FIND("`",SUBSTITUTE(prevWBS,".","`",1))),TEXT(VALUE(prevWBS)+1,"#"),TEXT(VALUE(LEFT(prevWBS,FIND("`",SUBSTITUTE(prevWBS,".","`",1))-1))+1,"#")))</f>
        <v>2</v>
      </c>
      <c r="B12" s="84" t="s">
        <v>20</v>
      </c>
      <c r="D12" s="85"/>
      <c r="E12" s="86"/>
      <c r="F12" s="86" t="str">
        <f t="shared" ref="F12:F17" si="6">IF(ISBLANK(E12)," - ",IF(G12=0,E12,E12+G12-1))</f>
        <v> - </v>
      </c>
      <c r="G12" s="87"/>
      <c r="H12" s="88"/>
      <c r="I12" s="106" t="str">
        <f t="shared" si="4"/>
        <v> - </v>
      </c>
      <c r="J12" s="10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row>
    <row r="13" s="50" customFormat="1" ht="18" spans="1:66">
      <c r="A13" s="76" t="str">
        <f t="shared" ref="A13:A51" si="7">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77" t="s">
        <v>21</v>
      </c>
      <c r="C13" s="50" t="s">
        <v>22</v>
      </c>
      <c r="D13" s="78"/>
      <c r="E13" s="79">
        <v>46057</v>
      </c>
      <c r="F13" s="80">
        <f t="shared" si="6"/>
        <v>46063</v>
      </c>
      <c r="G13" s="81">
        <v>7</v>
      </c>
      <c r="H13" s="82">
        <v>0</v>
      </c>
      <c r="I13" s="104">
        <f t="shared" si="4"/>
        <v>5</v>
      </c>
      <c r="J13" s="105"/>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row>
    <row r="14" s="50" customFormat="1" ht="18" spans="1:66">
      <c r="A14" s="76" t="str">
        <f t="shared" si="7"/>
        <v>2.2</v>
      </c>
      <c r="B14" s="77" t="s">
        <v>23</v>
      </c>
      <c r="C14" s="50" t="s">
        <v>24</v>
      </c>
      <c r="D14" s="78"/>
      <c r="E14" s="79">
        <v>46064</v>
      </c>
      <c r="F14" s="80">
        <f t="shared" si="6"/>
        <v>46070</v>
      </c>
      <c r="G14" s="81">
        <v>7</v>
      </c>
      <c r="H14" s="82">
        <v>0</v>
      </c>
      <c r="I14" s="104">
        <f t="shared" si="4"/>
        <v>5</v>
      </c>
      <c r="J14" s="105"/>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row>
    <row r="15" s="50" customFormat="1" ht="44.25" customHeight="1" spans="1:66">
      <c r="A15" s="76" t="str">
        <f t="shared" si="7"/>
        <v>2.3</v>
      </c>
      <c r="B15" s="77" t="s">
        <v>25</v>
      </c>
      <c r="C15" s="50" t="s">
        <v>26</v>
      </c>
      <c r="D15" s="78"/>
      <c r="E15" s="79">
        <v>46064</v>
      </c>
      <c r="F15" s="80">
        <f t="shared" si="6"/>
        <v>46070</v>
      </c>
      <c r="G15" s="81">
        <v>7</v>
      </c>
      <c r="H15" s="82">
        <v>0</v>
      </c>
      <c r="I15" s="104">
        <f t="shared" si="4"/>
        <v>5</v>
      </c>
      <c r="J15" s="105"/>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row>
    <row r="16" s="50" customFormat="1" ht="24" spans="1:66">
      <c r="A16" s="76" t="str">
        <f t="shared" si="7"/>
        <v>2.4</v>
      </c>
      <c r="B16" s="77" t="s">
        <v>27</v>
      </c>
      <c r="C16" s="50" t="s">
        <v>24</v>
      </c>
      <c r="D16" s="78"/>
      <c r="E16" s="79">
        <v>46071</v>
      </c>
      <c r="F16" s="80">
        <f t="shared" si="6"/>
        <v>46077</v>
      </c>
      <c r="G16" s="81">
        <v>7</v>
      </c>
      <c r="H16" s="82">
        <v>0</v>
      </c>
      <c r="I16" s="104">
        <f t="shared" si="4"/>
        <v>5</v>
      </c>
      <c r="J16" s="105"/>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row>
    <row r="17" s="50" customFormat="1" ht="18" spans="1:66">
      <c r="A17" s="76" t="str">
        <f t="shared" si="7"/>
        <v>2.5</v>
      </c>
      <c r="B17" s="77" t="s">
        <v>28</v>
      </c>
      <c r="C17" s="50" t="s">
        <v>26</v>
      </c>
      <c r="D17" s="78"/>
      <c r="E17" s="79">
        <v>46071</v>
      </c>
      <c r="F17" s="80">
        <f t="shared" si="6"/>
        <v>46077</v>
      </c>
      <c r="G17" s="81">
        <v>7</v>
      </c>
      <c r="H17" s="82">
        <v>0</v>
      </c>
      <c r="I17" s="104">
        <f t="shared" si="4"/>
        <v>5</v>
      </c>
      <c r="J17" s="105"/>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row>
    <row r="18" s="50" customFormat="1" ht="18" spans="1:66">
      <c r="A18" s="76" t="str">
        <f t="shared" si="7"/>
        <v>2.6</v>
      </c>
      <c r="B18" s="77" t="s">
        <v>29</v>
      </c>
      <c r="C18" s="50" t="s">
        <v>24</v>
      </c>
      <c r="D18" s="78"/>
      <c r="E18" s="79">
        <v>46078</v>
      </c>
      <c r="F18" s="80">
        <f t="shared" ref="F18:F32" si="8">IF(ISBLANK(E18)," - ",IF(G18=0,E18,E18+G18-1))</f>
        <v>46084</v>
      </c>
      <c r="G18" s="81">
        <v>7</v>
      </c>
      <c r="H18" s="82">
        <v>0</v>
      </c>
      <c r="I18" s="104">
        <f t="shared" ref="I18:I32" si="9">IF(OR(F18=0,E18=0)," - ",NETWORKDAYS(E18,F18))</f>
        <v>5</v>
      </c>
      <c r="J18" s="105"/>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row>
    <row r="19" s="50" customFormat="1" ht="24" spans="1:66">
      <c r="A19" s="76" t="str">
        <f t="shared" si="7"/>
        <v>2.7</v>
      </c>
      <c r="B19" s="77" t="s">
        <v>30</v>
      </c>
      <c r="C19" s="50" t="s">
        <v>26</v>
      </c>
      <c r="D19" s="78"/>
      <c r="E19" s="79">
        <v>46078</v>
      </c>
      <c r="F19" s="80">
        <f t="shared" si="8"/>
        <v>46084</v>
      </c>
      <c r="G19" s="81">
        <v>7</v>
      </c>
      <c r="H19" s="82">
        <v>0</v>
      </c>
      <c r="I19" s="104">
        <f t="shared" si="9"/>
        <v>5</v>
      </c>
      <c r="J19" s="105"/>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row>
    <row r="20" s="50" customFormat="1" ht="18" spans="1:66">
      <c r="A20" s="76" t="str">
        <f t="shared" si="7"/>
        <v>2.8</v>
      </c>
      <c r="B20" s="77" t="s">
        <v>31</v>
      </c>
      <c r="C20" s="50" t="s">
        <v>32</v>
      </c>
      <c r="D20" s="78"/>
      <c r="E20" s="79">
        <v>46057</v>
      </c>
      <c r="F20" s="80">
        <f t="shared" si="8"/>
        <v>46063</v>
      </c>
      <c r="G20" s="81">
        <v>7</v>
      </c>
      <c r="H20" s="82">
        <v>0</v>
      </c>
      <c r="I20" s="104">
        <f t="shared" si="9"/>
        <v>5</v>
      </c>
      <c r="J20" s="105"/>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row>
    <row r="21" s="50" customFormat="1" ht="18" spans="1:66">
      <c r="A21" s="76" t="str">
        <f t="shared" si="7"/>
        <v>2.9</v>
      </c>
      <c r="B21" s="77" t="s">
        <v>33</v>
      </c>
      <c r="C21" s="50" t="s">
        <v>24</v>
      </c>
      <c r="D21" s="78"/>
      <c r="E21" s="79">
        <v>46085</v>
      </c>
      <c r="F21" s="80">
        <f t="shared" si="8"/>
        <v>46091</v>
      </c>
      <c r="G21" s="81">
        <v>7</v>
      </c>
      <c r="H21" s="82">
        <v>0</v>
      </c>
      <c r="I21" s="104">
        <f t="shared" si="9"/>
        <v>5</v>
      </c>
      <c r="J21" s="105"/>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row>
    <row r="22" s="50" customFormat="1" ht="24" spans="1:66">
      <c r="A22" s="76" t="str">
        <f t="shared" si="7"/>
        <v>2.10</v>
      </c>
      <c r="B22" s="77" t="s">
        <v>34</v>
      </c>
      <c r="C22" s="50" t="s">
        <v>26</v>
      </c>
      <c r="D22" s="78"/>
      <c r="E22" s="79">
        <v>46085</v>
      </c>
      <c r="F22" s="80">
        <f t="shared" si="8"/>
        <v>46091</v>
      </c>
      <c r="G22" s="81">
        <v>7</v>
      </c>
      <c r="H22" s="82">
        <v>0</v>
      </c>
      <c r="I22" s="104">
        <f t="shared" si="9"/>
        <v>5</v>
      </c>
      <c r="J22" s="105"/>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row>
    <row r="23" s="50" customFormat="1" ht="18" spans="1:66">
      <c r="A23" s="76" t="str">
        <f t="shared" si="7"/>
        <v>2.11</v>
      </c>
      <c r="B23" s="77" t="s">
        <v>35</v>
      </c>
      <c r="C23" s="50" t="s">
        <v>26</v>
      </c>
      <c r="D23" s="78"/>
      <c r="E23" s="79">
        <v>46092</v>
      </c>
      <c r="F23" s="80">
        <f t="shared" si="8"/>
        <v>46098</v>
      </c>
      <c r="G23" s="81">
        <v>7</v>
      </c>
      <c r="H23" s="82">
        <v>0</v>
      </c>
      <c r="I23" s="104">
        <f t="shared" si="9"/>
        <v>5</v>
      </c>
      <c r="J23" s="105"/>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row>
    <row r="24" s="50" customFormat="1" ht="18" spans="1:66">
      <c r="A24" s="76" t="str">
        <f t="shared" si="7"/>
        <v>2.12</v>
      </c>
      <c r="B24" s="77" t="s">
        <v>36</v>
      </c>
      <c r="C24" s="50" t="s">
        <v>24</v>
      </c>
      <c r="D24" s="78"/>
      <c r="E24" s="79">
        <v>46092</v>
      </c>
      <c r="F24" s="80">
        <f t="shared" si="8"/>
        <v>46098</v>
      </c>
      <c r="G24" s="81">
        <v>7</v>
      </c>
      <c r="H24" s="82">
        <v>0</v>
      </c>
      <c r="I24" s="104">
        <f t="shared" si="9"/>
        <v>5</v>
      </c>
      <c r="J24" s="105"/>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row>
    <row r="25" s="50" customFormat="1" ht="18" spans="1:66">
      <c r="A25" s="76" t="str">
        <f t="shared" si="7"/>
        <v>2.13</v>
      </c>
      <c r="B25" s="77" t="s">
        <v>37</v>
      </c>
      <c r="C25" s="50" t="s">
        <v>26</v>
      </c>
      <c r="D25" s="78"/>
      <c r="E25" s="79">
        <v>46099</v>
      </c>
      <c r="F25" s="80">
        <f t="shared" si="8"/>
        <v>46105</v>
      </c>
      <c r="G25" s="81">
        <v>7</v>
      </c>
      <c r="H25" s="82">
        <v>0</v>
      </c>
      <c r="I25" s="104">
        <f t="shared" si="9"/>
        <v>5</v>
      </c>
      <c r="J25" s="105"/>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row>
    <row r="26" s="50" customFormat="1" ht="18" spans="1:66">
      <c r="A26" s="76" t="str">
        <f t="shared" si="7"/>
        <v>2.14</v>
      </c>
      <c r="B26" s="77" t="s">
        <v>38</v>
      </c>
      <c r="C26" s="50" t="s">
        <v>26</v>
      </c>
      <c r="D26" s="78"/>
      <c r="E26" s="79">
        <v>46106</v>
      </c>
      <c r="F26" s="80">
        <f t="shared" ref="F26" si="10">IF(ISBLANK(E26)," - ",IF(G26=0,E26,E26+G26-1))</f>
        <v>46112</v>
      </c>
      <c r="G26" s="81">
        <v>7</v>
      </c>
      <c r="H26" s="82">
        <v>0</v>
      </c>
      <c r="I26" s="104">
        <f t="shared" ref="I26" si="11">IF(OR(F26=0,E26=0)," - ",NETWORKDAYS(E26,F26))</f>
        <v>5</v>
      </c>
      <c r="J26" s="105"/>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row>
    <row r="27" s="50" customFormat="1" ht="18" spans="1:66">
      <c r="A27" s="76" t="str">
        <f t="shared" si="7"/>
        <v>2.15</v>
      </c>
      <c r="B27" s="77" t="s">
        <v>39</v>
      </c>
      <c r="C27" s="50" t="s">
        <v>26</v>
      </c>
      <c r="D27" s="78"/>
      <c r="E27" s="79">
        <v>46106</v>
      </c>
      <c r="F27" s="80">
        <f t="shared" ref="F27" si="12">IF(ISBLANK(E27)," - ",IF(G27=0,E27,E27+G27-1))</f>
        <v>46112</v>
      </c>
      <c r="G27" s="81">
        <v>7</v>
      </c>
      <c r="H27" s="82">
        <v>0</v>
      </c>
      <c r="I27" s="104">
        <f t="shared" ref="I27" si="13">IF(OR(F27=0,E27=0)," - ",NETWORKDAYS(E27,F27))</f>
        <v>5</v>
      </c>
      <c r="J27" s="105"/>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row>
    <row r="28" s="50" customFormat="1" ht="18" spans="1:66">
      <c r="A28" s="76" t="str">
        <f t="shared" si="7"/>
        <v>2.16</v>
      </c>
      <c r="B28" s="77" t="s">
        <v>40</v>
      </c>
      <c r="C28" s="50" t="s">
        <v>26</v>
      </c>
      <c r="D28" s="78"/>
      <c r="E28" s="79">
        <v>46113</v>
      </c>
      <c r="F28" s="80">
        <f t="shared" si="8"/>
        <v>46119</v>
      </c>
      <c r="G28" s="81">
        <v>7</v>
      </c>
      <c r="H28" s="82">
        <v>0</v>
      </c>
      <c r="I28" s="104">
        <f t="shared" si="9"/>
        <v>5</v>
      </c>
      <c r="J28" s="105"/>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c r="BM28" s="76"/>
      <c r="BN28" s="76"/>
    </row>
    <row r="29" s="50" customFormat="1" ht="18" spans="1:66">
      <c r="A29" s="76" t="str">
        <f t="shared" si="7"/>
        <v>2.17</v>
      </c>
      <c r="B29" s="77" t="s">
        <v>41</v>
      </c>
      <c r="C29" s="50" t="s">
        <v>24</v>
      </c>
      <c r="D29" s="78"/>
      <c r="E29" s="79">
        <v>46113</v>
      </c>
      <c r="F29" s="80">
        <f t="shared" si="8"/>
        <v>46119</v>
      </c>
      <c r="G29" s="81">
        <v>7</v>
      </c>
      <c r="H29" s="82">
        <v>0</v>
      </c>
      <c r="I29" s="104">
        <f t="shared" si="9"/>
        <v>5</v>
      </c>
      <c r="J29" s="105"/>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76"/>
      <c r="BL29" s="76"/>
      <c r="BM29" s="76"/>
      <c r="BN29" s="76"/>
    </row>
    <row r="30" s="50" customFormat="1" ht="18" spans="1:66">
      <c r="A30" s="76" t="str">
        <f t="shared" si="7"/>
        <v>2.18</v>
      </c>
      <c r="B30" s="77" t="s">
        <v>42</v>
      </c>
      <c r="C30" s="50" t="s">
        <v>26</v>
      </c>
      <c r="D30" s="78"/>
      <c r="E30" s="79">
        <v>46120</v>
      </c>
      <c r="F30" s="80">
        <f t="shared" si="8"/>
        <v>46126</v>
      </c>
      <c r="G30" s="81">
        <v>7</v>
      </c>
      <c r="H30" s="82">
        <v>0</v>
      </c>
      <c r="I30" s="104">
        <f t="shared" si="9"/>
        <v>5</v>
      </c>
      <c r="J30" s="105"/>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row>
    <row r="31" s="50" customFormat="1" ht="18" spans="1:66">
      <c r="A31" s="76" t="str">
        <f t="shared" si="7"/>
        <v>2.19</v>
      </c>
      <c r="B31" s="77" t="s">
        <v>43</v>
      </c>
      <c r="C31" s="50" t="s">
        <v>24</v>
      </c>
      <c r="D31" s="78"/>
      <c r="E31" s="79">
        <v>46120</v>
      </c>
      <c r="F31" s="80">
        <f t="shared" si="8"/>
        <v>46126</v>
      </c>
      <c r="G31" s="81">
        <v>7</v>
      </c>
      <c r="H31" s="82">
        <v>0</v>
      </c>
      <c r="I31" s="104">
        <f t="shared" si="9"/>
        <v>5</v>
      </c>
      <c r="J31" s="105"/>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row>
    <row r="32" s="50" customFormat="1" ht="18" spans="1:66">
      <c r="A32" s="76" t="str">
        <f t="shared" si="7"/>
        <v>2.20</v>
      </c>
      <c r="B32" s="77" t="s">
        <v>44</v>
      </c>
      <c r="C32" s="50" t="s">
        <v>26</v>
      </c>
      <c r="D32" s="78"/>
      <c r="E32" s="79">
        <v>46127</v>
      </c>
      <c r="F32" s="80">
        <f t="shared" si="8"/>
        <v>46133</v>
      </c>
      <c r="G32" s="81">
        <v>7</v>
      </c>
      <c r="H32" s="82">
        <v>0</v>
      </c>
      <c r="I32" s="104">
        <f t="shared" si="9"/>
        <v>5</v>
      </c>
      <c r="J32" s="105"/>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row>
    <row r="33" s="50" customFormat="1" ht="18" spans="1:66">
      <c r="A33" s="76" t="str">
        <f t="shared" si="7"/>
        <v>2.21</v>
      </c>
      <c r="B33" s="77" t="s">
        <v>45</v>
      </c>
      <c r="C33" s="50" t="s">
        <v>24</v>
      </c>
      <c r="D33" s="78"/>
      <c r="E33" s="79">
        <v>46127</v>
      </c>
      <c r="F33" s="80">
        <f t="shared" ref="F33:F43" si="14">IF(ISBLANK(E33)," - ",IF(G33=0,E33,E33+G33-1))</f>
        <v>46133</v>
      </c>
      <c r="G33" s="81">
        <v>7</v>
      </c>
      <c r="H33" s="82">
        <v>0</v>
      </c>
      <c r="I33" s="104">
        <f t="shared" ref="I33:I41" si="15">IF(OR(F33=0,E33=0)," - ",NETWORKDAYS(E33,F33))</f>
        <v>5</v>
      </c>
      <c r="J33" s="105"/>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row>
    <row r="34" s="50" customFormat="1" ht="18" spans="1:66">
      <c r="A34" s="76" t="str">
        <f t="shared" si="7"/>
        <v>2.22</v>
      </c>
      <c r="B34" s="77" t="s">
        <v>46</v>
      </c>
      <c r="C34" s="50" t="s">
        <v>26</v>
      </c>
      <c r="D34" s="78"/>
      <c r="E34" s="79">
        <v>46134</v>
      </c>
      <c r="F34" s="80">
        <f t="shared" si="14"/>
        <v>46140</v>
      </c>
      <c r="G34" s="81">
        <v>7</v>
      </c>
      <c r="H34" s="82">
        <v>0</v>
      </c>
      <c r="I34" s="104">
        <f t="shared" si="15"/>
        <v>5</v>
      </c>
      <c r="J34" s="105"/>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row>
    <row r="35" s="50" customFormat="1" ht="18" spans="1:66">
      <c r="A35" s="76" t="str">
        <f t="shared" si="7"/>
        <v>2.23</v>
      </c>
      <c r="B35" s="77" t="s">
        <v>47</v>
      </c>
      <c r="C35" s="50" t="s">
        <v>24</v>
      </c>
      <c r="D35" s="78"/>
      <c r="E35" s="79">
        <v>46134</v>
      </c>
      <c r="F35" s="80">
        <f t="shared" ref="F35:F36" si="16">IF(ISBLANK(E35)," - ",IF(G35=0,E35,E35+G35-1))</f>
        <v>46140</v>
      </c>
      <c r="G35" s="81">
        <v>7</v>
      </c>
      <c r="H35" s="82">
        <v>0</v>
      </c>
      <c r="I35" s="104">
        <f t="shared" ref="I35:I36" si="17">IF(OR(F35=0,E35=0)," - ",NETWORKDAYS(E35,F35))</f>
        <v>5</v>
      </c>
      <c r="J35" s="105"/>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row>
    <row r="36" s="50" customFormat="1" ht="18" spans="1:66">
      <c r="A36" s="76" t="str">
        <f t="shared" si="7"/>
        <v>2.24</v>
      </c>
      <c r="B36" s="77" t="s">
        <v>48</v>
      </c>
      <c r="C36" s="50" t="s">
        <v>26</v>
      </c>
      <c r="D36" s="78"/>
      <c r="E36" s="79">
        <v>46141</v>
      </c>
      <c r="F36" s="80">
        <f t="shared" si="16"/>
        <v>46147</v>
      </c>
      <c r="G36" s="81">
        <v>7</v>
      </c>
      <c r="H36" s="82">
        <v>0</v>
      </c>
      <c r="I36" s="104">
        <f t="shared" si="17"/>
        <v>5</v>
      </c>
      <c r="J36" s="105"/>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row>
    <row r="37" s="50" customFormat="1" ht="18" spans="1:66">
      <c r="A37" s="76" t="str">
        <f t="shared" si="7"/>
        <v>2.25</v>
      </c>
      <c r="B37" s="77" t="s">
        <v>49</v>
      </c>
      <c r="C37" s="50" t="s">
        <v>26</v>
      </c>
      <c r="D37" s="78"/>
      <c r="E37" s="79">
        <v>46141</v>
      </c>
      <c r="F37" s="80">
        <f t="shared" ref="F37:F39" si="18">IF(ISBLANK(E37)," - ",IF(G37=0,E37,E37+G37-1))</f>
        <v>46147</v>
      </c>
      <c r="G37" s="81">
        <v>7</v>
      </c>
      <c r="H37" s="82">
        <v>0</v>
      </c>
      <c r="I37" s="104">
        <f t="shared" ref="I37:I39" si="19">IF(OR(F37=0,E37=0)," - ",NETWORKDAYS(E37,F37))</f>
        <v>5</v>
      </c>
      <c r="J37" s="105"/>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row>
    <row r="38" s="50" customFormat="1" ht="18" spans="1:66">
      <c r="A38" s="76" t="str">
        <f t="shared" si="7"/>
        <v>2.26</v>
      </c>
      <c r="B38" s="77" t="s">
        <v>50</v>
      </c>
      <c r="C38" s="50" t="s">
        <v>26</v>
      </c>
      <c r="D38" s="78"/>
      <c r="E38" s="79">
        <v>46148</v>
      </c>
      <c r="F38" s="80">
        <f t="shared" si="18"/>
        <v>46154</v>
      </c>
      <c r="G38" s="81">
        <v>7</v>
      </c>
      <c r="H38" s="82">
        <v>0</v>
      </c>
      <c r="I38" s="104">
        <f t="shared" si="19"/>
        <v>5</v>
      </c>
      <c r="J38" s="105"/>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6"/>
      <c r="BN38" s="76"/>
    </row>
    <row r="39" s="50" customFormat="1" ht="18" spans="1:66">
      <c r="A39" s="76" t="str">
        <f t="shared" si="7"/>
        <v>2.27</v>
      </c>
      <c r="B39" s="77" t="s">
        <v>51</v>
      </c>
      <c r="C39" s="50" t="s">
        <v>26</v>
      </c>
      <c r="D39" s="78"/>
      <c r="E39" s="79">
        <v>46148</v>
      </c>
      <c r="F39" s="80">
        <f t="shared" si="18"/>
        <v>46154</v>
      </c>
      <c r="G39" s="81">
        <v>7</v>
      </c>
      <c r="H39" s="82">
        <v>0</v>
      </c>
      <c r="I39" s="104">
        <f t="shared" si="19"/>
        <v>5</v>
      </c>
      <c r="J39" s="105"/>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row>
    <row r="40" s="49" customFormat="1" ht="18" spans="1:66">
      <c r="A40" s="83" t="str">
        <f>IF(ISERROR(VALUE(SUBSTITUTE(prevWBS,".",""))),"1",IF(ISERROR(FIND("`",SUBSTITUTE(prevWBS,".","`",1))),TEXT(VALUE(prevWBS)+1,"#"),TEXT(VALUE(LEFT(prevWBS,FIND("`",SUBSTITUTE(prevWBS,".","`",1))-1))+1,"#")))</f>
        <v>3</v>
      </c>
      <c r="B40" s="84" t="s">
        <v>52</v>
      </c>
      <c r="D40" s="85"/>
      <c r="E40" s="86"/>
      <c r="F40" s="86" t="str">
        <f t="shared" si="14"/>
        <v> - </v>
      </c>
      <c r="G40" s="87"/>
      <c r="H40" s="88"/>
      <c r="I40" s="106" t="str">
        <f t="shared" si="15"/>
        <v> - </v>
      </c>
      <c r="J40" s="107"/>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c r="BK40" s="108"/>
      <c r="BL40" s="108"/>
      <c r="BM40" s="108"/>
      <c r="BN40" s="108"/>
    </row>
    <row r="41" s="50" customFormat="1" ht="18" spans="1:66">
      <c r="A41" s="76" t="str">
        <f t="shared" si="7"/>
        <v>3.1</v>
      </c>
      <c r="B41" s="89" t="s">
        <v>53</v>
      </c>
      <c r="C41" s="50" t="s">
        <v>32</v>
      </c>
      <c r="D41" s="78"/>
      <c r="E41" s="79">
        <v>46034</v>
      </c>
      <c r="F41" s="80">
        <f t="shared" si="14"/>
        <v>46038</v>
      </c>
      <c r="G41" s="81">
        <v>5</v>
      </c>
      <c r="H41" s="82">
        <v>0</v>
      </c>
      <c r="I41" s="104">
        <f t="shared" si="15"/>
        <v>5</v>
      </c>
      <c r="J41" s="105"/>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row>
    <row r="42" s="50" customFormat="1" ht="18" spans="1:66">
      <c r="A42" s="76" t="str">
        <f t="shared" si="7"/>
        <v>3.2</v>
      </c>
      <c r="B42" s="89" t="s">
        <v>54</v>
      </c>
      <c r="C42" s="50" t="s">
        <v>18</v>
      </c>
      <c r="D42" s="78"/>
      <c r="E42" s="79">
        <v>46023</v>
      </c>
      <c r="F42" s="80">
        <f t="shared" si="14"/>
        <v>46032</v>
      </c>
      <c r="G42" s="81">
        <v>10</v>
      </c>
      <c r="H42" s="82">
        <v>0</v>
      </c>
      <c r="I42" s="104">
        <v>6</v>
      </c>
      <c r="J42" s="105"/>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row>
    <row r="43" s="50" customFormat="1" ht="45" customHeight="1" spans="1:66">
      <c r="A43" s="76" t="str">
        <f t="shared" si="7"/>
        <v>3.3</v>
      </c>
      <c r="B43" s="89" t="s">
        <v>55</v>
      </c>
      <c r="C43" s="50" t="s">
        <v>22</v>
      </c>
      <c r="D43" s="78"/>
      <c r="E43" s="79">
        <v>46034</v>
      </c>
      <c r="F43" s="80">
        <f t="shared" si="14"/>
        <v>46038</v>
      </c>
      <c r="G43" s="81">
        <v>5</v>
      </c>
      <c r="H43" s="82">
        <v>0</v>
      </c>
      <c r="I43" s="104">
        <v>5</v>
      </c>
      <c r="J43" s="105"/>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row>
    <row r="44" s="49" customFormat="1" ht="18" spans="1:66">
      <c r="A44" s="83" t="str">
        <f>IF(ISERROR(VALUE(SUBSTITUTE(prevWBS,".",""))),"1",IF(ISERROR(FIND("`",SUBSTITUTE(prevWBS,".","`",1))),TEXT(VALUE(prevWBS)+1,"#"),TEXT(VALUE(LEFT(prevWBS,FIND("`",SUBSTITUTE(prevWBS,".","`",1))-1))+1,"#")))</f>
        <v>4</v>
      </c>
      <c r="B44" s="84" t="s">
        <v>56</v>
      </c>
      <c r="D44" s="85"/>
      <c r="E44" s="86"/>
      <c r="F44" s="86" t="str">
        <f t="shared" ref="F44:F49" si="20">IF(ISBLANK(E44)," - ",IF(G44=0,E44,E44+G44-1))</f>
        <v> - </v>
      </c>
      <c r="G44" s="87"/>
      <c r="H44" s="88"/>
      <c r="I44" s="106" t="str">
        <f t="shared" ref="I44" si="21">IF(OR(F44=0,E44=0)," - ",NETWORKDAYS(E44,F44))</f>
        <v> - </v>
      </c>
      <c r="J44" s="107"/>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row>
    <row r="45" s="50" customFormat="1" ht="18" spans="1:66">
      <c r="A45" s="76" t="str">
        <f t="shared" si="7"/>
        <v>4.1</v>
      </c>
      <c r="B45" s="89" t="s">
        <v>57</v>
      </c>
      <c r="C45" s="50" t="s">
        <v>32</v>
      </c>
      <c r="D45" s="78"/>
      <c r="E45" s="79">
        <v>46041</v>
      </c>
      <c r="F45" s="80">
        <f t="shared" si="20"/>
        <v>46044</v>
      </c>
      <c r="G45" s="81">
        <v>4</v>
      </c>
      <c r="H45" s="82">
        <v>0</v>
      </c>
      <c r="I45" s="104">
        <v>4</v>
      </c>
      <c r="J45" s="105"/>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row>
    <row r="46" s="50" customFormat="1" ht="18" spans="1:66">
      <c r="A46" s="76" t="str">
        <f t="shared" si="7"/>
        <v>4.2</v>
      </c>
      <c r="B46" s="89" t="s">
        <v>58</v>
      </c>
      <c r="C46" s="50" t="s">
        <v>22</v>
      </c>
      <c r="D46" s="78"/>
      <c r="E46" s="79">
        <v>46041</v>
      </c>
      <c r="F46" s="80">
        <f t="shared" si="20"/>
        <v>46044</v>
      </c>
      <c r="G46" s="81">
        <v>4</v>
      </c>
      <c r="H46" s="82">
        <v>0</v>
      </c>
      <c r="I46" s="104">
        <v>4</v>
      </c>
      <c r="J46" s="105"/>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row>
    <row r="47" s="50" customFormat="1" ht="18" spans="1:66">
      <c r="A47" s="76" t="str">
        <f t="shared" si="7"/>
        <v>4.3</v>
      </c>
      <c r="B47" s="89" t="s">
        <v>59</v>
      </c>
      <c r="C47" s="50" t="s">
        <v>24</v>
      </c>
      <c r="D47" s="78"/>
      <c r="E47" s="79">
        <v>46045</v>
      </c>
      <c r="F47" s="80">
        <f t="shared" si="20"/>
        <v>46050</v>
      </c>
      <c r="G47" s="81">
        <v>6</v>
      </c>
      <c r="H47" s="82">
        <v>0</v>
      </c>
      <c r="I47" s="104">
        <v>4</v>
      </c>
      <c r="J47" s="105"/>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row>
    <row r="48" s="50" customFormat="1" ht="18" spans="1:66">
      <c r="A48" s="76" t="str">
        <f t="shared" si="7"/>
        <v>4.4</v>
      </c>
      <c r="B48" s="89" t="s">
        <v>60</v>
      </c>
      <c r="C48" s="50" t="s">
        <v>24</v>
      </c>
      <c r="D48" s="78"/>
      <c r="E48" s="79">
        <v>46051</v>
      </c>
      <c r="F48" s="80">
        <f t="shared" si="20"/>
        <v>46056</v>
      </c>
      <c r="G48" s="81">
        <v>6</v>
      </c>
      <c r="H48" s="82">
        <v>0</v>
      </c>
      <c r="I48" s="104">
        <v>4</v>
      </c>
      <c r="J48" s="105"/>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row>
    <row r="49" s="50" customFormat="1" ht="18" spans="1:66">
      <c r="A49" s="76" t="str">
        <f t="shared" si="7"/>
        <v>4.5</v>
      </c>
      <c r="B49" s="89" t="s">
        <v>61</v>
      </c>
      <c r="C49" s="50" t="s">
        <v>26</v>
      </c>
      <c r="D49" s="78"/>
      <c r="E49" s="79">
        <v>46045</v>
      </c>
      <c r="F49" s="80">
        <f t="shared" si="20"/>
        <v>46050</v>
      </c>
      <c r="G49" s="81">
        <v>6</v>
      </c>
      <c r="H49" s="82">
        <v>0</v>
      </c>
      <c r="I49" s="104">
        <v>4</v>
      </c>
      <c r="J49" s="105"/>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row>
    <row r="50" s="49" customFormat="1" ht="18" spans="1:66">
      <c r="A50" s="83" t="str">
        <f>IF(ISERROR(VALUE(SUBSTITUTE(prevWBS,".",""))),"1",IF(ISERROR(FIND("`",SUBSTITUTE(prevWBS,".","`",1))),TEXT(VALUE(prevWBS)+1,"#"),TEXT(VALUE(LEFT(prevWBS,FIND("`",SUBSTITUTE(prevWBS,".","`",1))-1))+1,"#")))</f>
        <v>5</v>
      </c>
      <c r="B50" s="84" t="s">
        <v>62</v>
      </c>
      <c r="D50" s="85"/>
      <c r="E50" s="86"/>
      <c r="F50" s="86" t="str">
        <f t="shared" ref="F50:F51" si="22">IF(ISBLANK(E50)," - ",IF(G50=0,E50,E50+G50-1))</f>
        <v> - </v>
      </c>
      <c r="G50" s="87"/>
      <c r="H50" s="88"/>
      <c r="I50" s="106" t="str">
        <f t="shared" ref="I50" si="23">IF(OR(F50=0,E50=0)," - ",NETWORKDAYS(E50,F50))</f>
        <v> - </v>
      </c>
      <c r="J50" s="107"/>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c r="BN50" s="108"/>
    </row>
    <row r="51" s="50" customFormat="1" ht="18" spans="1:66">
      <c r="A51" s="76" t="str">
        <f t="shared" si="7"/>
        <v>5.1</v>
      </c>
      <c r="B51" s="89" t="s">
        <v>63</v>
      </c>
      <c r="C51" s="50" t="s">
        <v>32</v>
      </c>
      <c r="D51" s="78"/>
      <c r="E51" s="79">
        <v>46051</v>
      </c>
      <c r="F51" s="80">
        <f t="shared" si="22"/>
        <v>46056</v>
      </c>
      <c r="G51" s="81">
        <v>6</v>
      </c>
      <c r="H51" s="82">
        <v>0</v>
      </c>
      <c r="I51" s="104">
        <v>4</v>
      </c>
      <c r="J51" s="105"/>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C5:E5"/>
    <mergeCell ref="K5:Q5"/>
    <mergeCell ref="R5:X5"/>
    <mergeCell ref="Y5:AE5"/>
    <mergeCell ref="AF5:AL5"/>
    <mergeCell ref="AM5:AS5"/>
    <mergeCell ref="AT5:AZ5"/>
    <mergeCell ref="BA5:BG5"/>
    <mergeCell ref="BH5:BN5"/>
  </mergeCells>
  <conditionalFormatting sqref="H11">
    <cfRule type="dataBar" priority="1">
      <dataBar>
        <cfvo type="num" val="0"/>
        <cfvo type="num" val="1"/>
        <color theme="0" tint="-0.349986266670736"/>
      </dataBar>
      <extLst>
        <ext xmlns:x14="http://schemas.microsoft.com/office/spreadsheetml/2009/9/main" uri="{B025F937-C7B1-47D3-B67F-A62EFF666E3E}">
          <x14:id>{18038711-1c51-4067-aad1-36976c973ddf}</x14:id>
        </ext>
      </extLst>
    </cfRule>
  </conditionalFormatting>
  <conditionalFormatting sqref="K11:BN11">
    <cfRule type="expression" dxfId="0" priority="2">
      <formula>K$6=TODAY()</formula>
    </cfRule>
    <cfRule type="expression" dxfId="1" priority="3">
      <formula>AND($E11&lt;=K$6,ROUNDDOWN(($F11-$E11+1)*$H11,0)+$E11-1&gt;=K$6)</formula>
    </cfRule>
    <cfRule type="expression" dxfId="2" priority="4">
      <formula>AND(NOT(ISBLANK($E11)),$E11&lt;=K$6,$F11&gt;=K$6)</formula>
    </cfRule>
  </conditionalFormatting>
  <conditionalFormatting sqref="H26">
    <cfRule type="dataBar" priority="37">
      <dataBar>
        <cfvo type="num" val="0"/>
        <cfvo type="num" val="1"/>
        <color theme="0" tint="-0.349986266670736"/>
      </dataBar>
      <extLst>
        <ext xmlns:x14="http://schemas.microsoft.com/office/spreadsheetml/2009/9/main" uri="{B025F937-C7B1-47D3-B67F-A62EFF666E3E}">
          <x14:id>{c530be72-4d90-48aa-9629-a6d8685ff7e1}</x14:id>
        </ext>
      </extLst>
    </cfRule>
  </conditionalFormatting>
  <conditionalFormatting sqref="K26:BN26">
    <cfRule type="expression" dxfId="1" priority="39">
      <formula>AND($E26&lt;=K$6,ROUNDDOWN(($F26-$E26+1)*$H26,0)+$E26-1&gt;=K$6)</formula>
    </cfRule>
    <cfRule type="expression" dxfId="2" priority="40">
      <formula>AND(NOT(ISBLANK($E26)),$E26&lt;=K$6,$F26&gt;=K$6)</formula>
    </cfRule>
    <cfRule type="expression" dxfId="0" priority="38">
      <formula>K$6=TODAY()</formula>
    </cfRule>
  </conditionalFormatting>
  <conditionalFormatting sqref="H27">
    <cfRule type="dataBar" priority="33">
      <dataBar>
        <cfvo type="num" val="0"/>
        <cfvo type="num" val="1"/>
        <color theme="0" tint="-0.349986266670736"/>
      </dataBar>
      <extLst>
        <ext xmlns:x14="http://schemas.microsoft.com/office/spreadsheetml/2009/9/main" uri="{B025F937-C7B1-47D3-B67F-A62EFF666E3E}">
          <x14:id>{bc417a2e-edec-48bb-8cf7-14f4e1459b73}</x14:id>
        </ext>
      </extLst>
    </cfRule>
  </conditionalFormatting>
  <conditionalFormatting sqref="K27:BN27">
    <cfRule type="expression" dxfId="1" priority="35">
      <formula>AND($E27&lt;=K$6,ROUNDDOWN(($F27-$E27+1)*$H27,0)+$E27-1&gt;=K$6)</formula>
    </cfRule>
    <cfRule type="expression" dxfId="2" priority="36">
      <formula>AND(NOT(ISBLANK($E27)),$E27&lt;=K$6,$F27&gt;=K$6)</formula>
    </cfRule>
    <cfRule type="expression" dxfId="0" priority="34">
      <formula>K$6=TODAY()</formula>
    </cfRule>
  </conditionalFormatting>
  <conditionalFormatting sqref="H35">
    <cfRule type="dataBar" priority="29">
      <dataBar>
        <cfvo type="num" val="0"/>
        <cfvo type="num" val="1"/>
        <color theme="0" tint="-0.349986266670736"/>
      </dataBar>
      <extLst>
        <ext xmlns:x14="http://schemas.microsoft.com/office/spreadsheetml/2009/9/main" uri="{B025F937-C7B1-47D3-B67F-A62EFF666E3E}">
          <x14:id>{b825b53b-c445-4af1-a1c9-24f55514967f}</x14:id>
        </ext>
      </extLst>
    </cfRule>
  </conditionalFormatting>
  <conditionalFormatting sqref="K35:BN35">
    <cfRule type="expression" dxfId="1" priority="31">
      <formula>AND($E35&lt;=K$6,ROUNDDOWN(($F35-$E35+1)*$H35,0)+$E35-1&gt;=K$6)</formula>
    </cfRule>
    <cfRule type="expression" dxfId="2" priority="32">
      <formula>AND(NOT(ISBLANK($E35)),$E35&lt;=K$6,$F35&gt;=K$6)</formula>
    </cfRule>
    <cfRule type="expression" dxfId="0" priority="30">
      <formula>K$6=TODAY()</formula>
    </cfRule>
  </conditionalFormatting>
  <conditionalFormatting sqref="H36">
    <cfRule type="dataBar" priority="21">
      <dataBar>
        <cfvo type="num" val="0"/>
        <cfvo type="num" val="1"/>
        <color theme="0" tint="-0.349986266670736"/>
      </dataBar>
      <extLst>
        <ext xmlns:x14="http://schemas.microsoft.com/office/spreadsheetml/2009/9/main" uri="{B025F937-C7B1-47D3-B67F-A62EFF666E3E}">
          <x14:id>{32d9ddf4-bd94-4793-ae9b-fe2fbdfa7856}</x14:id>
        </ext>
      </extLst>
    </cfRule>
  </conditionalFormatting>
  <conditionalFormatting sqref="K36:BN36">
    <cfRule type="expression" dxfId="1" priority="23">
      <formula>AND($E36&lt;=K$6,ROUNDDOWN(($F36-$E36+1)*$H36,0)+$E36-1&gt;=K$6)</formula>
    </cfRule>
    <cfRule type="expression" dxfId="2" priority="24">
      <formula>AND(NOT(ISBLANK($E36)),$E36&lt;=K$6,$F36&gt;=K$6)</formula>
    </cfRule>
    <cfRule type="expression" dxfId="0" priority="22">
      <formula>K$6=TODAY()</formula>
    </cfRule>
  </conditionalFormatting>
  <conditionalFormatting sqref="H37">
    <cfRule type="dataBar" priority="17">
      <dataBar>
        <cfvo type="num" val="0"/>
        <cfvo type="num" val="1"/>
        <color theme="0" tint="-0.349986266670736"/>
      </dataBar>
      <extLst>
        <ext xmlns:x14="http://schemas.microsoft.com/office/spreadsheetml/2009/9/main" uri="{B025F937-C7B1-47D3-B67F-A62EFF666E3E}">
          <x14:id>{cda6b999-ea4a-4f00-a87d-1573d8cffdf6}</x14:id>
        </ext>
      </extLst>
    </cfRule>
  </conditionalFormatting>
  <conditionalFormatting sqref="K37:BN37">
    <cfRule type="expression" dxfId="1" priority="19">
      <formula>AND($E37&lt;=K$6,ROUNDDOWN(($F37-$E37+1)*$H37,0)+$E37-1&gt;=K$6)</formula>
    </cfRule>
    <cfRule type="expression" dxfId="2" priority="20">
      <formula>AND(NOT(ISBLANK($E37)),$E37&lt;=K$6,$F37&gt;=K$6)</formula>
    </cfRule>
    <cfRule type="expression" dxfId="0" priority="18">
      <formula>K$6=TODAY()</formula>
    </cfRule>
  </conditionalFormatting>
  <conditionalFormatting sqref="H38">
    <cfRule type="dataBar" priority="9">
      <dataBar>
        <cfvo type="num" val="0"/>
        <cfvo type="num" val="1"/>
        <color theme="0" tint="-0.349986266670736"/>
      </dataBar>
      <extLst>
        <ext xmlns:x14="http://schemas.microsoft.com/office/spreadsheetml/2009/9/main" uri="{B025F937-C7B1-47D3-B67F-A62EFF666E3E}">
          <x14:id>{9fa44bf1-07a8-40b7-a681-1603381191d6}</x14:id>
        </ext>
      </extLst>
    </cfRule>
  </conditionalFormatting>
  <conditionalFormatting sqref="K38:BN38">
    <cfRule type="expression" dxfId="1" priority="11">
      <formula>AND($E38&lt;=K$6,ROUNDDOWN(($F38-$E38+1)*$H38,0)+$E38-1&gt;=K$6)</formula>
    </cfRule>
    <cfRule type="expression" dxfId="2" priority="12">
      <formula>AND(NOT(ISBLANK($E38)),$E38&lt;=K$6,$F38&gt;=K$6)</formula>
    </cfRule>
    <cfRule type="expression" dxfId="0" priority="10">
      <formula>K$6=TODAY()</formula>
    </cfRule>
  </conditionalFormatting>
  <conditionalFormatting sqref="H39">
    <cfRule type="dataBar" priority="5">
      <dataBar>
        <cfvo type="num" val="0"/>
        <cfvo type="num" val="1"/>
        <color theme="0" tint="-0.349986266670736"/>
      </dataBar>
      <extLst>
        <ext xmlns:x14="http://schemas.microsoft.com/office/spreadsheetml/2009/9/main" uri="{B025F937-C7B1-47D3-B67F-A62EFF666E3E}">
          <x14:id>{e198a18c-3180-47bb-a3d6-d1bd6cf7a47b}</x14:id>
        </ext>
      </extLst>
    </cfRule>
  </conditionalFormatting>
  <conditionalFormatting sqref="K39:BN39">
    <cfRule type="expression" dxfId="1" priority="7">
      <formula>AND($E39&lt;=K$6,ROUNDDOWN(($F39-$E39+1)*$H39,0)+$E39-1&gt;=K$6)</formula>
    </cfRule>
    <cfRule type="expression" dxfId="2" priority="8">
      <formula>AND(NOT(ISBLANK($E39)),$E39&lt;=K$6,$F39&gt;=K$6)</formula>
    </cfRule>
    <cfRule type="expression" dxfId="0" priority="6">
      <formula>K$6=TODAY()</formula>
    </cfRule>
  </conditionalFormatting>
  <conditionalFormatting sqref="H40">
    <cfRule type="dataBar" priority="77">
      <dataBar>
        <cfvo type="num" val="0"/>
        <cfvo type="num" val="1"/>
        <color theme="0" tint="-0.349986266670736"/>
      </dataBar>
      <extLst>
        <ext xmlns:x14="http://schemas.microsoft.com/office/spreadsheetml/2009/9/main" uri="{B025F937-C7B1-47D3-B67F-A62EFF666E3E}">
          <x14:id>{f2c4e8be-e9f1-411e-8e8c-e6a0455e7970}</x14:id>
        </ext>
      </extLst>
    </cfRule>
  </conditionalFormatting>
  <conditionalFormatting sqref="K40:BN40">
    <cfRule type="expression" dxfId="0" priority="78">
      <formula>K$6=TODAY()</formula>
    </cfRule>
  </conditionalFormatting>
  <conditionalFormatting sqref="H44">
    <cfRule type="dataBar" priority="65">
      <dataBar>
        <cfvo type="num" val="0"/>
        <cfvo type="num" val="1"/>
        <color theme="0" tint="-0.349986266670736"/>
      </dataBar>
      <extLst>
        <ext xmlns:x14="http://schemas.microsoft.com/office/spreadsheetml/2009/9/main" uri="{B025F937-C7B1-47D3-B67F-A62EFF666E3E}">
          <x14:id>{7115b53c-8bf4-4dde-bd65-604bf2bb9182}</x14:id>
        </ext>
      </extLst>
    </cfRule>
  </conditionalFormatting>
  <conditionalFormatting sqref="K44:BN44">
    <cfRule type="expression" dxfId="0" priority="66">
      <formula>K$6=TODAY()</formula>
    </cfRule>
  </conditionalFormatting>
  <conditionalFormatting sqref="H50">
    <cfRule type="dataBar" priority="45">
      <dataBar>
        <cfvo type="num" val="0"/>
        <cfvo type="num" val="1"/>
        <color theme="0" tint="-0.349986266670736"/>
      </dataBar>
      <extLst>
        <ext xmlns:x14="http://schemas.microsoft.com/office/spreadsheetml/2009/9/main" uri="{B025F937-C7B1-47D3-B67F-A62EFF666E3E}">
          <x14:id>{68563805-b176-4434-b2d9-a70288d20ec7}</x14:id>
        </ext>
      </extLst>
    </cfRule>
  </conditionalFormatting>
  <conditionalFormatting sqref="K50:BN50">
    <cfRule type="expression" dxfId="0" priority="46">
      <formula>K$6=TODAY()</formula>
    </cfRule>
  </conditionalFormatting>
  <conditionalFormatting sqref="H51">
    <cfRule type="dataBar" priority="41">
      <dataBar>
        <cfvo type="num" val="0"/>
        <cfvo type="num" val="1"/>
        <color theme="0" tint="-0.349986266670736"/>
      </dataBar>
      <extLst>
        <ext xmlns:x14="http://schemas.microsoft.com/office/spreadsheetml/2009/9/main" uri="{B025F937-C7B1-47D3-B67F-A62EFF666E3E}">
          <x14:id>{bb099fff-31c7-4b09-8063-decc3404dc11}</x14:id>
        </ext>
      </extLst>
    </cfRule>
  </conditionalFormatting>
  <conditionalFormatting sqref="K51:BN51">
    <cfRule type="expression" dxfId="0" priority="42">
      <formula>K$6=TODAY()</formula>
    </cfRule>
  </conditionalFormatting>
  <conditionalFormatting sqref="H18:H22">
    <cfRule type="dataBar" priority="97">
      <dataBar>
        <cfvo type="num" val="0"/>
        <cfvo type="num" val="1"/>
        <color theme="0" tint="-0.349986266670736"/>
      </dataBar>
      <extLst>
        <ext xmlns:x14="http://schemas.microsoft.com/office/spreadsheetml/2009/9/main" uri="{B025F937-C7B1-47D3-B67F-A62EFF666E3E}">
          <x14:id>{9ff63461-3137-4aba-ba5f-46e33d64c3c9}</x14:id>
        </ext>
      </extLst>
    </cfRule>
  </conditionalFormatting>
  <conditionalFormatting sqref="H23:H25">
    <cfRule type="dataBar" priority="93">
      <dataBar>
        <cfvo type="num" val="0"/>
        <cfvo type="num" val="1"/>
        <color theme="0" tint="-0.349986266670736"/>
      </dataBar>
      <extLst>
        <ext xmlns:x14="http://schemas.microsoft.com/office/spreadsheetml/2009/9/main" uri="{B025F937-C7B1-47D3-B67F-A62EFF666E3E}">
          <x14:id>{3734f903-8821-4e86-8f9f-738722bd5f02}</x14:id>
        </ext>
      </extLst>
    </cfRule>
  </conditionalFormatting>
  <conditionalFormatting sqref="H28:H32">
    <cfRule type="dataBar" priority="89">
      <dataBar>
        <cfvo type="num" val="0"/>
        <cfvo type="num" val="1"/>
        <color theme="0" tint="-0.349986266670736"/>
      </dataBar>
      <extLst>
        <ext xmlns:x14="http://schemas.microsoft.com/office/spreadsheetml/2009/9/main" uri="{B025F937-C7B1-47D3-B67F-A62EFF666E3E}">
          <x14:id>{4b51e4ab-2bd4-4ab0-9a8f-3f8073806174}</x14:id>
        </ext>
      </extLst>
    </cfRule>
  </conditionalFormatting>
  <conditionalFormatting sqref="H33:H34">
    <cfRule type="dataBar" priority="85">
      <dataBar>
        <cfvo type="num" val="0"/>
        <cfvo type="num" val="1"/>
        <color theme="0" tint="-0.349986266670736"/>
      </dataBar>
      <extLst>
        <ext xmlns:x14="http://schemas.microsoft.com/office/spreadsheetml/2009/9/main" uri="{B025F937-C7B1-47D3-B67F-A62EFF666E3E}">
          <x14:id>{618181fe-7582-4c82-9517-17fa2cdc9cbc}</x14:id>
        </ext>
      </extLst>
    </cfRule>
  </conditionalFormatting>
  <conditionalFormatting sqref="H41:H43">
    <cfRule type="dataBar" priority="73">
      <dataBar>
        <cfvo type="num" val="0"/>
        <cfvo type="num" val="1"/>
        <color theme="0" tint="-0.349986266670736"/>
      </dataBar>
      <extLst>
        <ext xmlns:x14="http://schemas.microsoft.com/office/spreadsheetml/2009/9/main" uri="{B025F937-C7B1-47D3-B67F-A62EFF666E3E}">
          <x14:id>{383fbcaf-9deb-4ac2-b745-e229f8d2bab3}</x14:id>
        </ext>
      </extLst>
    </cfRule>
  </conditionalFormatting>
  <conditionalFormatting sqref="H45:H49">
    <cfRule type="dataBar" priority="57">
      <dataBar>
        <cfvo type="num" val="0"/>
        <cfvo type="num" val="1"/>
        <color theme="0" tint="-0.349986266670736"/>
      </dataBar>
      <extLst>
        <ext xmlns:x14="http://schemas.microsoft.com/office/spreadsheetml/2009/9/main" uri="{B025F937-C7B1-47D3-B67F-A62EFF666E3E}">
          <x14:id>{e795f590-c254-4b2c-b592-c5426107257e}</x14:id>
        </ext>
      </extLst>
    </cfRule>
  </conditionalFormatting>
  <conditionalFormatting sqref="K6:BN7">
    <cfRule type="expression" dxfId="3" priority="153">
      <formula>K$6=TODAY()</formula>
    </cfRule>
  </conditionalFormatting>
  <conditionalFormatting sqref="K6:BN10 K12:BN17">
    <cfRule type="expression" dxfId="0" priority="116">
      <formula>K$6=TODAY()</formula>
    </cfRule>
  </conditionalFormatting>
  <conditionalFormatting sqref="H8:H10 H12:H17">
    <cfRule type="dataBar" priority="110">
      <dataBar>
        <cfvo type="num" val="0"/>
        <cfvo type="num" val="1"/>
        <color theme="0" tint="-0.349986266670736"/>
      </dataBar>
      <extLst>
        <ext xmlns:x14="http://schemas.microsoft.com/office/spreadsheetml/2009/9/main" uri="{B025F937-C7B1-47D3-B67F-A62EFF666E3E}">
          <x14:id>{fc995155-1237-4645-8842-80dd26d23f80}</x14:id>
        </ext>
      </extLst>
    </cfRule>
  </conditionalFormatting>
  <conditionalFormatting sqref="K8:BN10 K28:BN34 K40:BN51 K12:BN25">
    <cfRule type="expression" dxfId="1" priority="156">
      <formula>AND($E8&lt;=K$6,ROUNDDOWN(($F8-$E8+1)*$H8,0)+$E8-1&gt;=K$6)</formula>
    </cfRule>
    <cfRule type="expression" dxfId="2" priority="157">
      <formula>AND(NOT(ISBLANK($E8)),$E8&lt;=K$6,$F8&gt;=K$6)</formula>
    </cfRule>
  </conditionalFormatting>
  <conditionalFormatting sqref="K18:BN22">
    <cfRule type="expression" dxfId="0" priority="98">
      <formula>K$6=TODAY()</formula>
    </cfRule>
  </conditionalFormatting>
  <conditionalFormatting sqref="K23:BN25">
    <cfRule type="expression" dxfId="0" priority="94">
      <formula>K$6=TODAY()</formula>
    </cfRule>
  </conditionalFormatting>
  <conditionalFormatting sqref="K28:BN32">
    <cfRule type="expression" dxfId="0" priority="90">
      <formula>K$6=TODAY()</formula>
    </cfRule>
  </conditionalFormatting>
  <conditionalFormatting sqref="K33:BN34">
    <cfRule type="expression" dxfId="0" priority="86">
      <formula>K$6=TODAY()</formula>
    </cfRule>
  </conditionalFormatting>
  <conditionalFormatting sqref="K41:BN43">
    <cfRule type="expression" dxfId="0" priority="74">
      <formula>K$6=TODAY()</formula>
    </cfRule>
  </conditionalFormatting>
  <conditionalFormatting sqref="K45:BN49">
    <cfRule type="expression" dxfId="0" priority="58">
      <formula>K$6=TODAY()</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paperSize="1" scale="53" orientation="landscape"/>
  <headerFooter alignWithMargins="0"/>
  <ignoredErrors>
    <ignoredError sqref="A12" formula="1"/>
    <ignoredError sqref="H14 H15:H16 G12:H12 E12"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name="Scroll Bar 46" r:id="rId4">
              <controlPr print="0" defaultSize="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8038711-1c51-4067-aad1-36976c973ddf}">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c530be72-4d90-48aa-9629-a6d8685ff7e1}">
            <x14:dataBar minLength="0" maxLength="100" gradient="0">
              <x14:cfvo type="num">
                <xm:f>0</xm:f>
              </x14:cfvo>
              <x14:cfvo type="num">
                <xm:f>1</xm:f>
              </x14:cfvo>
              <x14:negativeFillColor rgb="FFFF0000"/>
              <x14:axisColor rgb="FF000000"/>
            </x14:dataBar>
          </x14:cfRule>
          <xm:sqref>H26</xm:sqref>
        </x14:conditionalFormatting>
        <x14:conditionalFormatting xmlns:xm="http://schemas.microsoft.com/office/excel/2006/main">
          <x14:cfRule type="dataBar" id="{bc417a2e-edec-48bb-8cf7-14f4e1459b73}">
            <x14:dataBar minLength="0" maxLength="100" gradient="0">
              <x14:cfvo type="num">
                <xm:f>0</xm:f>
              </x14:cfvo>
              <x14:cfvo type="num">
                <xm:f>1</xm:f>
              </x14:cfvo>
              <x14:negativeFillColor rgb="FFFF0000"/>
              <x14:axisColor rgb="FF000000"/>
            </x14:dataBar>
          </x14:cfRule>
          <xm:sqref>H27</xm:sqref>
        </x14:conditionalFormatting>
        <x14:conditionalFormatting xmlns:xm="http://schemas.microsoft.com/office/excel/2006/main">
          <x14:cfRule type="dataBar" id="{b825b53b-c445-4af1-a1c9-24f55514967f}">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32d9ddf4-bd94-4793-ae9b-fe2fbdfa7856}">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da6b999-ea4a-4f00-a87d-1573d8cffdf6}">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9fa44bf1-07a8-40b7-a681-1603381191d6}">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e198a18c-3180-47bb-a3d6-d1bd6cf7a47b}">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f2c4e8be-e9f1-411e-8e8c-e6a0455e7970}">
            <x14:dataBar minLength="0" maxLength="100" gradient="0">
              <x14:cfvo type="num">
                <xm:f>0</xm:f>
              </x14:cfvo>
              <x14:cfvo type="num">
                <xm:f>1</xm:f>
              </x14:cfvo>
              <x14:negativeFillColor rgb="FFFF0000"/>
              <x14:axisColor rgb="FF000000"/>
            </x14:dataBar>
          </x14:cfRule>
          <xm:sqref>H40</xm:sqref>
        </x14:conditionalFormatting>
        <x14:conditionalFormatting xmlns:xm="http://schemas.microsoft.com/office/excel/2006/main">
          <x14:cfRule type="dataBar" id="{7115b53c-8bf4-4dde-bd65-604bf2bb9182}">
            <x14:dataBar minLength="0" maxLength="100" gradient="0">
              <x14:cfvo type="num">
                <xm:f>0</xm:f>
              </x14:cfvo>
              <x14:cfvo type="num">
                <xm:f>1</xm:f>
              </x14:cfvo>
              <x14:negativeFillColor rgb="FFFF0000"/>
              <x14:axisColor rgb="FF000000"/>
            </x14:dataBar>
          </x14:cfRule>
          <xm:sqref>H44</xm:sqref>
        </x14:conditionalFormatting>
        <x14:conditionalFormatting xmlns:xm="http://schemas.microsoft.com/office/excel/2006/main">
          <x14:cfRule type="dataBar" id="{68563805-b176-4434-b2d9-a70288d20ec7}">
            <x14:dataBar minLength="0" maxLength="100" gradient="0">
              <x14:cfvo type="num">
                <xm:f>0</xm:f>
              </x14:cfvo>
              <x14:cfvo type="num">
                <xm:f>1</xm:f>
              </x14:cfvo>
              <x14:negativeFillColor rgb="FFFF0000"/>
              <x14:axisColor rgb="FF000000"/>
            </x14:dataBar>
          </x14:cfRule>
          <xm:sqref>H50</xm:sqref>
        </x14:conditionalFormatting>
        <x14:conditionalFormatting xmlns:xm="http://schemas.microsoft.com/office/excel/2006/main">
          <x14:cfRule type="dataBar" id="{bb099fff-31c7-4b09-8063-decc3404dc11}">
            <x14:dataBar minLength="0" maxLength="100" gradient="0">
              <x14:cfvo type="num">
                <xm:f>0</xm:f>
              </x14:cfvo>
              <x14:cfvo type="num">
                <xm:f>1</xm:f>
              </x14:cfvo>
              <x14:negativeFillColor rgb="FFFF0000"/>
              <x14:axisColor rgb="FF000000"/>
            </x14:dataBar>
          </x14:cfRule>
          <xm:sqref>H51</xm:sqref>
        </x14:conditionalFormatting>
        <x14:conditionalFormatting xmlns:xm="http://schemas.microsoft.com/office/excel/2006/main">
          <x14:cfRule type="dataBar" id="{9ff63461-3137-4aba-ba5f-46e33d64c3c9}">
            <x14:dataBar minLength="0" maxLength="100" gradient="0">
              <x14:cfvo type="num">
                <xm:f>0</xm:f>
              </x14:cfvo>
              <x14:cfvo type="num">
                <xm:f>1</xm:f>
              </x14:cfvo>
              <x14:negativeFillColor rgb="FFFF0000"/>
              <x14:axisColor rgb="FF000000"/>
            </x14:dataBar>
          </x14:cfRule>
          <xm:sqref>H18:H22</xm:sqref>
        </x14:conditionalFormatting>
        <x14:conditionalFormatting xmlns:xm="http://schemas.microsoft.com/office/excel/2006/main">
          <x14:cfRule type="dataBar" id="{3734f903-8821-4e86-8f9f-738722bd5f02}">
            <x14:dataBar minLength="0" maxLength="100" gradient="0">
              <x14:cfvo type="num">
                <xm:f>0</xm:f>
              </x14:cfvo>
              <x14:cfvo type="num">
                <xm:f>1</xm:f>
              </x14:cfvo>
              <x14:negativeFillColor rgb="FFFF0000"/>
              <x14:axisColor rgb="FF000000"/>
            </x14:dataBar>
          </x14:cfRule>
          <xm:sqref>H23:H25</xm:sqref>
        </x14:conditionalFormatting>
        <x14:conditionalFormatting xmlns:xm="http://schemas.microsoft.com/office/excel/2006/main">
          <x14:cfRule type="dataBar" id="{4b51e4ab-2bd4-4ab0-9a8f-3f8073806174}">
            <x14:dataBar minLength="0" maxLength="100" gradient="0">
              <x14:cfvo type="num">
                <xm:f>0</xm:f>
              </x14:cfvo>
              <x14:cfvo type="num">
                <xm:f>1</xm:f>
              </x14:cfvo>
              <x14:negativeFillColor rgb="FFFF0000"/>
              <x14:axisColor rgb="FF000000"/>
            </x14:dataBar>
          </x14:cfRule>
          <xm:sqref>H28:H32</xm:sqref>
        </x14:conditionalFormatting>
        <x14:conditionalFormatting xmlns:xm="http://schemas.microsoft.com/office/excel/2006/main">
          <x14:cfRule type="dataBar" id="{618181fe-7582-4c82-9517-17fa2cdc9cbc}">
            <x14:dataBar minLength="0" maxLength="100" gradient="0">
              <x14:cfvo type="num">
                <xm:f>0</xm:f>
              </x14:cfvo>
              <x14:cfvo type="num">
                <xm:f>1</xm:f>
              </x14:cfvo>
              <x14:negativeFillColor rgb="FFFF0000"/>
              <x14:axisColor rgb="FF000000"/>
            </x14:dataBar>
          </x14:cfRule>
          <xm:sqref>H33:H34</xm:sqref>
        </x14:conditionalFormatting>
        <x14:conditionalFormatting xmlns:xm="http://schemas.microsoft.com/office/excel/2006/main">
          <x14:cfRule type="dataBar" id="{383fbcaf-9deb-4ac2-b745-e229f8d2bab3}">
            <x14:dataBar minLength="0" maxLength="100" gradient="0">
              <x14:cfvo type="num">
                <xm:f>0</xm:f>
              </x14:cfvo>
              <x14:cfvo type="num">
                <xm:f>1</xm:f>
              </x14:cfvo>
              <x14:negativeFillColor rgb="FFFF0000"/>
              <x14:axisColor rgb="FF000000"/>
            </x14:dataBar>
          </x14:cfRule>
          <xm:sqref>H41:H43</xm:sqref>
        </x14:conditionalFormatting>
        <x14:conditionalFormatting xmlns:xm="http://schemas.microsoft.com/office/excel/2006/main">
          <x14:cfRule type="dataBar" id="{e795f590-c254-4b2c-b592-c5426107257e}">
            <x14:dataBar minLength="0" maxLength="100" gradient="0">
              <x14:cfvo type="num">
                <xm:f>0</xm:f>
              </x14:cfvo>
              <x14:cfvo type="num">
                <xm:f>1</xm:f>
              </x14:cfvo>
              <x14:negativeFillColor rgb="FFFF0000"/>
              <x14:axisColor rgb="FF000000"/>
            </x14:dataBar>
          </x14:cfRule>
          <xm:sqref>H45:H49</xm:sqref>
        </x14:conditionalFormatting>
        <x14:conditionalFormatting xmlns:xm="http://schemas.microsoft.com/office/excel/2006/main">
          <x14:cfRule type="dataBar" id="{fc995155-1237-4645-8842-80dd26d23f80}">
            <x14:dataBar minLength="0" maxLength="100" gradient="0">
              <x14:cfvo type="num">
                <xm:f>0</xm:f>
              </x14:cfvo>
              <x14:cfvo type="num">
                <xm:f>1</xm:f>
              </x14:cfvo>
              <x14:negativeFillColor rgb="FFFF0000"/>
              <x14:axisColor rgb="FF000000"/>
            </x14:dataBar>
          </x14:cfRule>
          <xm:sqref>H8:H10 H12:H17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C46"/>
  <sheetViews>
    <sheetView showGridLines="0" workbookViewId="0">
      <selection activeCell="A1" sqref="A1"/>
    </sheetView>
  </sheetViews>
  <sheetFormatPr defaultColWidth="9" defaultRowHeight="12.75" outlineLevelCol="2"/>
  <cols>
    <col min="1" max="1" width="5.57142857142857" customWidth="1"/>
    <col min="2" max="2" width="37.7142857142857" customWidth="1"/>
    <col min="3" max="3" width="55.1428571428571" customWidth="1"/>
    <col min="4" max="7" width="8.85714285714286"/>
  </cols>
  <sheetData>
    <row r="1" ht="30" customHeight="1" spans="1:1">
      <c r="A1" s="45" t="s">
        <v>64</v>
      </c>
    </row>
    <row r="4" spans="3:3">
      <c r="C4" s="29" t="s">
        <v>65</v>
      </c>
    </row>
    <row r="5" spans="3:3">
      <c r="C5" s="1" t="s">
        <v>66</v>
      </c>
    </row>
    <row r="6" spans="3:3">
      <c r="C6" s="1"/>
    </row>
    <row r="7" ht="18" spans="3:3">
      <c r="C7" s="46" t="s">
        <v>67</v>
      </c>
    </row>
    <row r="8" spans="3:3">
      <c r="C8" s="47" t="s">
        <v>68</v>
      </c>
    </row>
    <row r="10" spans="3:3">
      <c r="C10" s="1" t="s">
        <v>69</v>
      </c>
    </row>
    <row r="11" spans="3:3">
      <c r="C11" s="1" t="s">
        <v>70</v>
      </c>
    </row>
    <row r="13" ht="18" spans="3:3">
      <c r="C13" s="46" t="s">
        <v>71</v>
      </c>
    </row>
    <row r="16" ht="15.75" spans="1:1">
      <c r="A16" s="19" t="s">
        <v>72</v>
      </c>
    </row>
    <row r="18" ht="15" spans="2:2">
      <c r="B18" s="48" t="s">
        <v>73</v>
      </c>
    </row>
    <row r="19" spans="2:2">
      <c r="B19" s="1" t="s">
        <v>74</v>
      </c>
    </row>
    <row r="20" spans="2:2">
      <c r="B20" s="1" t="s">
        <v>75</v>
      </c>
    </row>
    <row r="22" ht="15" spans="2:2">
      <c r="B22" s="48" t="s">
        <v>76</v>
      </c>
    </row>
    <row r="23" spans="2:2">
      <c r="B23" s="1" t="s">
        <v>77</v>
      </c>
    </row>
    <row r="24" spans="2:2">
      <c r="B24" s="1" t="s">
        <v>78</v>
      </c>
    </row>
    <row r="26" ht="15" spans="2:2">
      <c r="B26" s="48" t="s">
        <v>79</v>
      </c>
    </row>
    <row r="27" spans="2:2">
      <c r="B27" s="1" t="s">
        <v>80</v>
      </c>
    </row>
    <row r="28" spans="2:2">
      <c r="B28" s="1" t="s">
        <v>81</v>
      </c>
    </row>
    <row r="29" spans="2:2">
      <c r="B29" s="1" t="s">
        <v>82</v>
      </c>
    </row>
    <row r="30" spans="2:2">
      <c r="B30" t="s">
        <v>83</v>
      </c>
    </row>
    <row r="31" spans="2:2">
      <c r="B31" t="s">
        <v>84</v>
      </c>
    </row>
    <row r="32" spans="2:2">
      <c r="B32" t="s">
        <v>85</v>
      </c>
    </row>
    <row r="34" ht="15" spans="2:2">
      <c r="B34" s="48" t="s">
        <v>86</v>
      </c>
    </row>
    <row r="35" spans="2:2">
      <c r="B35" s="1" t="s">
        <v>87</v>
      </c>
    </row>
    <row r="36" spans="2:2">
      <c r="B36" s="1" t="s">
        <v>88</v>
      </c>
    </row>
    <row r="37" spans="2:2">
      <c r="B37" s="1" t="s">
        <v>89</v>
      </c>
    </row>
    <row r="39" ht="15" spans="2:2">
      <c r="B39" s="48" t="s">
        <v>90</v>
      </c>
    </row>
    <row r="40" spans="2:2">
      <c r="B40" s="1" t="s">
        <v>91</v>
      </c>
    </row>
    <row r="42" ht="15" spans="2:2">
      <c r="B42" s="48" t="s">
        <v>92</v>
      </c>
    </row>
    <row r="43" spans="2:2">
      <c r="B43" s="1" t="s">
        <v>93</v>
      </c>
    </row>
    <row r="44" spans="2:2">
      <c r="B44" s="1" t="s">
        <v>94</v>
      </c>
    </row>
    <row r="46" ht="18" spans="2:2">
      <c r="B46" s="46" t="s">
        <v>95</v>
      </c>
    </row>
  </sheetData>
  <hyperlinks>
    <hyperlink ref="C7" r:id="rId2" display="Learn About Gantt Chart Template Pro"/>
    <hyperlink ref="B46" r:id="rId2" display="Learn More About Gantt Chart Template Pro" tooltip="Go to Vertex42.com"/>
    <hyperlink ref="C13" r:id="rId3" display="Gantt Chart Template Pro for Excel Online"/>
  </hyperlinks>
  <pageMargins left="0.7" right="0.7" top="0.75" bottom="0.75" header="0.3" footer="0.3"/>
  <pageSetup paperSize="1" scale="93"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94"/>
  <sheetViews>
    <sheetView showGridLines="0" workbookViewId="0">
      <selection activeCell="A1" sqref="A1"/>
    </sheetView>
  </sheetViews>
  <sheetFormatPr defaultColWidth="8.85714285714286" defaultRowHeight="12.75" outlineLevelCol="2"/>
  <cols>
    <col min="1" max="1" width="5.57142857142857" style="1" customWidth="1"/>
    <col min="2" max="2" width="90.4285714285714" style="1" customWidth="1"/>
    <col min="3" max="3" width="16.4285714285714" style="1" customWidth="1"/>
    <col min="4" max="16384" width="8.85714285714286" style="1"/>
  </cols>
  <sheetData>
    <row r="1" ht="30" customHeight="1" spans="1:2">
      <c r="A1" s="2" t="s">
        <v>96</v>
      </c>
      <c r="B1" s="15"/>
    </row>
    <row r="2" ht="14.25" spans="1:2">
      <c r="A2" s="16" t="s">
        <v>68</v>
      </c>
      <c r="B2" s="17"/>
    </row>
    <row r="3" spans="2:2">
      <c r="B3" s="17"/>
    </row>
    <row r="4" ht="18" spans="1:2">
      <c r="A4" s="18" t="s">
        <v>97</v>
      </c>
      <c r="B4" s="19"/>
    </row>
    <row r="5" ht="57" spans="2:2">
      <c r="B5" s="20" t="s">
        <v>98</v>
      </c>
    </row>
    <row r="7" ht="28.5" spans="2:2">
      <c r="B7" s="20" t="s">
        <v>99</v>
      </c>
    </row>
    <row r="9" ht="14.25" spans="2:2">
      <c r="B9" s="16" t="s">
        <v>100</v>
      </c>
    </row>
    <row r="11" ht="28.5" spans="2:2">
      <c r="B11" s="21" t="s">
        <v>101</v>
      </c>
    </row>
    <row r="13" ht="18" spans="1:2">
      <c r="A13" s="22" t="s">
        <v>102</v>
      </c>
      <c r="B13" s="22"/>
    </row>
    <row r="15" s="14" customFormat="1" ht="18" spans="1:2">
      <c r="A15" s="23"/>
      <c r="B15" s="24" t="s">
        <v>103</v>
      </c>
    </row>
    <row r="16" s="14" customFormat="1" ht="18" spans="1:3">
      <c r="A16" s="23"/>
      <c r="B16" s="24" t="s">
        <v>104</v>
      </c>
      <c r="C16" s="25" t="s">
        <v>105</v>
      </c>
    </row>
    <row r="17" ht="18" spans="1:2">
      <c r="A17" s="26"/>
      <c r="B17" s="24" t="s">
        <v>106</v>
      </c>
    </row>
    <row r="18" ht="18" spans="1:2">
      <c r="A18" s="26"/>
      <c r="B18" s="24" t="s">
        <v>107</v>
      </c>
    </row>
    <row r="19" ht="18" spans="1:2">
      <c r="A19" s="26"/>
      <c r="B19" s="24" t="s">
        <v>108</v>
      </c>
    </row>
    <row r="20" s="14" customFormat="1" ht="18" spans="1:3">
      <c r="A20" s="23"/>
      <c r="B20" s="24" t="s">
        <v>109</v>
      </c>
      <c r="C20" s="27" t="s">
        <v>110</v>
      </c>
    </row>
    <row r="21" ht="18" spans="1:2">
      <c r="A21" s="26"/>
      <c r="B21" s="24" t="s">
        <v>111</v>
      </c>
    </row>
    <row r="22" ht="18" spans="1:2">
      <c r="A22" s="26"/>
      <c r="B22" s="28" t="s">
        <v>112</v>
      </c>
    </row>
    <row r="23" ht="18" spans="1:2">
      <c r="A23" s="26"/>
      <c r="B23" s="29"/>
    </row>
    <row r="24" ht="18" spans="1:2">
      <c r="A24" s="22" t="s">
        <v>113</v>
      </c>
      <c r="B24" s="22"/>
    </row>
    <row r="25" ht="43.5" spans="1:2">
      <c r="A25" s="26"/>
      <c r="B25" s="24" t="s">
        <v>114</v>
      </c>
    </row>
    <row r="26" ht="18" spans="1:2">
      <c r="A26" s="26"/>
      <c r="B26" s="24"/>
    </row>
    <row r="27" ht="18" spans="1:2">
      <c r="A27" s="26"/>
      <c r="B27" s="30" t="s">
        <v>115</v>
      </c>
    </row>
    <row r="28" ht="18" spans="1:2">
      <c r="A28" s="26"/>
      <c r="B28" s="24" t="s">
        <v>116</v>
      </c>
    </row>
    <row r="29" ht="28.5" spans="1:2">
      <c r="A29" s="26"/>
      <c r="B29" s="24" t="s">
        <v>117</v>
      </c>
    </row>
    <row r="30" ht="18" spans="1:2">
      <c r="A30" s="26"/>
      <c r="B30" s="24"/>
    </row>
    <row r="31" ht="18" spans="1:2">
      <c r="A31" s="26"/>
      <c r="B31" s="30" t="s">
        <v>118</v>
      </c>
    </row>
    <row r="32" ht="18" spans="1:2">
      <c r="A32" s="26"/>
      <c r="B32" s="24" t="s">
        <v>119</v>
      </c>
    </row>
    <row r="33" ht="18" spans="1:2">
      <c r="A33" s="26"/>
      <c r="B33" s="24" t="s">
        <v>120</v>
      </c>
    </row>
    <row r="34" ht="18" spans="1:2">
      <c r="A34" s="26"/>
      <c r="B34" s="29"/>
    </row>
    <row r="35" ht="28.5" spans="1:2">
      <c r="A35" s="26"/>
      <c r="B35" s="24" t="s">
        <v>121</v>
      </c>
    </row>
    <row r="36" ht="18" spans="1:2">
      <c r="A36" s="26"/>
      <c r="B36" s="31" t="s">
        <v>122</v>
      </c>
    </row>
    <row r="37" ht="18" spans="1:2">
      <c r="A37" s="26"/>
      <c r="B37" s="29"/>
    </row>
    <row r="38" ht="18" spans="1:2">
      <c r="A38" s="22" t="s">
        <v>123</v>
      </c>
      <c r="B38" s="22"/>
    </row>
    <row r="39" ht="28.5" spans="2:2">
      <c r="B39" s="24" t="s">
        <v>124</v>
      </c>
    </row>
    <row r="41" ht="14.25" spans="2:2">
      <c r="B41" s="24" t="s">
        <v>125</v>
      </c>
    </row>
    <row r="43" ht="28.5" spans="2:2">
      <c r="B43" s="24" t="s">
        <v>126</v>
      </c>
    </row>
    <row r="45" ht="28.5" spans="2:2">
      <c r="B45" s="24" t="s">
        <v>127</v>
      </c>
    </row>
    <row r="46" spans="2:2">
      <c r="B46" s="32"/>
    </row>
    <row r="47" ht="28.5" spans="2:2">
      <c r="B47" s="24" t="s">
        <v>128</v>
      </c>
    </row>
    <row r="49" ht="18" spans="1:2">
      <c r="A49" s="22" t="s">
        <v>129</v>
      </c>
      <c r="B49" s="22"/>
    </row>
    <row r="50" ht="28.5" spans="2:2">
      <c r="B50" s="24" t="s">
        <v>130</v>
      </c>
    </row>
    <row r="52" ht="14.25" spans="1:2">
      <c r="A52" s="33" t="s">
        <v>131</v>
      </c>
      <c r="B52" s="24" t="s">
        <v>132</v>
      </c>
    </row>
    <row r="53" ht="14.25" spans="1:2">
      <c r="A53" s="33" t="s">
        <v>133</v>
      </c>
      <c r="B53" s="24" t="s">
        <v>134</v>
      </c>
    </row>
    <row r="54" ht="14.25" spans="1:2">
      <c r="A54" s="33" t="s">
        <v>135</v>
      </c>
      <c r="B54" s="24" t="s">
        <v>136</v>
      </c>
    </row>
    <row r="55" ht="28.5" spans="1:2">
      <c r="A55" s="21"/>
      <c r="B55" s="24" t="s">
        <v>137</v>
      </c>
    </row>
    <row r="56" ht="28.5" spans="1:2">
      <c r="A56" s="21"/>
      <c r="B56" s="24" t="s">
        <v>138</v>
      </c>
    </row>
    <row r="57" ht="14.25" spans="1:2">
      <c r="A57" s="33" t="s">
        <v>139</v>
      </c>
      <c r="B57" s="24" t="s">
        <v>140</v>
      </c>
    </row>
    <row r="58" ht="14.25" spans="1:2">
      <c r="A58" s="21"/>
      <c r="B58" s="24" t="s">
        <v>141</v>
      </c>
    </row>
    <row r="59" ht="14.25" spans="1:2">
      <c r="A59" s="21"/>
      <c r="B59" s="24" t="s">
        <v>142</v>
      </c>
    </row>
    <row r="60" ht="14.25" spans="1:2">
      <c r="A60" s="33" t="s">
        <v>143</v>
      </c>
      <c r="B60" s="24" t="s">
        <v>144</v>
      </c>
    </row>
    <row r="61" ht="28.5" spans="1:2">
      <c r="A61" s="21"/>
      <c r="B61" s="24" t="s">
        <v>145</v>
      </c>
    </row>
    <row r="62" ht="14.25" spans="1:2">
      <c r="A62" s="33" t="s">
        <v>146</v>
      </c>
      <c r="B62" s="24" t="s">
        <v>147</v>
      </c>
    </row>
    <row r="63" ht="14.25" spans="1:2">
      <c r="A63" s="34"/>
      <c r="B63" s="24" t="s">
        <v>148</v>
      </c>
    </row>
    <row r="64" spans="2:2">
      <c r="B64" s="35"/>
    </row>
    <row r="65" ht="18" spans="1:2">
      <c r="A65" s="22" t="s">
        <v>149</v>
      </c>
      <c r="B65" s="22"/>
    </row>
    <row r="66" ht="42.75" spans="2:2">
      <c r="B66" s="24" t="s">
        <v>150</v>
      </c>
    </row>
    <row r="68" ht="18" spans="1:2">
      <c r="A68" s="22" t="s">
        <v>151</v>
      </c>
      <c r="B68" s="22"/>
    </row>
    <row r="69" ht="15" spans="1:2">
      <c r="A69" s="36" t="s">
        <v>152</v>
      </c>
      <c r="B69" s="37" t="s">
        <v>153</v>
      </c>
    </row>
    <row r="70" ht="28.5" spans="1:2">
      <c r="A70" s="34"/>
      <c r="B70" s="38" t="s">
        <v>154</v>
      </c>
    </row>
    <row r="71" ht="14.25" spans="1:2">
      <c r="A71" s="34"/>
      <c r="B71" s="39"/>
    </row>
    <row r="72" ht="15" spans="1:2">
      <c r="A72" s="36" t="s">
        <v>152</v>
      </c>
      <c r="B72" s="37" t="s">
        <v>155</v>
      </c>
    </row>
    <row r="73" ht="28.5" spans="1:2">
      <c r="A73" s="34"/>
      <c r="B73" s="38" t="s">
        <v>156</v>
      </c>
    </row>
    <row r="74" ht="14.25" spans="1:2">
      <c r="A74" s="34"/>
      <c r="B74" s="39"/>
    </row>
    <row r="75" ht="15" spans="1:2">
      <c r="A75" s="36" t="s">
        <v>152</v>
      </c>
      <c r="B75" s="40" t="s">
        <v>157</v>
      </c>
    </row>
    <row r="76" ht="42.75" spans="1:2">
      <c r="A76" s="34"/>
      <c r="B76" s="20" t="s">
        <v>158</v>
      </c>
    </row>
    <row r="77" ht="14.25" spans="1:2">
      <c r="A77" s="34"/>
      <c r="B77" s="34"/>
    </row>
    <row r="78" ht="15" spans="1:2">
      <c r="A78" s="36" t="s">
        <v>152</v>
      </c>
      <c r="B78" s="40" t="s">
        <v>159</v>
      </c>
    </row>
    <row r="79" ht="28.5" spans="1:2">
      <c r="A79" s="34"/>
      <c r="B79" s="20" t="s">
        <v>160</v>
      </c>
    </row>
    <row r="80" ht="14.25" spans="1:2">
      <c r="A80" s="34"/>
      <c r="B80" s="34"/>
    </row>
    <row r="81" ht="15" spans="1:2">
      <c r="A81" s="36" t="s">
        <v>152</v>
      </c>
      <c r="B81" s="40" t="s">
        <v>161</v>
      </c>
    </row>
    <row r="82" ht="14.25" spans="1:2">
      <c r="A82" s="34"/>
      <c r="B82" s="41" t="s">
        <v>162</v>
      </c>
    </row>
    <row r="83" ht="14.25" spans="1:2">
      <c r="A83" s="34"/>
      <c r="B83" s="41" t="s">
        <v>163</v>
      </c>
    </row>
    <row r="84" ht="14.25" spans="1:2">
      <c r="A84" s="34"/>
      <c r="B84" s="41" t="s">
        <v>164</v>
      </c>
    </row>
    <row r="85" ht="15" spans="1:2">
      <c r="A85" s="34"/>
      <c r="B85" s="42"/>
    </row>
    <row r="86" ht="15" spans="1:2">
      <c r="A86" s="36" t="s">
        <v>152</v>
      </c>
      <c r="B86" s="40" t="s">
        <v>165</v>
      </c>
    </row>
    <row r="87" ht="42.75" spans="1:2">
      <c r="A87" s="34"/>
      <c r="B87" s="20" t="s">
        <v>166</v>
      </c>
    </row>
    <row r="88" ht="14.25" spans="1:2">
      <c r="A88" s="34"/>
      <c r="B88" s="113" t="s">
        <v>167</v>
      </c>
    </row>
    <row r="89" ht="57" spans="1:2">
      <c r="A89" s="34"/>
      <c r="B89" s="114" t="s">
        <v>168</v>
      </c>
    </row>
    <row r="90" ht="14.25" spans="1:2">
      <c r="A90" s="34"/>
      <c r="B90" s="34"/>
    </row>
    <row r="91" ht="15" spans="1:2">
      <c r="A91" s="36" t="s">
        <v>152</v>
      </c>
      <c r="B91" s="40" t="s">
        <v>169</v>
      </c>
    </row>
    <row r="92" ht="28.5" spans="1:2">
      <c r="A92" s="21"/>
      <c r="B92" s="41" t="s">
        <v>170</v>
      </c>
    </row>
    <row r="94" spans="1:1">
      <c r="A94" s="44" t="s">
        <v>171</v>
      </c>
    </row>
  </sheetData>
  <mergeCells count="6">
    <mergeCell ref="A13:B13"/>
    <mergeCell ref="A24:B24"/>
    <mergeCell ref="A38:B38"/>
    <mergeCell ref="A49:B49"/>
    <mergeCell ref="A65:B65"/>
    <mergeCell ref="A68:B68"/>
  </mergeCells>
  <hyperlinks>
    <hyperlink ref="B9" r:id="rId4" display="Watch Demo Videos of the Pro Version on Vertex42.com"/>
    <hyperlink ref="A2" r:id="rId5" display="https://www.vertex42.com/ExcelTemplates/excel-gantt-chart.html"/>
    <hyperlink ref="B36" r:id="rId6" display="Help improve Excel by voting on a suggestion to fix this problem."/>
  </hyperlinks>
  <pageMargins left="0.5" right="0.5" top="0.25" bottom="0.25" header="0.5" footer="0.5"/>
  <pageSetup paperSize="1" orientation="portrait"/>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9"/>
  <sheetViews>
    <sheetView showGridLines="0" workbookViewId="0">
      <selection activeCell="A1" sqref="A1"/>
    </sheetView>
  </sheetViews>
  <sheetFormatPr defaultColWidth="8.85714285714286" defaultRowHeight="12.75" outlineLevelCol="2"/>
  <cols>
    <col min="1" max="1" width="5.57142857142857" style="1" customWidth="1"/>
    <col min="2" max="2" width="82.1428571428571" style="1" customWidth="1"/>
  </cols>
  <sheetData>
    <row r="1" ht="30" customHeight="1" spans="1:2">
      <c r="A1" s="2" t="s">
        <v>172</v>
      </c>
      <c r="B1" s="2"/>
    </row>
    <row r="2" ht="15" spans="2:2">
      <c r="B2" s="3"/>
    </row>
    <row r="3" ht="15" spans="1:3">
      <c r="A3" s="4"/>
      <c r="B3" s="5" t="s">
        <v>173</v>
      </c>
      <c r="C3" s="6"/>
    </row>
    <row r="4" ht="14.25" spans="1:3">
      <c r="A4" s="7"/>
      <c r="B4" s="8" t="s">
        <v>68</v>
      </c>
      <c r="C4" s="9"/>
    </row>
    <row r="5" ht="15" spans="1:3">
      <c r="A5" s="7"/>
      <c r="B5" s="10"/>
      <c r="C5" s="9"/>
    </row>
    <row r="6" ht="15.75" spans="1:3">
      <c r="A6" s="7"/>
      <c r="B6" s="11" t="s">
        <v>171</v>
      </c>
      <c r="C6" s="9"/>
    </row>
    <row r="7" ht="15" spans="1:3">
      <c r="A7" s="7"/>
      <c r="B7" s="10"/>
      <c r="C7" s="9"/>
    </row>
    <row r="8" ht="30" spans="1:3">
      <c r="A8" s="7"/>
      <c r="B8" s="10" t="s">
        <v>174</v>
      </c>
      <c r="C8" s="9"/>
    </row>
    <row r="9" ht="15" spans="1:3">
      <c r="A9" s="7"/>
      <c r="B9" s="10"/>
      <c r="C9" s="9"/>
    </row>
    <row r="10" ht="46.5" spans="1:3">
      <c r="A10" s="7"/>
      <c r="B10" s="10" t="s">
        <v>175</v>
      </c>
      <c r="C10" s="9"/>
    </row>
    <row r="11" ht="15" spans="1:3">
      <c r="A11" s="7"/>
      <c r="B11" s="10"/>
      <c r="C11" s="9"/>
    </row>
    <row r="12" ht="45" spans="1:3">
      <c r="A12" s="7"/>
      <c r="B12" s="10" t="s">
        <v>176</v>
      </c>
      <c r="C12" s="9"/>
    </row>
    <row r="13" ht="15" spans="1:3">
      <c r="A13" s="7"/>
      <c r="B13" s="10"/>
      <c r="C13" s="9"/>
    </row>
    <row r="14" ht="60" spans="1:3">
      <c r="A14" s="7"/>
      <c r="B14" s="10" t="s">
        <v>177</v>
      </c>
      <c r="C14" s="9"/>
    </row>
    <row r="15" ht="15" spans="1:3">
      <c r="A15" s="7"/>
      <c r="B15" s="10"/>
      <c r="C15" s="9"/>
    </row>
    <row r="16" ht="30.75" spans="1:3">
      <c r="A16" s="7"/>
      <c r="B16" s="10" t="s">
        <v>178</v>
      </c>
      <c r="C16" s="9"/>
    </row>
    <row r="17" ht="15" spans="1:3">
      <c r="A17" s="7"/>
      <c r="B17" s="10"/>
      <c r="C17" s="9"/>
    </row>
    <row r="18" ht="15.75" spans="1:3">
      <c r="A18" s="7"/>
      <c r="B18" s="11" t="s">
        <v>179</v>
      </c>
      <c r="C18" s="9"/>
    </row>
    <row r="19" ht="15" spans="1:3">
      <c r="A19" s="7"/>
      <c r="B19" s="12" t="s">
        <v>180</v>
      </c>
      <c r="C19" s="9"/>
    </row>
    <row r="20" ht="15" spans="1:3">
      <c r="A20" s="7"/>
      <c r="B20" s="13"/>
      <c r="C20" s="9"/>
    </row>
    <row r="21" spans="1:3">
      <c r="A21" s="7"/>
      <c r="B21" s="7"/>
      <c r="C21" s="9"/>
    </row>
    <row r="22" spans="1:3">
      <c r="A22" s="7"/>
      <c r="B22" s="7"/>
      <c r="C22" s="9"/>
    </row>
    <row r="23" spans="1:3">
      <c r="A23" s="7"/>
      <c r="B23" s="7"/>
      <c r="C23" s="9"/>
    </row>
    <row r="24" spans="1:3">
      <c r="A24" s="7"/>
      <c r="B24" s="7"/>
      <c r="C24" s="9"/>
    </row>
    <row r="25" spans="1:3">
      <c r="A25" s="7"/>
      <c r="B25" s="7"/>
      <c r="C25" s="9"/>
    </row>
    <row r="26" spans="1:3">
      <c r="A26" s="7"/>
      <c r="B26" s="7"/>
      <c r="C26" s="9"/>
    </row>
    <row r="27" spans="1:3">
      <c r="A27" s="7"/>
      <c r="B27" s="7"/>
      <c r="C27" s="9"/>
    </row>
    <row r="28" spans="1:3">
      <c r="A28" s="7"/>
      <c r="B28" s="7"/>
      <c r="C28" s="9"/>
    </row>
    <row r="29" spans="1:3">
      <c r="A29" s="7"/>
      <c r="B29" s="7"/>
      <c r="C29" s="9"/>
    </row>
  </sheetData>
  <hyperlinks>
    <hyperlink ref="B4" r:id="rId2" display="https://www.vertex42.com/ExcelTemplates/excel-gantt-chart.html"/>
    <hyperlink ref="B19" r:id="rId3" display="https://www.vertex42.com/licensing/EULA_privateuse.html"/>
  </hyperlink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Company>Vertex42 LLC</Company>
  <Application>Microsoft Excel</Application>
  <HeadingPairs>
    <vt:vector size="2" baseType="variant">
      <vt:variant>
        <vt:lpstr>工作表</vt:lpstr>
      </vt:variant>
      <vt:variant>
        <vt:i4>4</vt:i4>
      </vt:variant>
    </vt:vector>
  </HeadingPairs>
  <TitlesOfParts>
    <vt:vector size="4" baseType="lpstr">
      <vt:lpstr>GanttChart</vt:lpstr>
      <vt:lpstr>GanttChartPro</vt:lpstr>
      <vt:lpstr>Help</vt:lpstr>
      <vt:lpstr>TermsOfUse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dcterms:created xsi:type="dcterms:W3CDTF">2010-06-09T16:05:00Z</dcterms:created>
  <cp:lastPrinted>2025-11-24T02:54:00Z</cp:lastPrinted>
  <dcterms:modified xsi:type="dcterms:W3CDTF">2025-12-19T03:31:56Z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8BC01C34AA7C4290B4DBEC7AD5B576BD_12</vt:lpwstr>
  </property>
  <property fmtid="{D5CDD505-2E9C-101B-9397-08002B2CF9AE}" pid="6" name="KSOProductBuildVer">
    <vt:lpwstr>1033-12.2.0.23155</vt:lpwstr>
  </property>
</Properties>
</file>
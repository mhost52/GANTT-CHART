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20" yWindow="-120" windowWidth="20730" windowHeight="1176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prevWBS" localSheetId="5">etc!$A1048576</definedName>
    <definedName name="prevWBS" localSheetId="0">GanttChart!$A1048576</definedName>
    <definedName name="_xlnm.Print_Area" localSheetId="0">GanttChart!$A$1:$BN$83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5" i="9" l="1"/>
  <c r="A13" i="14" l="1"/>
  <c r="A14" i="14" s="1"/>
  <c r="A15" i="14" s="1"/>
  <c r="A16" i="14" s="1"/>
  <c r="A17" i="14" s="1"/>
  <c r="F115" i="9"/>
  <c r="F114" i="9"/>
  <c r="I114" i="9" s="1"/>
  <c r="F113" i="9"/>
  <c r="F112" i="9"/>
  <c r="F111" i="9"/>
  <c r="F110" i="9"/>
  <c r="F109" i="9"/>
  <c r="F108" i="9"/>
  <c r="I108" i="9" s="1"/>
  <c r="F107" i="9"/>
  <c r="F106" i="9"/>
  <c r="F105" i="9"/>
  <c r="I105" i="9" s="1"/>
  <c r="F104" i="9"/>
  <c r="I104" i="9" s="1"/>
  <c r="F103" i="9"/>
  <c r="I103" i="9" s="1"/>
  <c r="F102" i="9"/>
  <c r="I102" i="9" s="1"/>
  <c r="F101" i="9"/>
  <c r="I101" i="9" s="1"/>
  <c r="F100" i="9"/>
  <c r="I100" i="9" s="1"/>
  <c r="F99" i="9"/>
  <c r="I99" i="9" s="1"/>
  <c r="F98" i="9"/>
  <c r="I98" i="9" s="1"/>
  <c r="F97" i="9"/>
  <c r="I97" i="9" s="1"/>
  <c r="F96" i="9"/>
  <c r="I96" i="9" s="1"/>
  <c r="F95" i="9"/>
  <c r="I95" i="9" s="1"/>
  <c r="F94" i="9"/>
  <c r="I94" i="9" s="1"/>
  <c r="F93" i="9"/>
  <c r="I93" i="9" s="1"/>
  <c r="F92" i="9"/>
  <c r="I92" i="9" s="1"/>
  <c r="F91" i="9"/>
  <c r="I91" i="9" s="1"/>
  <c r="F90" i="9"/>
  <c r="I90" i="9" s="1"/>
  <c r="F89" i="9"/>
  <c r="I89" i="9" s="1"/>
  <c r="F88" i="9"/>
  <c r="I88" i="9" s="1"/>
  <c r="F87" i="9"/>
  <c r="I87" i="9" s="1"/>
  <c r="F86" i="9"/>
  <c r="I86" i="9" s="1"/>
  <c r="F85" i="9"/>
  <c r="I85" i="9" s="1"/>
  <c r="F84" i="9"/>
  <c r="I84" i="9" s="1"/>
  <c r="F83" i="9"/>
  <c r="I83" i="9" s="1"/>
  <c r="F82" i="9"/>
  <c r="I82" i="9" s="1"/>
  <c r="F81" i="9"/>
  <c r="I81" i="9" s="1"/>
  <c r="F80" i="9"/>
  <c r="I80" i="9" s="1"/>
  <c r="F79" i="9"/>
  <c r="I79" i="9" s="1"/>
  <c r="F78" i="9"/>
  <c r="I78" i="9" s="1"/>
  <c r="F77" i="9"/>
  <c r="I77" i="9" s="1"/>
  <c r="F76" i="9"/>
  <c r="I76" i="9" s="1"/>
  <c r="A76" i="9"/>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E26" i="9"/>
  <c r="F26" i="9" s="1"/>
  <c r="I26" i="9" s="1"/>
  <c r="F23" i="9"/>
  <c r="I23" i="9" s="1"/>
  <c r="F22" i="9"/>
  <c r="E24" i="9" s="1"/>
  <c r="F24" i="9" s="1"/>
  <c r="I24" i="9" s="1"/>
  <c r="F21" i="9"/>
  <c r="I21" i="9" s="1"/>
  <c r="F20" i="9"/>
  <c r="I20" i="9" s="1"/>
  <c r="F19" i="9"/>
  <c r="I19" i="9" s="1"/>
  <c r="F18" i="9"/>
  <c r="I18" i="9" s="1"/>
  <c r="F17" i="9"/>
  <c r="I17" i="9" s="1"/>
  <c r="F16" i="9"/>
  <c r="I16" i="9" s="1"/>
  <c r="F15" i="9"/>
  <c r="I15" i="9" s="1"/>
  <c r="F14" i="9"/>
  <c r="I14" i="9" s="1"/>
  <c r="F13" i="9"/>
  <c r="I13" i="9" s="1"/>
  <c r="F12" i="9"/>
  <c r="I12" i="9" s="1"/>
  <c r="F11" i="9"/>
  <c r="I11" i="9" s="1"/>
  <c r="F10" i="9"/>
  <c r="I10" i="9" s="1"/>
  <c r="F9" i="9"/>
  <c r="I9" i="9" s="1"/>
  <c r="F8" i="9"/>
  <c r="I8" i="9" s="1"/>
  <c r="A8" i="9"/>
  <c r="A9" i="9" s="1"/>
  <c r="A10" i="9" s="1"/>
  <c r="A11" i="9" s="1"/>
  <c r="A12" i="9" s="1"/>
  <c r="A13" i="9" s="1"/>
  <c r="A14" i="9" s="1"/>
  <c r="A15" i="9" s="1"/>
  <c r="A16" i="9" s="1"/>
  <c r="A17" i="9" s="1"/>
  <c r="A18" i="9" s="1"/>
  <c r="A19" i="9" s="1"/>
  <c r="A20" i="9" s="1"/>
  <c r="A21" i="9" s="1"/>
  <c r="A22" i="9" s="1"/>
  <c r="A23" i="9" s="1"/>
  <c r="K6" i="9"/>
  <c r="L6" i="9" s="1"/>
  <c r="E25" i="9" l="1"/>
  <c r="F25" i="9" s="1"/>
  <c r="I25" i="9" s="1"/>
  <c r="I22" i="9"/>
  <c r="K5" i="9"/>
  <c r="K4" i="9"/>
  <c r="K7" i="9"/>
  <c r="A24" i="9"/>
  <c r="A25" i="9" s="1"/>
  <c r="A26" i="9" s="1"/>
  <c r="A27" i="9" s="1"/>
  <c r="A28" i="9" s="1"/>
  <c r="A29" i="9" s="1"/>
  <c r="A30" i="9" s="1"/>
  <c r="A31" i="9" s="1"/>
  <c r="A32" i="9" s="1"/>
  <c r="A33" i="9" s="1"/>
  <c r="A34" i="9" s="1"/>
  <c r="A35" i="9" s="1"/>
  <c r="A36" i="9" s="1"/>
  <c r="A37" i="9" s="1"/>
  <c r="M6" i="9"/>
  <c r="L7" i="9"/>
  <c r="E27" i="9"/>
  <c r="F27" i="9" s="1"/>
  <c r="I27" i="9" s="1"/>
  <c r="E28" i="9"/>
  <c r="F28" i="9" s="1"/>
  <c r="E29" i="9"/>
  <c r="F29" i="9" s="1"/>
  <c r="N6" i="9" l="1"/>
  <c r="M7" i="9"/>
  <c r="I29" i="9"/>
  <c r="E31" i="9"/>
  <c r="F31" i="9" s="1"/>
  <c r="I28" i="9"/>
  <c r="E30" i="9"/>
  <c r="F30" i="9" s="1"/>
  <c r="E32" i="9" s="1"/>
  <c r="N7" i="9" l="1"/>
  <c r="O6" i="9"/>
  <c r="I31" i="9"/>
  <c r="I30" i="9"/>
  <c r="F32" i="9"/>
  <c r="O7" i="9" l="1"/>
  <c r="P6" i="9"/>
  <c r="I32" i="9"/>
  <c r="E34" i="9"/>
  <c r="F34" i="9" s="1"/>
  <c r="E33" i="9"/>
  <c r="F33" i="9" s="1"/>
  <c r="Q6" i="9" l="1"/>
  <c r="P7" i="9"/>
  <c r="I33" i="9"/>
  <c r="E35" i="9"/>
  <c r="F35" i="9" s="1"/>
  <c r="E37" i="9" s="1"/>
  <c r="F37" i="9" s="1"/>
  <c r="I37" i="9" s="1"/>
  <c r="I34" i="9"/>
  <c r="E36" i="9"/>
  <c r="F36" i="9" s="1"/>
  <c r="R6" i="9" l="1"/>
  <c r="Q7" i="9"/>
  <c r="I36" i="9"/>
  <c r="E38" i="9"/>
  <c r="F38" i="9" s="1"/>
  <c r="I35" i="9"/>
  <c r="R7" i="9" l="1"/>
  <c r="R5" i="9"/>
  <c r="R4" i="9"/>
  <c r="S6" i="9"/>
  <c r="I38" i="9"/>
  <c r="E40" i="9"/>
  <c r="F40" i="9" s="1"/>
  <c r="T6" i="9" l="1"/>
  <c r="S7" i="9"/>
  <c r="I40" i="9"/>
  <c r="E42" i="9"/>
  <c r="F42" i="9" s="1"/>
  <c r="E44" i="9" s="1"/>
  <c r="U6" i="9" l="1"/>
  <c r="T7" i="9"/>
  <c r="I42" i="9"/>
  <c r="F44" i="9"/>
  <c r="V6" i="9" l="1"/>
  <c r="U7" i="9"/>
  <c r="I44" i="9"/>
  <c r="E47" i="9"/>
  <c r="F47" i="9" s="1"/>
  <c r="V7" i="9" l="1"/>
  <c r="W6" i="9"/>
  <c r="I47" i="9"/>
  <c r="E49" i="9"/>
  <c r="F49" i="9" s="1"/>
  <c r="W7" i="9" l="1"/>
  <c r="X6" i="9"/>
  <c r="I49" i="9"/>
  <c r="E51" i="9"/>
  <c r="F51" i="9" s="1"/>
  <c r="Y6" i="9" l="1"/>
  <c r="X7" i="9"/>
  <c r="I51" i="9"/>
  <c r="E53" i="9"/>
  <c r="F53" i="9" s="1"/>
  <c r="Z6" i="9" l="1"/>
  <c r="Y7" i="9"/>
  <c r="Y5" i="9"/>
  <c r="Y4" i="9"/>
  <c r="I53" i="9"/>
  <c r="E55" i="9"/>
  <c r="F55" i="9" s="1"/>
  <c r="E57" i="9" s="1"/>
  <c r="Z7" i="9" l="1"/>
  <c r="AA6" i="9"/>
  <c r="I55" i="9"/>
  <c r="F57" i="9"/>
  <c r="E59" i="9" s="1"/>
  <c r="AB6" i="9" l="1"/>
  <c r="AA7" i="9"/>
  <c r="I57" i="9"/>
  <c r="AC6" i="9" l="1"/>
  <c r="AB7" i="9"/>
  <c r="AD6" i="9" l="1"/>
  <c r="AC7" i="9"/>
  <c r="AD7" i="9" l="1"/>
  <c r="AE6" i="9"/>
  <c r="AE7" i="9" l="1"/>
  <c r="AF6" i="9"/>
  <c r="AF5" i="9" l="1"/>
  <c r="AF4" i="9"/>
  <c r="AG6" i="9"/>
  <c r="AF7" i="9"/>
  <c r="AH6" i="9" l="1"/>
  <c r="AG7" i="9"/>
  <c r="AH7" i="9" l="1"/>
  <c r="AI6" i="9"/>
  <c r="AJ6" i="9" l="1"/>
  <c r="AI7" i="9"/>
  <c r="AK6" i="9" l="1"/>
  <c r="AJ7" i="9"/>
  <c r="AL6" i="9" l="1"/>
  <c r="AK7" i="9"/>
  <c r="AL7" i="9" l="1"/>
  <c r="AM6" i="9"/>
  <c r="AM7" i="9" l="1"/>
  <c r="AN6" i="9"/>
  <c r="AM5" i="9"/>
  <c r="AM4" i="9"/>
  <c r="AO6" i="9" l="1"/>
  <c r="AN7" i="9"/>
  <c r="AP6" i="9" l="1"/>
  <c r="AO7" i="9"/>
  <c r="AP7" i="9" l="1"/>
  <c r="AQ6" i="9"/>
  <c r="AR6" i="9" l="1"/>
  <c r="AQ7" i="9"/>
  <c r="AS6" i="9" l="1"/>
  <c r="AR7" i="9"/>
  <c r="AT6" i="9" l="1"/>
  <c r="AS7" i="9"/>
  <c r="AT7" i="9" l="1"/>
  <c r="AT5" i="9"/>
  <c r="AT4" i="9"/>
  <c r="AU6" i="9"/>
  <c r="AU7" i="9" l="1"/>
  <c r="AV6" i="9"/>
  <c r="AW6" i="9" l="1"/>
  <c r="AV7" i="9"/>
  <c r="AX6" i="9" l="1"/>
  <c r="AW7" i="9"/>
  <c r="AX7" i="9" l="1"/>
  <c r="AY6" i="9"/>
  <c r="AZ6" i="9" l="1"/>
  <c r="AY7" i="9"/>
  <c r="BA6" i="9" l="1"/>
  <c r="AZ7" i="9"/>
  <c r="BB6" i="9" l="1"/>
  <c r="BA7" i="9"/>
  <c r="BA5" i="9"/>
  <c r="BA4" i="9"/>
  <c r="BB7" i="9" l="1"/>
  <c r="BC6" i="9"/>
  <c r="BC7" i="9" l="1"/>
  <c r="BD6" i="9"/>
  <c r="BE6" i="9" l="1"/>
  <c r="BD7" i="9"/>
  <c r="BF6" i="9" l="1"/>
  <c r="BE7" i="9"/>
  <c r="BF7" i="9" l="1"/>
  <c r="BG6" i="9"/>
  <c r="BH6" i="9" l="1"/>
  <c r="BG7" i="9"/>
  <c r="BH5" i="9" l="1"/>
  <c r="BH4" i="9"/>
  <c r="BI6" i="9"/>
  <c r="BH7" i="9"/>
  <c r="BJ6" i="9" l="1"/>
  <c r="BI7" i="9"/>
  <c r="BJ7" i="9" l="1"/>
  <c r="BK6" i="9"/>
  <c r="BL6" i="9" l="1"/>
  <c r="BK7" i="9"/>
  <c r="BM6" i="9" l="1"/>
  <c r="BL7" i="9"/>
  <c r="BN6" i="9" l="1"/>
  <c r="BN7" i="9" s="1"/>
  <c r="BM7" i="9"/>
  <c r="A38" i="9" l="1"/>
  <c r="A39" i="9" s="1"/>
  <c r="A40" i="9" s="1"/>
  <c r="A41" i="9" s="1"/>
  <c r="A42" i="9" s="1"/>
  <c r="F59" i="9"/>
  <c r="I59" i="9" s="1"/>
  <c r="E39" i="9"/>
  <c r="F39" i="9" s="1"/>
  <c r="E13" i="14" l="1"/>
  <c r="F13" i="14" s="1"/>
  <c r="I13" i="14" s="1"/>
  <c r="A43" i="9"/>
  <c r="A44" i="9" s="1"/>
  <c r="E41" i="9"/>
  <c r="F41" i="9" s="1"/>
  <c r="I39" i="9"/>
  <c r="E43" i="9" l="1"/>
  <c r="F45" i="9"/>
  <c r="I45" i="9" s="1"/>
  <c r="A45" i="9"/>
  <c r="A46" i="9" s="1"/>
  <c r="A47" i="9" s="1"/>
  <c r="A48" i="9" s="1"/>
  <c r="A49" i="9" s="1"/>
  <c r="A50" i="9" s="1"/>
  <c r="A51" i="9" s="1"/>
  <c r="A52" i="9" s="1"/>
  <c r="A53" i="9" s="1"/>
  <c r="A54" i="9" s="1"/>
  <c r="A55" i="9" s="1"/>
  <c r="A56" i="9" s="1"/>
  <c r="A57" i="9" s="1"/>
  <c r="A58" i="9" s="1"/>
  <c r="A59" i="9" s="1"/>
  <c r="A60" i="9" s="1"/>
  <c r="E15" i="14"/>
  <c r="F15" i="14" s="1"/>
  <c r="I15" i="14" s="1"/>
  <c r="I41" i="9"/>
  <c r="F43" i="9"/>
  <c r="E17" i="14" l="1"/>
  <c r="F17" i="14" s="1"/>
  <c r="I17" i="14" s="1"/>
  <c r="E46" i="9"/>
  <c r="F46" i="9" s="1"/>
  <c r="I43" i="9"/>
  <c r="E48" i="9" l="1"/>
  <c r="F48" i="9" s="1"/>
  <c r="I46" i="9"/>
  <c r="I48" i="9" l="1"/>
  <c r="E50" i="9"/>
  <c r="F50" i="9" s="1"/>
  <c r="I50" i="9" l="1"/>
  <c r="E52" i="9"/>
  <c r="F52" i="9" s="1"/>
  <c r="E54" i="9" l="1"/>
  <c r="F54" i="9" s="1"/>
  <c r="I52" i="9"/>
  <c r="E56" i="9" l="1"/>
  <c r="F56" i="9" s="1"/>
  <c r="I54" i="9"/>
  <c r="I56" i="9" l="1"/>
  <c r="E58" i="9"/>
  <c r="F58" i="9" s="1"/>
  <c r="I58" i="9" l="1"/>
  <c r="E60" i="9"/>
  <c r="F60" i="9" s="1"/>
  <c r="E14" i="14" l="1"/>
  <c r="F14" i="14" s="1"/>
  <c r="I60" i="9"/>
  <c r="I14" i="14" l="1"/>
  <c r="E16" i="14"/>
  <c r="F16" i="14" s="1"/>
  <c r="I16" i="14" s="1"/>
</calcChain>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sz val="9"/>
            <rFont val="Tahoma"/>
            <charset val="1"/>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45" authorId="2">
      <text>
        <r>
          <rPr>
            <b/>
            <sz val="9"/>
            <rFont val="Tahoma"/>
            <charset val="1"/>
          </rPr>
          <t>BC:</t>
        </r>
        <r>
          <rPr>
            <sz val="9"/>
            <rFont val="Tahoma"/>
            <charset val="1"/>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<sst xmlns="http://schemas.openxmlformats.org/spreadsheetml/2006/main" count="339" uniqueCount="245">
  <si>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</si>
  <si>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</si>
  <si>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</si>
  <si>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</si>
  <si>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</si>
  <si>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</si>
  <si>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</si>
  <si>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</si>
  <si>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</si>
  <si>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</si>
  <si>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</si>
  <si>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</si>
  <si>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</si>
  <si>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</si>
  <si>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</si>
  <si>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</si>
  <si>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</si>
  <si>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</si>
  <si>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</si>
  <si>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</si>
  <si>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</si>
  <si>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</si>
  <si>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</si>
  <si>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</si>
  <si>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</si>
  <si>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</si>
  <si>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</si>
  <si>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</si>
  <si>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</si>
  <si>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</si>
  <si>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</si>
  <si>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</si>
  <si>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</si>
  <si>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</si>
  <si>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</si>
  <si>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</si>
  <si>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</si>
  <si>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</si>
  <si>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</si>
  <si>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</si>
  <si>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</si>
  <si>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</si>
  <si>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</si>
  <si>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LAPORAN GUDANG PACKING LEAD TIME</t>
  </si>
  <si>
    <t>LAPORAN PERSEDIAAN GUDANG PACKING</t>
  </si>
  <si>
    <t>DASHBOARD LAYOUT PER BIN</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</si>
  <si>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</si>
  <si>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</si>
  <si>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</si>
  <si>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</si>
  <si>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</si>
  <si>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</si>
  <si>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</si>
  <si>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</si>
  <si>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</si>
  <si>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</si>
  <si>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</si>
  <si>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</si>
  <si>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</si>
  <si>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</si>
  <si>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</si>
  <si>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</si>
  <si>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</si>
  <si>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</si>
  <si>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</si>
  <si>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</si>
  <si>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</si>
  <si>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</si>
  <si>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</si>
  <si>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</si>
  <si>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</si>
  <si>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</si>
  <si>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</si>
  <si>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</si>
  <si>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</si>
  <si>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</si>
  <si>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</si>
  <si>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</si>
  <si>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</si>
  <si>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</si>
  <si>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</si>
  <si>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</si>
  <si>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</si>
  <si>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</si>
  <si>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</si>
  <si>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</si>
  <si>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</si>
  <si>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</si>
  <si>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</si>
  <si>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</si>
  <si>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</si>
  <si>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</si>
  <si>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</si>
  <si>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</si>
  <si>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</si>
  <si>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</si>
  <si>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</si>
  <si>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</si>
  <si>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</si>
  <si>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</si>
  <si>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</si>
  <si>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</si>
  <si>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</si>
  <si>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</si>
  <si>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</si>
  <si>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</si>
  <si>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</si>
  <si>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</si>
  <si>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</si>
  <si>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</si>
  <si>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</si>
  <si>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</si>
  <si>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</si>
  <si>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</si>
  <si>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</si>
  <si>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</si>
  <si>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</si>
  <si>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</si>
  <si>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</si>
  <si>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</si>
  <si>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</si>
  <si>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</si>
  <si>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</si>
  <si>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</si>
  <si>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</si>
  <si>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</si>
  <si>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</si>
  <si>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</si>
  <si>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</si>
  <si>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</si>
  <si>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</si>
  <si>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</si>
  <si>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</si>
  <si>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</si>
  <si>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</si>
  <si>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</si>
  <si>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</si>
  <si>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</si>
  <si>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</si>
  <si>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</si>
  <si>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</si>
  <si>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</si>
  <si>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</si>
  <si>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</si>
  <si>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</si>
  <si>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</si>
  <si>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</si>
  <si>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</si>
  <si>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</si>
  <si>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</si>
  <si>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</si>
  <si>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</si>
  <si>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</si>
  <si>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</si>
  <si>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</si>
  <si>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</si>
  <si>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</si>
  <si>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</si>
  <si>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</si>
  <si>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</si>
  <si>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</si>
  <si>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</si>
  <si>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</si>
  <si>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</si>
  <si>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</si>
  <si>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</si>
  <si>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</si>
  <si>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</si>
  <si>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</si>
  <si>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</si>
  <si>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</si>
  <si>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</si>
  <si>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</si>
  <si>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</si>
  <si>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</si>
  <si>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</si>
  <si>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</si>
  <si>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</si>
  <si>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</si>
  <si>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</si>
  <si>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</si>
  <si>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</si>
  <si>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</si>
  <si>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</si>
  <si>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</si>
  <si>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</si>
  <si>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</si>
  <si>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</si>
  <si>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</si>
  <si>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</si>
  <si>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</si>
  <si>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</si>
  <si>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</si>
  <si>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</si>
  <si>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</si>
  <si>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</si>
  <si>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</si>
  <si>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</si>
  <si>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</si>
  <si>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</si>
  <si>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</si>
  <si>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</si>
  <si>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</si>
  <si>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</si>
  <si>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</si>
  <si>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</si>
  <si>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</si>
  <si>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</si>
  <si>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</si>
  <si>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</si>
  <si>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</si>
  <si>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</si>
  <si>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</si>
  <si>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</si>
  <si>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</si>
  <si>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</si>
  <si>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</si>
  <si>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</si>
  <si>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</si>
  <si>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</si>
  <si>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</si>
  <si>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</si>
  <si>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</si>
  <si>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</si>
  <si>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</si>
  <si>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</si>
  <si>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</si>
  <si>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</si>
  <si>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</si>
  <si>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</si>
  <si>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</si>
  <si>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</si>
  <si>
    <t>Buat UI penarikan data dari API dan insert data Warehouse</t>
  </si>
  <si>
    <t>Jali</t>
  </si>
  <si>
    <t>Star</t>
  </si>
  <si>
    <t>Baim, Budi, Jali, Star</t>
  </si>
  <si>
    <t>Budi/Star</t>
  </si>
  <si>
    <t>Baim/Star</t>
  </si>
  <si>
    <t>Baim/Jali</t>
  </si>
  <si>
    <t>Budi/Jali</t>
  </si>
  <si>
    <t>Buat UI penarikan data dari API dan insert data Reservasi</t>
  </si>
  <si>
    <t>REPORT COSTING ?</t>
  </si>
  <si>
    <t>RICEF BY LEUWITEX ( update 3 Maret 2026 )</t>
  </si>
  <si>
    <t>Update per 3 Maret 2026</t>
  </si>
  <si>
    <t>Form Outbound Delivery sudah dilengkapi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</si>
</sst>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d\ m/dd/yy"/>
    <numFmt numFmtId="165" formatCode="m/d/yyyy\ \(dddd\)"/>
    <numFmt numFmtId="166" formatCode="d\ mmm\ yyyy"/>
    <numFmt numFmtId="167" formatCode="d"/>
    <numFmt numFmtId="168" formatCode="ddd\ dd/m/yy"/>
  </numFmts>
  <fonts count="5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579"/>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i/>
      <sz val="11"/>
      <name val="Arial"/>
      <charset val="134"/>
    </font>
    <font>
      <i/>
      <sz val="11"/>
      <color rgb="FF000000"/>
      <name val="Arial"/>
      <charset val="134"/>
    </font>
    <font>
      <b/>
      <sz val="11"/>
      <color rgb="FFFF0000"/>
      <name val="Arial"/>
      <charset val="134"/>
    </font>
    <font>
      <sz val="9"/>
      <name val="Tahoma"/>
      <charset val="134"/>
    </font>
    <font>
      <b/>
      <sz val="9"/>
      <name val="Tahoma"/>
      <charset val="134"/>
    </font>
    <font>
      <b/>
      <i/>
      <sz val="9"/>
      <name val="Tahoma"/>
      <charset val="134"/>
    </font>
    <font>
      <sz val="9"/>
      <name val="Tahoma"/>
      <charset val="1"/>
    </font>
    <font>
      <b/>
      <sz val="9"/>
      <name val="Tahoma"/>
      <charset val="1"/>
    </font>
    <font>
      <i/>
      <sz val="9"/>
      <name val="Tahoma"/>
      <charset val="134"/>
    </font>
    <font>
      <sz val="8"/>
      <name val="Tahoma"/>
      <charset val="134"/>
    </font>
    <font>
      <sz val="10"/>
      <name val="Arial"/>
      <charset val="134"/>
    </font>
  </fonts>
  <fills count="14">
    <fill>
      <patternFill patternType="none"/>
    </fill>
    <fill>
      <patternFill patternType="gray125"/>
    </fill>
    <fill>
      <patternFill patternType="solid">
        <fgColor theme="3" tint="0.79973754081850645"/>
        <bgColor rgb="FFD6F4D9"/>
      </patternFill>
    </fill>
    <fill>
      <patternFill patternType="solid">
        <fgColor theme="3" tint="0.79973754081850645"/>
        <bgColor indexed="64"/>
      </patternFill>
    </fill>
    <fill>
      <patternFill patternType="solid">
        <fgColor indexed="22"/>
        <bgColor indexed="64"/>
      </patternFill>
    </fill>
    <fill>
      <patternFill patternType="solid">
        <fgColor theme="0" tint="-0.14975432599871821"/>
        <bgColor indexed="64"/>
      </patternFill>
    </fill>
    <fill>
      <patternFill patternType="solid">
        <fgColor indexed="9"/>
        <bgColor indexed="64"/>
      </patternFill>
    </fill>
    <fill>
      <patternFill patternType="solid">
        <fgColor theme="6" tint="0.79982909634693444"/>
        <bgColor indexed="64"/>
      </patternFill>
    </fill>
    <fill>
      <patternFill patternType="solid">
        <fgColor theme="6" tint="0.79985961485641044"/>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rgb="FFFFC000"/>
        <bgColor indexed="64"/>
      </patternFill>
    </fill>
    <fill>
      <patternFill patternType="solid">
        <fgColor theme="2" tint="-0.499984740745262"/>
        <bgColor indexed="64"/>
      </patternFill>
    </fill>
  </fills>
  <borders count="16">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s>
  <cellStyleXfs count="3">
    <xf numFmtId="0" fontId="0" fillId="0" borderId="0"/>
    <xf numFmtId="9" fontId="50" fillId="0" borderId="0" applyFont="0" applyFill="0" applyBorder="0" applyAlignment="0" applyProtection="0"/>
    <xf numFmtId="0" fontId="32" fillId="0" borderId="0" applyNumberFormat="0" applyFill="0" applyBorder="0" applyAlignment="0" applyProtection="0">
      <alignment vertical="top"/>
      <protection locked="0"/>
    </xf>
  </cellStyleXfs>
  <cellXfs count="121">
    <xf numFmtId="0" fontId="0" fillId="0" borderId="0" xfId="0"/>
    <xf numFmtId="0" fontId="1" fillId="0" borderId="1" xfId="0" applyFont="1" applyBorder="1" applyAlignment="1">
      <alignment vertical="center"/>
    </xf>
    <xf numFmtId="0" fontId="2" fillId="0" borderId="2"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64" fontId="4" fillId="2" borderId="3" xfId="0" applyNumberFormat="1" applyFont="1" applyFill="1" applyBorder="1" applyAlignment="1">
      <alignment horizontal="center" vertical="center"/>
    </xf>
    <xf numFmtId="164"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1"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2"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2"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2"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2"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3" fillId="0" borderId="0" xfId="0" applyFont="1" applyAlignment="1">
      <alignment horizontal="left" vertical="center"/>
    </xf>
    <xf numFmtId="0" fontId="7" fillId="0" borderId="0" xfId="0" applyFont="1" applyAlignment="1">
      <alignment vertical="center"/>
    </xf>
    <xf numFmtId="0" fontId="24" fillId="0" borderId="0" xfId="2"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2"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2" applyAlignment="1" applyProtection="1">
      <alignment horizontal="left"/>
    </xf>
    <xf numFmtId="0" fontId="33" fillId="0" borderId="0" xfId="0" applyFont="1"/>
    <xf numFmtId="0" fontId="33" fillId="0" borderId="0" xfId="0" applyFont="1" applyAlignment="1">
      <alignment horizontal="right" vertical="center"/>
    </xf>
    <xf numFmtId="0" fontId="34" fillId="0" borderId="6" xfId="0" applyFont="1" applyBorder="1" applyAlignment="1" applyProtection="1">
      <alignment horizontal="center" vertical="center"/>
      <protection locked="0"/>
    </xf>
    <xf numFmtId="167" fontId="13" fillId="0" borderId="7" xfId="0" applyNumberFormat="1" applyFont="1" applyBorder="1" applyAlignment="1">
      <alignment horizontal="center" vertical="center" shrinkToFit="1"/>
    </xf>
    <xf numFmtId="167" fontId="13" fillId="0" borderId="8" xfId="0" applyNumberFormat="1" applyFont="1" applyBorder="1" applyAlignment="1">
      <alignment horizontal="center" vertical="center" shrinkToFit="1"/>
    </xf>
    <xf numFmtId="167"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68" fontId="1" fillId="5" borderId="15" xfId="0" applyNumberFormat="1" applyFont="1" applyFill="1" applyBorder="1" applyAlignment="1">
      <alignment horizontal="right" vertical="center"/>
    </xf>
    <xf numFmtId="168" fontId="1" fillId="5" borderId="15" xfId="0" applyNumberFormat="1" applyFont="1" applyFill="1" applyBorder="1" applyAlignment="1">
      <alignment horizontal="center" vertical="center"/>
    </xf>
    <xf numFmtId="1" fontId="1" fillId="5" borderId="15" xfId="1" applyNumberFormat="1" applyFont="1" applyFill="1" applyBorder="1" applyAlignment="1" applyProtection="1">
      <alignment horizontal="center" vertical="center"/>
    </xf>
    <xf numFmtId="9" fontId="1" fillId="5" borderId="15" xfId="1"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49" fontId="33" fillId="9" borderId="0" xfId="0" applyNumberFormat="1" applyFont="1" applyFill="1" applyAlignment="1">
      <alignment horizontal="left" vertical="center" wrapText="1"/>
    </xf>
    <xf numFmtId="0" fontId="1" fillId="0" borderId="15" xfId="0" applyFont="1" applyBorder="1" applyAlignment="1">
      <alignment vertical="center" wrapText="1"/>
    </xf>
    <xf numFmtId="0" fontId="1" fillId="0" borderId="1" xfId="0" applyFont="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 fontId="1" fillId="5" borderId="1" xfId="1" applyNumberFormat="1" applyFont="1" applyFill="1" applyBorder="1" applyAlignment="1" applyProtection="1">
      <alignment horizontal="center" vertical="center"/>
    </xf>
    <xf numFmtId="9" fontId="1" fillId="5" borderId="1" xfId="1"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16" fillId="0" borderId="0" xfId="0" quotePrefix="1" applyFont="1" applyAlignment="1">
      <alignment horizontal="left" wrapText="1" indent="1"/>
    </xf>
    <xf numFmtId="0" fontId="16" fillId="0" borderId="0" xfId="0" quotePrefix="1" applyFont="1" applyAlignment="1">
      <alignment wrapText="1"/>
    </xf>
    <xf numFmtId="0" fontId="1" fillId="10" borderId="1" xfId="0" applyFont="1" applyFill="1" applyBorder="1" applyAlignment="1">
      <alignment vertical="center" wrapText="1"/>
    </xf>
    <xf numFmtId="0" fontId="1" fillId="9" borderId="1" xfId="0" applyFont="1" applyFill="1" applyBorder="1" applyAlignment="1">
      <alignment vertical="center"/>
    </xf>
    <xf numFmtId="0" fontId="1" fillId="11" borderId="1" xfId="0" applyFont="1" applyFill="1" applyBorder="1" applyAlignment="1">
      <alignment vertical="center"/>
    </xf>
    <xf numFmtId="166" fontId="34" fillId="0" borderId="7" xfId="0" applyNumberFormat="1" applyFont="1" applyBorder="1" applyAlignment="1">
      <alignment horizontal="center" vertical="center"/>
    </xf>
    <xf numFmtId="166" fontId="34" fillId="0" borderId="8" xfId="0" applyNumberFormat="1" applyFont="1" applyBorder="1" applyAlignment="1">
      <alignment horizontal="center" vertical="center"/>
    </xf>
    <xf numFmtId="166" fontId="34" fillId="0" borderId="9" xfId="0" applyNumberFormat="1" applyFont="1" applyBorder="1" applyAlignment="1">
      <alignment horizontal="center" vertical="center"/>
    </xf>
    <xf numFmtId="165" fontId="34" fillId="0" borderId="10" xfId="0" applyNumberFormat="1" applyFont="1" applyBorder="1" applyAlignment="1" applyProtection="1">
      <alignment horizontal="center" vertical="center" shrinkToFit="1"/>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0" fontId="28" fillId="0" borderId="0" xfId="2" applyFont="1" applyBorder="1" applyAlignment="1" applyProtection="1">
      <alignment horizontal="left" vertical="center"/>
    </xf>
    <xf numFmtId="165" fontId="34" fillId="0" borderId="6" xfId="0" applyNumberFormat="1" applyFont="1" applyBorder="1" applyAlignment="1" applyProtection="1">
      <alignment horizontal="center" vertical="center" shrinkToFit="1"/>
      <protection locked="0"/>
    </xf>
    <xf numFmtId="0" fontId="14" fillId="0" borderId="0" xfId="0" applyFont="1" applyAlignment="1">
      <alignment horizontal="left"/>
    </xf>
    <xf numFmtId="0" fontId="6" fillId="0" borderId="0" xfId="0" applyFont="1" applyAlignment="1">
      <alignment horizontal="center"/>
    </xf>
    <xf numFmtId="0" fontId="1" fillId="12" borderId="1" xfId="0" applyFont="1" applyFill="1" applyBorder="1" applyAlignment="1">
      <alignment vertical="center" wrapText="1"/>
    </xf>
    <xf numFmtId="0" fontId="1" fillId="13" borderId="1" xfId="0" applyFont="1" applyFill="1" applyBorder="1" applyAlignment="1">
      <alignment vertical="center" wrapText="1"/>
    </xf>
  </cellXfs>
  <cellStyles count="3">
    <cellStyle name="Hyperlink" xfId="2" builtinId="8"/>
    <cellStyle name="Normal" xfId="0" builtinId="0"/>
    <cellStyle name="Percent" xfId="1" builtinId="5"/>
  </cellStyles>
  <dxfs count="11">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80433</xdr:rowOff>
    </xdr:to>
    <xdr:sp macro="" textlink="">
      <xdr:nvSpPr>
        <xdr:cNvPr id="8236" name="Text Box 44" hidden="1">
          <a:extLst>
            <a:ext uri="{FF2B5EF4-FFF2-40B4-BE49-F238E27FC236}">
              <a16:creationId xmlns="" xmlns:a16="http://schemas.microsoft.com/office/drawing/2014/main" id="{00000000-0008-0000-0000-00002C200000}"/>
            </a:ext>
          </a:extLst>
        </xdr:cNvPr>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0</xdr:col>
      <xdr:colOff>304800</xdr:colOff>
      <xdr:row>11</xdr:row>
      <xdr:rowOff>142875</xdr:rowOff>
    </xdr:to>
    <xdr:sp macro="" textlink="">
      <xdr:nvSpPr>
        <xdr:cNvPr id="12289" name="AutoShape 1" descr="blob:https://web.whatsapp.com/4841a61e-759f-484d-9013-f081556103c8">
          <a:extLst>
            <a:ext uri="{FF2B5EF4-FFF2-40B4-BE49-F238E27FC236}">
              <a16:creationId xmlns="" xmlns:a16="http://schemas.microsoft.com/office/drawing/2014/main" id="{00000000-0008-0000-0400-000001300000}"/>
            </a:ext>
          </a:extLst>
        </xdr:cNvPr>
        <xdr:cNvSpPr>
          <a:spLocks noChangeAspect="1" noChangeArrowheads="1"/>
        </xdr:cNvSpPr>
      </xdr:nvSpPr>
      <xdr:spPr bwMode="auto">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142875</xdr:rowOff>
    </xdr:to>
    <xdr:sp macro="" textlink="">
      <xdr:nvSpPr>
        <xdr:cNvPr id="12291" name="AutoShape 3" descr="blob:https://web.whatsapp.com/4841a61e-759f-484d-9013-f081556103c8">
          <a:extLst>
            <a:ext uri="{FF2B5EF4-FFF2-40B4-BE49-F238E27FC236}">
              <a16:creationId xmlns="" xmlns:a16="http://schemas.microsoft.com/office/drawing/2014/main" id="{00000000-0008-0000-0400-000003300000}"/>
            </a:ext>
          </a:extLst>
        </xdr:cNvPr>
        <xdr:cNvSpPr>
          <a:spLocks noChangeAspect="1" noChangeArrowheads="1"/>
        </xdr:cNvSpPr>
      </xdr:nvSpPr>
      <xdr:spPr bwMode="auto">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115"/>
  <sheetViews>
    <sheetView showGridLines="0" tabSelected="1" zoomScale="110" zoomScaleNormal="110" workbookViewId="0">
      <pane ySplit="7" topLeftCell="A50" activePane="bottomLeft" state="frozen"/>
      <selection pane="bottomLeft" activeCell="H22" sqref="H22"/>
    </sheetView>
  </sheetViews>
  <sheetFormatPr defaultColWidth="9.140625" defaultRowHeight="12.75"/>
  <cols>
    <col min="1" max="1" width="6.85546875" customWidth="1"/>
    <col min="2" max="2" width="59.8554687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56" t="s">
        <v>242</v>
      </c>
      <c r="B1" s="57"/>
      <c r="C1" s="57"/>
      <c r="D1" s="57"/>
      <c r="E1" s="57"/>
      <c r="F1" s="57"/>
      <c r="I1" s="58"/>
      <c r="K1" s="115"/>
      <c r="L1" s="115"/>
      <c r="M1" s="115"/>
      <c r="N1" s="115"/>
      <c r="O1" s="115"/>
      <c r="P1" s="115"/>
      <c r="Q1" s="115"/>
      <c r="R1" s="115"/>
      <c r="S1" s="115"/>
      <c r="T1" s="115"/>
      <c r="U1" s="115"/>
      <c r="V1" s="115"/>
      <c r="W1" s="115"/>
      <c r="X1" s="115"/>
      <c r="Y1" s="115"/>
      <c r="Z1" s="115"/>
      <c r="AA1" s="115"/>
      <c r="AB1" s="115"/>
      <c r="AC1" s="115"/>
      <c r="AD1" s="115"/>
      <c r="AE1" s="115"/>
    </row>
    <row r="2" spans="1:66" ht="18" customHeight="1">
      <c r="A2" s="59"/>
      <c r="B2" s="60"/>
      <c r="C2" s="60"/>
      <c r="D2" s="61"/>
      <c r="E2" s="62"/>
      <c r="F2" s="62"/>
      <c r="H2" s="63"/>
    </row>
    <row r="3" spans="1:66" ht="14.25">
      <c r="A3" s="59"/>
      <c r="H3" s="63"/>
      <c r="K3" s="64"/>
      <c r="L3" s="64"/>
      <c r="M3" s="64"/>
      <c r="N3" s="64"/>
      <c r="O3" s="64"/>
      <c r="P3" s="64"/>
      <c r="Q3" s="64"/>
      <c r="R3" s="64"/>
      <c r="S3" s="64"/>
      <c r="T3" s="64"/>
      <c r="U3" s="64"/>
      <c r="V3" s="64"/>
      <c r="W3" s="64"/>
      <c r="X3" s="64"/>
      <c r="Y3" s="64"/>
      <c r="Z3" s="64"/>
      <c r="AA3" s="64"/>
    </row>
    <row r="4" spans="1:66" ht="17.25" customHeight="1">
      <c r="A4" s="65"/>
      <c r="B4" s="66" t="s">
        <v>0</v>
      </c>
      <c r="C4" s="116">
        <v>45986</v>
      </c>
      <c r="D4" s="116"/>
      <c r="E4" s="116"/>
      <c r="F4" s="65"/>
      <c r="G4" s="66" t="s">
        <v>1</v>
      </c>
      <c r="H4" s="67">
        <v>1</v>
      </c>
      <c r="J4" s="65"/>
      <c r="K4" s="112" t="str">
        <f>"Week "&amp;(K6-($C$4-WEEKDAY($C$4,1)+2))/7+1</f>
        <v>Week 1</v>
      </c>
      <c r="L4" s="113"/>
      <c r="M4" s="113"/>
      <c r="N4" s="113"/>
      <c r="O4" s="113"/>
      <c r="P4" s="113"/>
      <c r="Q4" s="114"/>
      <c r="R4" s="112" t="str">
        <f>"Week "&amp;(R6-($C$4-WEEKDAY($C$4,1)+2))/7+1</f>
        <v>Week 2</v>
      </c>
      <c r="S4" s="113"/>
      <c r="T4" s="113"/>
      <c r="U4" s="113"/>
      <c r="V4" s="113"/>
      <c r="W4" s="113"/>
      <c r="X4" s="114"/>
      <c r="Y4" s="112" t="str">
        <f>"Week "&amp;(Y6-($C$4-WEEKDAY($C$4,1)+2))/7+1</f>
        <v>Week 3</v>
      </c>
      <c r="Z4" s="113"/>
      <c r="AA4" s="113"/>
      <c r="AB4" s="113"/>
      <c r="AC4" s="113"/>
      <c r="AD4" s="113"/>
      <c r="AE4" s="114"/>
      <c r="AF4" s="112" t="str">
        <f>"Week "&amp;(AF6-($C$4-WEEKDAY($C$4,1)+2))/7+1</f>
        <v>Week 4</v>
      </c>
      <c r="AG4" s="113"/>
      <c r="AH4" s="113"/>
      <c r="AI4" s="113"/>
      <c r="AJ4" s="113"/>
      <c r="AK4" s="113"/>
      <c r="AL4" s="114"/>
      <c r="AM4" s="112" t="str">
        <f>"Week "&amp;(AM6-($C$4-WEEKDAY($C$4,1)+2))/7+1</f>
        <v>Week 5</v>
      </c>
      <c r="AN4" s="113"/>
      <c r="AO4" s="113"/>
      <c r="AP4" s="113"/>
      <c r="AQ4" s="113"/>
      <c r="AR4" s="113"/>
      <c r="AS4" s="114"/>
      <c r="AT4" s="112" t="str">
        <f>"Week "&amp;(AT6-($C$4-WEEKDAY($C$4,1)+2))/7+1</f>
        <v>Week 6</v>
      </c>
      <c r="AU4" s="113"/>
      <c r="AV4" s="113"/>
      <c r="AW4" s="113"/>
      <c r="AX4" s="113"/>
      <c r="AY4" s="113"/>
      <c r="AZ4" s="114"/>
      <c r="BA4" s="112" t="str">
        <f>"Week "&amp;(BA6-($C$4-WEEKDAY($C$4,1)+2))/7+1</f>
        <v>Week 7</v>
      </c>
      <c r="BB4" s="113"/>
      <c r="BC4" s="113"/>
      <c r="BD4" s="113"/>
      <c r="BE4" s="113"/>
      <c r="BF4" s="113"/>
      <c r="BG4" s="114"/>
      <c r="BH4" s="112" t="str">
        <f>"Week "&amp;(BH6-($C$4-WEEKDAY($C$4,1)+2))/7+1</f>
        <v>Week 8</v>
      </c>
      <c r="BI4" s="113"/>
      <c r="BJ4" s="113"/>
      <c r="BK4" s="113"/>
      <c r="BL4" s="113"/>
      <c r="BM4" s="113"/>
      <c r="BN4" s="114"/>
    </row>
    <row r="5" spans="1:66" ht="17.25" customHeight="1">
      <c r="A5" s="65"/>
      <c r="B5" s="66" t="s">
        <v>2</v>
      </c>
      <c r="C5" s="111" t="s">
        <v>3</v>
      </c>
      <c r="D5" s="111"/>
      <c r="E5" s="111"/>
      <c r="F5" s="65"/>
      <c r="G5" s="65"/>
      <c r="H5" s="65"/>
      <c r="I5" s="65"/>
      <c r="J5" s="65"/>
      <c r="K5" s="108">
        <f>K6</f>
        <v>45985</v>
      </c>
      <c r="L5" s="109"/>
      <c r="M5" s="109"/>
      <c r="N5" s="109"/>
      <c r="O5" s="109"/>
      <c r="P5" s="109"/>
      <c r="Q5" s="110"/>
      <c r="R5" s="108">
        <f>R6</f>
        <v>45992</v>
      </c>
      <c r="S5" s="109"/>
      <c r="T5" s="109"/>
      <c r="U5" s="109"/>
      <c r="V5" s="109"/>
      <c r="W5" s="109"/>
      <c r="X5" s="110"/>
      <c r="Y5" s="108">
        <f>Y6</f>
        <v>45999</v>
      </c>
      <c r="Z5" s="109"/>
      <c r="AA5" s="109"/>
      <c r="AB5" s="109"/>
      <c r="AC5" s="109"/>
      <c r="AD5" s="109"/>
      <c r="AE5" s="110"/>
      <c r="AF5" s="108">
        <f>AF6</f>
        <v>46006</v>
      </c>
      <c r="AG5" s="109"/>
      <c r="AH5" s="109"/>
      <c r="AI5" s="109"/>
      <c r="AJ5" s="109"/>
      <c r="AK5" s="109"/>
      <c r="AL5" s="110"/>
      <c r="AM5" s="108">
        <f>AM6</f>
        <v>46013</v>
      </c>
      <c r="AN5" s="109"/>
      <c r="AO5" s="109"/>
      <c r="AP5" s="109"/>
      <c r="AQ5" s="109"/>
      <c r="AR5" s="109"/>
      <c r="AS5" s="110"/>
      <c r="AT5" s="108">
        <f>AT6</f>
        <v>46020</v>
      </c>
      <c r="AU5" s="109"/>
      <c r="AV5" s="109"/>
      <c r="AW5" s="109"/>
      <c r="AX5" s="109"/>
      <c r="AY5" s="109"/>
      <c r="AZ5" s="110"/>
      <c r="BA5" s="108">
        <f>BA6</f>
        <v>46027</v>
      </c>
      <c r="BB5" s="109"/>
      <c r="BC5" s="109"/>
      <c r="BD5" s="109"/>
      <c r="BE5" s="109"/>
      <c r="BF5" s="109"/>
      <c r="BG5" s="110"/>
      <c r="BH5" s="108">
        <f>BH6</f>
        <v>46034</v>
      </c>
      <c r="BI5" s="109"/>
      <c r="BJ5" s="109"/>
      <c r="BK5" s="109"/>
      <c r="BL5" s="109"/>
      <c r="BM5" s="109"/>
      <c r="BN5" s="110"/>
    </row>
    <row r="6" spans="1:66">
      <c r="A6" s="65"/>
      <c r="B6" s="65"/>
      <c r="C6" s="65"/>
      <c r="D6" s="65"/>
      <c r="E6" s="65"/>
      <c r="F6" s="65"/>
      <c r="G6" s="65"/>
      <c r="H6" s="65"/>
      <c r="I6" s="65"/>
      <c r="J6" s="65"/>
      <c r="K6" s="68">
        <f>C4-WEEKDAY(C4,1)+2+7*(H4-1)</f>
        <v>45985</v>
      </c>
      <c r="L6" s="69">
        <f t="shared" ref="L6:AQ6" si="0">K6+1</f>
        <v>45986</v>
      </c>
      <c r="M6" s="69">
        <f t="shared" si="0"/>
        <v>45987</v>
      </c>
      <c r="N6" s="69">
        <f t="shared" si="0"/>
        <v>45988</v>
      </c>
      <c r="O6" s="69">
        <f t="shared" si="0"/>
        <v>45989</v>
      </c>
      <c r="P6" s="69">
        <f t="shared" si="0"/>
        <v>45990</v>
      </c>
      <c r="Q6" s="70">
        <f t="shared" si="0"/>
        <v>45991</v>
      </c>
      <c r="R6" s="68">
        <f t="shared" si="0"/>
        <v>45992</v>
      </c>
      <c r="S6" s="69">
        <f t="shared" si="0"/>
        <v>45993</v>
      </c>
      <c r="T6" s="69">
        <f t="shared" si="0"/>
        <v>45994</v>
      </c>
      <c r="U6" s="69">
        <f t="shared" si="0"/>
        <v>45995</v>
      </c>
      <c r="V6" s="69">
        <f t="shared" si="0"/>
        <v>45996</v>
      </c>
      <c r="W6" s="69">
        <f t="shared" si="0"/>
        <v>45997</v>
      </c>
      <c r="X6" s="70">
        <f t="shared" si="0"/>
        <v>45998</v>
      </c>
      <c r="Y6" s="68">
        <f t="shared" si="0"/>
        <v>45999</v>
      </c>
      <c r="Z6" s="69">
        <f t="shared" si="0"/>
        <v>46000</v>
      </c>
      <c r="AA6" s="69">
        <f t="shared" si="0"/>
        <v>46001</v>
      </c>
      <c r="AB6" s="69">
        <f t="shared" si="0"/>
        <v>46002</v>
      </c>
      <c r="AC6" s="69">
        <f t="shared" si="0"/>
        <v>46003</v>
      </c>
      <c r="AD6" s="69">
        <f t="shared" si="0"/>
        <v>46004</v>
      </c>
      <c r="AE6" s="70">
        <f t="shared" si="0"/>
        <v>46005</v>
      </c>
      <c r="AF6" s="68">
        <f t="shared" si="0"/>
        <v>46006</v>
      </c>
      <c r="AG6" s="69">
        <f t="shared" si="0"/>
        <v>46007</v>
      </c>
      <c r="AH6" s="69">
        <f t="shared" si="0"/>
        <v>46008</v>
      </c>
      <c r="AI6" s="69">
        <f t="shared" si="0"/>
        <v>46009</v>
      </c>
      <c r="AJ6" s="69">
        <f t="shared" si="0"/>
        <v>46010</v>
      </c>
      <c r="AK6" s="69">
        <f t="shared" si="0"/>
        <v>46011</v>
      </c>
      <c r="AL6" s="70">
        <f t="shared" si="0"/>
        <v>46012</v>
      </c>
      <c r="AM6" s="68">
        <f t="shared" si="0"/>
        <v>46013</v>
      </c>
      <c r="AN6" s="69">
        <f t="shared" si="0"/>
        <v>46014</v>
      </c>
      <c r="AO6" s="69">
        <f t="shared" si="0"/>
        <v>46015</v>
      </c>
      <c r="AP6" s="69">
        <f t="shared" si="0"/>
        <v>46016</v>
      </c>
      <c r="AQ6" s="69">
        <f t="shared" si="0"/>
        <v>46017</v>
      </c>
      <c r="AR6" s="69">
        <f t="shared" ref="AR6:BN6" si="1">AQ6+1</f>
        <v>46018</v>
      </c>
      <c r="AS6" s="70">
        <f t="shared" si="1"/>
        <v>46019</v>
      </c>
      <c r="AT6" s="68">
        <f t="shared" si="1"/>
        <v>46020</v>
      </c>
      <c r="AU6" s="69">
        <f t="shared" si="1"/>
        <v>46021</v>
      </c>
      <c r="AV6" s="69">
        <f t="shared" si="1"/>
        <v>46022</v>
      </c>
      <c r="AW6" s="69">
        <f t="shared" si="1"/>
        <v>46023</v>
      </c>
      <c r="AX6" s="69">
        <f t="shared" si="1"/>
        <v>46024</v>
      </c>
      <c r="AY6" s="69">
        <f t="shared" si="1"/>
        <v>46025</v>
      </c>
      <c r="AZ6" s="70">
        <f t="shared" si="1"/>
        <v>46026</v>
      </c>
      <c r="BA6" s="68">
        <f t="shared" si="1"/>
        <v>46027</v>
      </c>
      <c r="BB6" s="69">
        <f t="shared" si="1"/>
        <v>46028</v>
      </c>
      <c r="BC6" s="69">
        <f t="shared" si="1"/>
        <v>46029</v>
      </c>
      <c r="BD6" s="69">
        <f t="shared" si="1"/>
        <v>46030</v>
      </c>
      <c r="BE6" s="69">
        <f t="shared" si="1"/>
        <v>46031</v>
      </c>
      <c r="BF6" s="69">
        <f t="shared" si="1"/>
        <v>46032</v>
      </c>
      <c r="BG6" s="70">
        <f t="shared" si="1"/>
        <v>46033</v>
      </c>
      <c r="BH6" s="68">
        <f t="shared" si="1"/>
        <v>46034</v>
      </c>
      <c r="BI6" s="69">
        <f t="shared" si="1"/>
        <v>46035</v>
      </c>
      <c r="BJ6" s="69">
        <f t="shared" si="1"/>
        <v>46036</v>
      </c>
      <c r="BK6" s="69">
        <f t="shared" si="1"/>
        <v>46037</v>
      </c>
      <c r="BL6" s="69">
        <f t="shared" si="1"/>
        <v>46038</v>
      </c>
      <c r="BM6" s="69">
        <f t="shared" si="1"/>
        <v>46039</v>
      </c>
      <c r="BN6" s="70">
        <f t="shared" si="1"/>
        <v>46040</v>
      </c>
    </row>
    <row r="7" spans="1:66" ht="24">
      <c r="A7" s="71" t="s">
        <v>4</v>
      </c>
      <c r="B7" s="71" t="s">
        <v>5</v>
      </c>
      <c r="C7" s="72" t="s">
        <v>6</v>
      </c>
      <c r="D7" s="73" t="s">
        <v>7</v>
      </c>
      <c r="E7" s="74" t="s">
        <v>8</v>
      </c>
      <c r="F7" s="74" t="s">
        <v>9</v>
      </c>
      <c r="G7" s="72" t="s">
        <v>10</v>
      </c>
      <c r="H7" s="72" t="s">
        <v>11</v>
      </c>
      <c r="I7" s="72" t="s">
        <v>12</v>
      </c>
      <c r="J7" s="72"/>
      <c r="K7" s="75" t="str">
        <f t="shared" ref="K7:AP7" si="2">CHOOSE(WEEKDAY(K6,1),"S","M","T","W","T","F","S")</f>
        <v>M</v>
      </c>
      <c r="L7" s="76" t="str">
        <f t="shared" si="2"/>
        <v>T</v>
      </c>
      <c r="M7" s="76" t="str">
        <f t="shared" si="2"/>
        <v>W</v>
      </c>
      <c r="N7" s="76" t="str">
        <f t="shared" si="2"/>
        <v>T</v>
      </c>
      <c r="O7" s="76" t="str">
        <f t="shared" si="2"/>
        <v>F</v>
      </c>
      <c r="P7" s="76" t="str">
        <f t="shared" si="2"/>
        <v>S</v>
      </c>
      <c r="Q7" s="77" t="str">
        <f t="shared" si="2"/>
        <v>S</v>
      </c>
      <c r="R7" s="75" t="str">
        <f t="shared" si="2"/>
        <v>M</v>
      </c>
      <c r="S7" s="76" t="str">
        <f t="shared" si="2"/>
        <v>T</v>
      </c>
      <c r="T7" s="76" t="str">
        <f t="shared" si="2"/>
        <v>W</v>
      </c>
      <c r="U7" s="76" t="str">
        <f t="shared" si="2"/>
        <v>T</v>
      </c>
      <c r="V7" s="76" t="str">
        <f t="shared" si="2"/>
        <v>F</v>
      </c>
      <c r="W7" s="76" t="str">
        <f t="shared" si="2"/>
        <v>S</v>
      </c>
      <c r="X7" s="77" t="str">
        <f t="shared" si="2"/>
        <v>S</v>
      </c>
      <c r="Y7" s="75" t="str">
        <f t="shared" si="2"/>
        <v>M</v>
      </c>
      <c r="Z7" s="76" t="str">
        <f t="shared" si="2"/>
        <v>T</v>
      </c>
      <c r="AA7" s="76" t="str">
        <f t="shared" si="2"/>
        <v>W</v>
      </c>
      <c r="AB7" s="76" t="str">
        <f t="shared" si="2"/>
        <v>T</v>
      </c>
      <c r="AC7" s="76" t="str">
        <f t="shared" si="2"/>
        <v>F</v>
      </c>
      <c r="AD7" s="76" t="str">
        <f t="shared" si="2"/>
        <v>S</v>
      </c>
      <c r="AE7" s="77" t="str">
        <f t="shared" si="2"/>
        <v>S</v>
      </c>
      <c r="AF7" s="75" t="str">
        <f t="shared" si="2"/>
        <v>M</v>
      </c>
      <c r="AG7" s="76" t="str">
        <f t="shared" si="2"/>
        <v>T</v>
      </c>
      <c r="AH7" s="76" t="str">
        <f t="shared" si="2"/>
        <v>W</v>
      </c>
      <c r="AI7" s="76" t="str">
        <f t="shared" si="2"/>
        <v>T</v>
      </c>
      <c r="AJ7" s="76" t="str">
        <f t="shared" si="2"/>
        <v>F</v>
      </c>
      <c r="AK7" s="76" t="str">
        <f t="shared" si="2"/>
        <v>S</v>
      </c>
      <c r="AL7" s="77" t="str">
        <f t="shared" si="2"/>
        <v>S</v>
      </c>
      <c r="AM7" s="75" t="str">
        <f t="shared" si="2"/>
        <v>M</v>
      </c>
      <c r="AN7" s="76" t="str">
        <f t="shared" si="2"/>
        <v>T</v>
      </c>
      <c r="AO7" s="76" t="str">
        <f t="shared" si="2"/>
        <v>W</v>
      </c>
      <c r="AP7" s="76" t="str">
        <f t="shared" si="2"/>
        <v>T</v>
      </c>
      <c r="AQ7" s="76" t="str">
        <f t="shared" ref="AQ7:BN7" si="3">CHOOSE(WEEKDAY(AQ6,1),"S","M","T","W","T","F","S")</f>
        <v>F</v>
      </c>
      <c r="AR7" s="76" t="str">
        <f t="shared" si="3"/>
        <v>S</v>
      </c>
      <c r="AS7" s="77" t="str">
        <f t="shared" si="3"/>
        <v>S</v>
      </c>
      <c r="AT7" s="75" t="str">
        <f t="shared" si="3"/>
        <v>M</v>
      </c>
      <c r="AU7" s="76" t="str">
        <f t="shared" si="3"/>
        <v>T</v>
      </c>
      <c r="AV7" s="76" t="str">
        <f t="shared" si="3"/>
        <v>W</v>
      </c>
      <c r="AW7" s="76" t="str">
        <f t="shared" si="3"/>
        <v>T</v>
      </c>
      <c r="AX7" s="76" t="str">
        <f t="shared" si="3"/>
        <v>F</v>
      </c>
      <c r="AY7" s="76" t="str">
        <f t="shared" si="3"/>
        <v>S</v>
      </c>
      <c r="AZ7" s="77" t="str">
        <f t="shared" si="3"/>
        <v>S</v>
      </c>
      <c r="BA7" s="75" t="str">
        <f t="shared" si="3"/>
        <v>M</v>
      </c>
      <c r="BB7" s="76" t="str">
        <f t="shared" si="3"/>
        <v>T</v>
      </c>
      <c r="BC7" s="76" t="str">
        <f t="shared" si="3"/>
        <v>W</v>
      </c>
      <c r="BD7" s="76" t="str">
        <f t="shared" si="3"/>
        <v>T</v>
      </c>
      <c r="BE7" s="76" t="str">
        <f t="shared" si="3"/>
        <v>F</v>
      </c>
      <c r="BF7" s="76" t="str">
        <f t="shared" si="3"/>
        <v>S</v>
      </c>
      <c r="BG7" s="77" t="str">
        <f t="shared" si="3"/>
        <v>S</v>
      </c>
      <c r="BH7" s="75" t="str">
        <f t="shared" si="3"/>
        <v>M</v>
      </c>
      <c r="BI7" s="76" t="str">
        <f t="shared" si="3"/>
        <v>T</v>
      </c>
      <c r="BJ7" s="76" t="str">
        <f t="shared" si="3"/>
        <v>W</v>
      </c>
      <c r="BK7" s="76" t="str">
        <f t="shared" si="3"/>
        <v>T</v>
      </c>
      <c r="BL7" s="76" t="str">
        <f t="shared" si="3"/>
        <v>F</v>
      </c>
      <c r="BM7" s="76" t="str">
        <f t="shared" si="3"/>
        <v>S</v>
      </c>
      <c r="BN7" s="77" t="str">
        <f t="shared" si="3"/>
        <v>S</v>
      </c>
    </row>
    <row r="8" spans="1:66" s="55" customFormat="1" ht="18">
      <c r="A8" s="78" t="str">
        <f>IF(ISERROR(VALUE(SUBSTITUTE(prevWBS,".",""))),"1",IF(ISERROR(FIND("`",SUBSTITUTE(prevWBS,".","`",1))),TEXT(VALUE(prevWBS)+1,"#"),TEXT(VALUE(LEFT(prevWBS,FIND("`",SUBSTITUTE(prevWBS,".","`",1))-1))+1,"#")))</f>
        <v>1</v>
      </c>
      <c r="B8" s="79" t="s">
        <v>13</v>
      </c>
      <c r="C8" s="80"/>
      <c r="D8" s="81"/>
      <c r="E8" s="82"/>
      <c r="F8" s="83" t="str">
        <f t="shared" ref="F8:F16" si="4">IF(ISBLANK(E8)," - ",IF(G8=0,E8,E8+G8-1))</f>
        <v xml:space="preserve"> - </v>
      </c>
      <c r="G8" s="84"/>
      <c r="H8" s="85"/>
      <c r="I8" s="86" t="str">
        <f>IF(OR(F8=0,E8=0)," - ",NETWORKDAYS(E8,F8))</f>
        <v xml:space="preserve"> - </v>
      </c>
      <c r="J8" s="87"/>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row>
    <row r="9" spans="1:66" s="1" customFormat="1" ht="18">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9" t="s">
        <v>14</v>
      </c>
      <c r="C9" s="1" t="s">
        <v>15</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pans="1:66" s="1" customFormat="1" ht="18">
      <c r="A10" s="4" t="str">
        <f t="shared" si="5"/>
        <v>1.2</v>
      </c>
      <c r="B10" s="89" t="s">
        <v>16</v>
      </c>
      <c r="C10" s="1" t="s">
        <v>15</v>
      </c>
      <c r="D10" s="5"/>
      <c r="E10" s="6">
        <v>45988</v>
      </c>
      <c r="F10" s="7">
        <f t="shared" si="4"/>
        <v>46054</v>
      </c>
      <c r="G10" s="8">
        <v>67</v>
      </c>
      <c r="H10" s="9">
        <v>0.4</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pans="1:66" s="1" customFormat="1" ht="18">
      <c r="A11" s="4" t="str">
        <f t="shared" si="5"/>
        <v>1.3</v>
      </c>
      <c r="B11" s="89" t="s">
        <v>17</v>
      </c>
      <c r="C11" s="1" t="s">
        <v>15</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pans="1:66" s="1" customFormat="1" ht="18">
      <c r="A12" s="4" t="str">
        <f t="shared" si="5"/>
        <v>1.4</v>
      </c>
      <c r="B12" s="89" t="s">
        <v>18</v>
      </c>
      <c r="C12" s="1" t="s">
        <v>19</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pans="1:66" s="1" customFormat="1" ht="18">
      <c r="A13" s="4" t="str">
        <f t="shared" si="5"/>
        <v>1.5</v>
      </c>
      <c r="B13" s="89" t="s">
        <v>20</v>
      </c>
      <c r="C13" s="1" t="s">
        <v>15</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 t="shared" si="5"/>
        <v>1.6</v>
      </c>
      <c r="B14" s="89" t="s">
        <v>21</v>
      </c>
      <c r="C14" s="1" t="s">
        <v>19</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 t="shared" si="5"/>
        <v>1.7</v>
      </c>
      <c r="B15" s="89" t="s">
        <v>22</v>
      </c>
      <c r="C15" s="1" t="s">
        <v>15</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 t="shared" si="5"/>
        <v>1.8</v>
      </c>
      <c r="B16" s="89" t="s">
        <v>23</v>
      </c>
      <c r="C16" s="1" t="s">
        <v>235</v>
      </c>
      <c r="D16" s="5"/>
      <c r="E16" s="6">
        <v>46031</v>
      </c>
      <c r="F16" s="7">
        <f t="shared" si="4"/>
        <v>46040</v>
      </c>
      <c r="G16" s="8">
        <v>10</v>
      </c>
      <c r="H16" s="9">
        <v>0.5</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 t="shared" si="5"/>
        <v>1.9</v>
      </c>
      <c r="B17" s="89" t="s">
        <v>24</v>
      </c>
      <c r="C17" s="1" t="s">
        <v>15</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pans="1:66" s="1" customFormat="1" ht="18">
      <c r="A18" s="4" t="str">
        <f t="shared" si="5"/>
        <v>1.10</v>
      </c>
      <c r="B18" s="89" t="s">
        <v>25</v>
      </c>
      <c r="C18" s="1" t="s">
        <v>19</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pans="1:66" s="1" customFormat="1" ht="18">
      <c r="A19" s="4" t="str">
        <f t="shared" si="5"/>
        <v>1.11</v>
      </c>
      <c r="B19" s="89" t="s">
        <v>26</v>
      </c>
      <c r="C19" s="1" t="s">
        <v>27</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s="1" customFormat="1" ht="21" customHeight="1">
      <c r="A20" s="4" t="str">
        <f t="shared" ref="A20:A60"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89" t="s">
        <v>28</v>
      </c>
      <c r="C20" s="1" t="s">
        <v>19</v>
      </c>
      <c r="D20" s="5"/>
      <c r="E20" s="6">
        <v>46032</v>
      </c>
      <c r="F20" s="7">
        <f t="shared" ref="F20" si="15">IF(ISBLANK(E20)," - ",IF(G20=0,E20,E20+G20-1))</f>
        <v>46043</v>
      </c>
      <c r="G20" s="8">
        <v>12</v>
      </c>
      <c r="H20" s="9">
        <v>1</v>
      </c>
      <c r="I20" s="10">
        <f t="shared" ref="I20" si="16">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pans="1:66" s="1" customFormat="1" ht="18">
      <c r="A21" s="4" t="str">
        <f t="shared" si="14"/>
        <v>1.13</v>
      </c>
      <c r="B21" s="89" t="s">
        <v>29</v>
      </c>
      <c r="C21" s="1" t="s">
        <v>27</v>
      </c>
      <c r="D21" s="5"/>
      <c r="E21" s="6">
        <v>46032</v>
      </c>
      <c r="F21" s="7">
        <f t="shared" ref="F21" si="17">IF(ISBLANK(E21)," - ",IF(G21=0,E21,E21+G21-1))</f>
        <v>46043</v>
      </c>
      <c r="G21" s="8">
        <v>12</v>
      </c>
      <c r="H21" s="9">
        <v>0.9</v>
      </c>
      <c r="I21" s="10">
        <f t="shared" ref="I21:I36" si="18">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pans="1:66" s="1" customFormat="1" ht="18">
      <c r="A22" s="4" t="str">
        <f t="shared" si="14"/>
        <v>1.14</v>
      </c>
      <c r="B22" s="90" t="s">
        <v>30</v>
      </c>
      <c r="C22" s="1" t="s">
        <v>19</v>
      </c>
      <c r="D22" s="5"/>
      <c r="E22" s="6">
        <v>46056</v>
      </c>
      <c r="F22" s="7">
        <f t="shared" ref="F22" si="19">IF(ISBLANK(E22)," - ",IF(G22=0,E22,E22+G22-1))</f>
        <v>46057</v>
      </c>
      <c r="G22" s="8">
        <v>2</v>
      </c>
      <c r="H22" s="9">
        <v>1</v>
      </c>
      <c r="I22" s="10">
        <f t="shared" ref="I22" si="20">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1" customFormat="1" ht="18">
      <c r="A23" s="4" t="str">
        <f t="shared" si="14"/>
        <v>1.15</v>
      </c>
      <c r="B23" s="89" t="s">
        <v>31</v>
      </c>
      <c r="C23" s="1" t="s">
        <v>27</v>
      </c>
      <c r="D23" s="5"/>
      <c r="E23" s="6">
        <v>46056</v>
      </c>
      <c r="F23" s="7">
        <f t="shared" ref="F23:F30" si="21">IF(ISBLANK(E23)," - ",IF(G23=0,E23,E23+G23-1))</f>
        <v>46057</v>
      </c>
      <c r="G23" s="8">
        <v>2</v>
      </c>
      <c r="H23" s="9">
        <v>1</v>
      </c>
      <c r="I23" s="10">
        <f t="shared" ref="I23:I30" si="22">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1" customFormat="1" ht="18">
      <c r="A24" s="4" t="str">
        <f t="shared" si="14"/>
        <v>1.16</v>
      </c>
      <c r="B24" s="89" t="s">
        <v>232</v>
      </c>
      <c r="C24" s="1" t="s">
        <v>27</v>
      </c>
      <c r="D24" s="5"/>
      <c r="E24" s="6">
        <f>F22+1</f>
        <v>46058</v>
      </c>
      <c r="F24" s="7">
        <f t="shared" si="21"/>
        <v>46059</v>
      </c>
      <c r="G24" s="8">
        <v>2</v>
      </c>
      <c r="H24" s="9">
        <v>1</v>
      </c>
      <c r="I24" s="10">
        <f t="shared" si="22"/>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1" customFormat="1" ht="18">
      <c r="A25" s="4" t="str">
        <f t="shared" si="14"/>
        <v>1.17</v>
      </c>
      <c r="B25" s="89" t="s">
        <v>32</v>
      </c>
      <c r="C25" s="1" t="s">
        <v>19</v>
      </c>
      <c r="D25" s="5"/>
      <c r="E25" s="6">
        <f>F22+1</f>
        <v>46058</v>
      </c>
      <c r="F25" s="7">
        <f t="shared" si="21"/>
        <v>46059</v>
      </c>
      <c r="G25" s="8">
        <v>2</v>
      </c>
      <c r="H25" s="9">
        <v>1</v>
      </c>
      <c r="I25" s="10">
        <f t="shared" si="22"/>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1" customFormat="1" ht="18">
      <c r="A26" s="4" t="str">
        <f t="shared" si="14"/>
        <v>1.18</v>
      </c>
      <c r="B26" s="89" t="s">
        <v>33</v>
      </c>
      <c r="C26" s="1" t="s">
        <v>27</v>
      </c>
      <c r="D26" s="5"/>
      <c r="E26" s="6">
        <f>E23+1</f>
        <v>46057</v>
      </c>
      <c r="F26" s="7">
        <f t="shared" si="21"/>
        <v>46058</v>
      </c>
      <c r="G26" s="8">
        <v>2</v>
      </c>
      <c r="H26" s="9">
        <v>1</v>
      </c>
      <c r="I26" s="10">
        <f t="shared" si="22"/>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1" customFormat="1" ht="18">
      <c r="A27" s="4" t="str">
        <f t="shared" si="14"/>
        <v>1.19</v>
      </c>
      <c r="B27" s="89" t="s">
        <v>34</v>
      </c>
      <c r="C27" s="1" t="s">
        <v>19</v>
      </c>
      <c r="D27" s="5"/>
      <c r="E27" s="6">
        <f>F23+1</f>
        <v>46058</v>
      </c>
      <c r="F27" s="7">
        <f t="shared" si="21"/>
        <v>46059</v>
      </c>
      <c r="G27" s="8">
        <v>2</v>
      </c>
      <c r="H27" s="9">
        <v>1</v>
      </c>
      <c r="I27" s="10">
        <f t="shared" si="22"/>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1" customFormat="1" ht="18">
      <c r="A28" s="4" t="str">
        <f t="shared" si="14"/>
        <v>1.20</v>
      </c>
      <c r="B28" s="89" t="s">
        <v>35</v>
      </c>
      <c r="C28" s="1" t="s">
        <v>27</v>
      </c>
      <c r="D28" s="5"/>
      <c r="E28" s="6">
        <f>F24+1</f>
        <v>46060</v>
      </c>
      <c r="F28" s="7">
        <f t="shared" si="21"/>
        <v>46063</v>
      </c>
      <c r="G28" s="8">
        <v>4</v>
      </c>
      <c r="H28" s="9">
        <v>1</v>
      </c>
      <c r="I28" s="10">
        <f t="shared" si="22"/>
        <v>2</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 customFormat="1" ht="18">
      <c r="A29" s="4" t="str">
        <f t="shared" si="14"/>
        <v>1.21</v>
      </c>
      <c r="B29" s="89" t="s">
        <v>36</v>
      </c>
      <c r="C29" s="1" t="s">
        <v>19</v>
      </c>
      <c r="D29" s="5"/>
      <c r="E29" s="6">
        <f>F24+1</f>
        <v>46060</v>
      </c>
      <c r="F29" s="7">
        <f t="shared" si="21"/>
        <v>46063</v>
      </c>
      <c r="G29" s="8">
        <v>4</v>
      </c>
      <c r="H29" s="9">
        <v>1</v>
      </c>
      <c r="I29" s="10">
        <f t="shared" si="22"/>
        <v>2</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pans="1:66" s="1" customFormat="1" ht="18">
      <c r="A30" s="4" t="str">
        <f t="shared" si="14"/>
        <v>1.22</v>
      </c>
      <c r="B30" s="89" t="s">
        <v>37</v>
      </c>
      <c r="C30" s="1" t="s">
        <v>27</v>
      </c>
      <c r="D30" s="5"/>
      <c r="E30" s="6">
        <f>F28+1</f>
        <v>46064</v>
      </c>
      <c r="F30" s="7">
        <f t="shared" si="21"/>
        <v>46065</v>
      </c>
      <c r="G30" s="8">
        <v>2</v>
      </c>
      <c r="H30" s="9">
        <v>1</v>
      </c>
      <c r="I30" s="10">
        <f t="shared" si="22"/>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pans="1:66" s="1" customFormat="1" ht="18">
      <c r="A31" s="4" t="str">
        <f t="shared" si="14"/>
        <v>1.23</v>
      </c>
      <c r="B31" s="89" t="s">
        <v>38</v>
      </c>
      <c r="C31" s="1" t="s">
        <v>19</v>
      </c>
      <c r="D31" s="5"/>
      <c r="E31" s="6">
        <f>F29+1</f>
        <v>46064</v>
      </c>
      <c r="F31" s="7">
        <f t="shared" ref="F31:F36" si="23">IF(ISBLANK(E31)," - ",IF(G31=0,E31,E31+G31-1))</f>
        <v>46065</v>
      </c>
      <c r="G31" s="8">
        <v>2</v>
      </c>
      <c r="H31" s="9">
        <v>1</v>
      </c>
      <c r="I31" s="10">
        <f t="shared" ref="I31" si="24">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pans="1:66" s="1" customFormat="1" ht="18">
      <c r="A32" s="4" t="str">
        <f t="shared" si="14"/>
        <v>1.24</v>
      </c>
      <c r="B32" s="89" t="s">
        <v>39</v>
      </c>
      <c r="C32" s="1" t="s">
        <v>15</v>
      </c>
      <c r="D32" s="5"/>
      <c r="E32" s="6">
        <f>F30</f>
        <v>46065</v>
      </c>
      <c r="F32" s="7">
        <f t="shared" ref="F32" si="25">IF(ISBLANK(E32)," - ",IF(G32=0,E32,E32+G32-1))</f>
        <v>46067</v>
      </c>
      <c r="G32" s="8">
        <v>3</v>
      </c>
      <c r="H32" s="9">
        <v>1</v>
      </c>
      <c r="I32" s="10">
        <f t="shared" ref="I32" si="26">IF(OR(F32=0,E32=0)," - ",NETWORKDAYS(E32,F32))</f>
        <v>2</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pans="1:66" s="1" customFormat="1" ht="18">
      <c r="A33" s="4" t="str">
        <f t="shared" si="14"/>
        <v>1.25</v>
      </c>
      <c r="B33" s="91" t="s">
        <v>40</v>
      </c>
      <c r="C33" s="1" t="s">
        <v>27</v>
      </c>
      <c r="D33" s="5"/>
      <c r="E33" s="6">
        <f>F32+1</f>
        <v>46068</v>
      </c>
      <c r="F33" s="7">
        <f t="shared" si="23"/>
        <v>46072</v>
      </c>
      <c r="G33" s="8">
        <v>5</v>
      </c>
      <c r="H33" s="9">
        <v>0</v>
      </c>
      <c r="I33" s="10">
        <f t="shared" si="18"/>
        <v>4</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pans="1:66" s="1" customFormat="1" ht="18">
      <c r="A34" s="4" t="str">
        <f t="shared" si="14"/>
        <v>1.26</v>
      </c>
      <c r="B34" s="92" t="s">
        <v>41</v>
      </c>
      <c r="C34" s="1" t="s">
        <v>19</v>
      </c>
      <c r="D34" s="5"/>
      <c r="E34" s="6">
        <f>F32+1</f>
        <v>46068</v>
      </c>
      <c r="F34" s="7">
        <f t="shared" si="23"/>
        <v>46072</v>
      </c>
      <c r="G34" s="8">
        <v>5</v>
      </c>
      <c r="H34" s="9">
        <v>0.8</v>
      </c>
      <c r="I34" s="10">
        <f t="shared" si="18"/>
        <v>4</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pans="1:66" s="1" customFormat="1" ht="18">
      <c r="A35" s="4" t="str">
        <f t="shared" si="14"/>
        <v>1.27</v>
      </c>
      <c r="B35" s="93" t="s">
        <v>42</v>
      </c>
      <c r="C35" s="1" t="s">
        <v>236</v>
      </c>
      <c r="D35" s="5"/>
      <c r="E35" s="6">
        <f t="shared" ref="E35:E36" si="27">F33+1</f>
        <v>46073</v>
      </c>
      <c r="F35" s="7">
        <f t="shared" si="23"/>
        <v>46076</v>
      </c>
      <c r="G35" s="8">
        <v>4</v>
      </c>
      <c r="H35" s="9">
        <v>0</v>
      </c>
      <c r="I35" s="10">
        <f t="shared" si="18"/>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pans="1:66" s="1" customFormat="1" ht="18">
      <c r="A36" s="4" t="str">
        <f t="shared" si="14"/>
        <v>1.28</v>
      </c>
      <c r="B36" s="105" t="s">
        <v>43</v>
      </c>
      <c r="C36" s="1" t="s">
        <v>237</v>
      </c>
      <c r="D36" s="5"/>
      <c r="E36" s="6">
        <f t="shared" si="27"/>
        <v>46073</v>
      </c>
      <c r="F36" s="7">
        <f t="shared" si="23"/>
        <v>46076</v>
      </c>
      <c r="G36" s="8">
        <v>4</v>
      </c>
      <c r="H36" s="9">
        <v>0.5</v>
      </c>
      <c r="I36" s="10">
        <f t="shared" si="18"/>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pans="1:66" s="1" customFormat="1" ht="18">
      <c r="A37" s="4" t="str">
        <f t="shared" si="14"/>
        <v>1.29</v>
      </c>
      <c r="B37" s="105" t="s">
        <v>50</v>
      </c>
      <c r="C37" s="106" t="s">
        <v>236</v>
      </c>
      <c r="D37" s="5"/>
      <c r="E37" s="6">
        <f t="shared" ref="E37:E42" si="28">F35+1</f>
        <v>46077</v>
      </c>
      <c r="F37" s="7">
        <f>IF(ISBLANK(E37)," - ",IF(G37=0,E37,E37+G37-1))</f>
        <v>46078</v>
      </c>
      <c r="G37" s="8">
        <v>2</v>
      </c>
      <c r="H37" s="9">
        <v>0</v>
      </c>
      <c r="I37" s="10">
        <f>IF(OR(F37=0,E37=0)," - ",NETWORKDAYS(E37,F37))</f>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pans="1:66" s="1" customFormat="1" ht="18">
      <c r="A38" s="4" t="str">
        <f t="shared" si="14"/>
        <v>1.30</v>
      </c>
      <c r="B38" s="93" t="s">
        <v>45</v>
      </c>
      <c r="C38" s="1" t="s">
        <v>238</v>
      </c>
      <c r="D38" s="5"/>
      <c r="E38" s="6">
        <f t="shared" si="28"/>
        <v>46077</v>
      </c>
      <c r="F38" s="7">
        <f t="shared" ref="F38" si="29">IF(ISBLANK(E38)," - ",IF(G38=0,E38,E38+G38-1))</f>
        <v>46078</v>
      </c>
      <c r="G38" s="8">
        <v>2</v>
      </c>
      <c r="H38" s="9">
        <v>0</v>
      </c>
      <c r="I38" s="10">
        <f t="shared" ref="I38" si="30">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pans="1:66" s="1" customFormat="1" ht="18">
      <c r="A39" s="4" t="str">
        <f t="shared" si="14"/>
        <v>1.31</v>
      </c>
      <c r="B39" s="93" t="s">
        <v>46</v>
      </c>
      <c r="C39" s="1" t="s">
        <v>236</v>
      </c>
      <c r="D39" s="5"/>
      <c r="E39" s="6">
        <f t="shared" si="28"/>
        <v>46079</v>
      </c>
      <c r="F39" s="7">
        <f t="shared" ref="F39" si="31">IF(ISBLANK(E39)," - ",IF(G39=0,E39,E39+G39-1))</f>
        <v>46080</v>
      </c>
      <c r="G39" s="8">
        <v>2</v>
      </c>
      <c r="H39" s="9">
        <v>0</v>
      </c>
      <c r="I39" s="10">
        <f t="shared" ref="I39" si="32">IF(OR(F39=0,E39=0)," - ",NETWORKDAYS(E39,F39))</f>
        <v>2</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pans="1:66" s="1" customFormat="1" ht="18">
      <c r="A40" s="4" t="str">
        <f t="shared" si="14"/>
        <v>1.32</v>
      </c>
      <c r="B40" s="105" t="s">
        <v>47</v>
      </c>
      <c r="C40" s="1" t="s">
        <v>237</v>
      </c>
      <c r="D40" s="5"/>
      <c r="E40" s="6">
        <f t="shared" si="28"/>
        <v>46079</v>
      </c>
      <c r="F40" s="7">
        <f t="shared" ref="F40:F60" si="33">IF(ISBLANK(E40)," - ",IF(G40=0,E40,E40+G40-1))</f>
        <v>46080</v>
      </c>
      <c r="G40" s="8">
        <v>2</v>
      </c>
      <c r="H40" s="9">
        <v>0.5</v>
      </c>
      <c r="I40" s="10">
        <f t="shared" ref="I40:I60" si="34">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pans="1:66" s="1" customFormat="1" ht="18">
      <c r="A41" s="4" t="str">
        <f t="shared" si="14"/>
        <v>1.33</v>
      </c>
      <c r="B41" s="93" t="s">
        <v>48</v>
      </c>
      <c r="C41" s="1" t="s">
        <v>239</v>
      </c>
      <c r="D41" s="5"/>
      <c r="E41" s="6">
        <f t="shared" si="28"/>
        <v>46081</v>
      </c>
      <c r="F41" s="7">
        <f t="shared" si="33"/>
        <v>46084</v>
      </c>
      <c r="G41" s="8">
        <v>4</v>
      </c>
      <c r="H41" s="9">
        <v>0</v>
      </c>
      <c r="I41" s="10">
        <f t="shared" si="34"/>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pans="1:66" s="1" customFormat="1" ht="18">
      <c r="A42" s="4" t="str">
        <f t="shared" si="14"/>
        <v>1.34</v>
      </c>
      <c r="B42" s="93" t="s">
        <v>49</v>
      </c>
      <c r="C42" s="1" t="s">
        <v>238</v>
      </c>
      <c r="D42" s="5"/>
      <c r="E42" s="6">
        <f t="shared" si="28"/>
        <v>46081</v>
      </c>
      <c r="F42" s="7">
        <f t="shared" si="33"/>
        <v>46084</v>
      </c>
      <c r="G42" s="8">
        <v>4</v>
      </c>
      <c r="H42" s="9">
        <v>0</v>
      </c>
      <c r="I42" s="10">
        <f t="shared" si="34"/>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pans="1:66" s="1" customFormat="1" ht="18">
      <c r="A43" s="4" t="str">
        <f t="shared" si="14"/>
        <v>1.35</v>
      </c>
      <c r="B43" s="105" t="s">
        <v>44</v>
      </c>
      <c r="C43" s="107" t="s">
        <v>234</v>
      </c>
      <c r="D43" s="5"/>
      <c r="E43" s="6">
        <f>F41</f>
        <v>46084</v>
      </c>
      <c r="F43" s="7">
        <f t="shared" si="33"/>
        <v>46086</v>
      </c>
      <c r="G43" s="8">
        <v>3</v>
      </c>
      <c r="H43" s="9">
        <v>0</v>
      </c>
      <c r="I43" s="10">
        <f t="shared" si="34"/>
        <v>3</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pans="1:66" s="1" customFormat="1" ht="18">
      <c r="A44" s="4" t="str">
        <f t="shared" si="14"/>
        <v>1.36</v>
      </c>
      <c r="B44" s="119" t="s">
        <v>64</v>
      </c>
      <c r="C44" s="107" t="s">
        <v>233</v>
      </c>
      <c r="D44" s="5"/>
      <c r="E44" s="6">
        <f>F42</f>
        <v>46084</v>
      </c>
      <c r="F44" s="7">
        <f t="shared" si="33"/>
        <v>46086</v>
      </c>
      <c r="G44" s="8">
        <v>3</v>
      </c>
      <c r="H44" s="9">
        <v>0</v>
      </c>
      <c r="I44" s="10">
        <f t="shared" si="34"/>
        <v>3</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pans="1:66" s="1" customFormat="1" ht="18">
      <c r="A45" s="4" t="str">
        <f t="shared" si="14"/>
        <v>1.37</v>
      </c>
      <c r="B45" s="89" t="s">
        <v>240</v>
      </c>
      <c r="C45" s="1" t="s">
        <v>233</v>
      </c>
      <c r="D45" s="5"/>
      <c r="E45" s="6">
        <f>F41 + 3</f>
        <v>46087</v>
      </c>
      <c r="F45" s="7">
        <f t="shared" ref="F45" si="35">IF(ISBLANK(E45)," - ",IF(G45=0,E45,E45+G45-1))</f>
        <v>46088</v>
      </c>
      <c r="G45" s="8">
        <v>2</v>
      </c>
      <c r="H45" s="9">
        <v>0</v>
      </c>
      <c r="I45" s="10">
        <f t="shared" ref="I45" si="36">IF(OR(F45=0,E45=0)," - ",NETWORKDAYS(E45,F45))</f>
        <v>1</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pans="1:66" s="1" customFormat="1" ht="18">
      <c r="A46" s="4" t="str">
        <f t="shared" si="14"/>
        <v>1.38</v>
      </c>
      <c r="B46" s="93" t="s">
        <v>52</v>
      </c>
      <c r="C46" s="1" t="s">
        <v>27</v>
      </c>
      <c r="D46" s="5"/>
      <c r="E46" s="6">
        <f>F43+1</f>
        <v>46087</v>
      </c>
      <c r="F46" s="7">
        <f t="shared" si="33"/>
        <v>46090</v>
      </c>
      <c r="G46" s="8">
        <v>4</v>
      </c>
      <c r="H46" s="9">
        <v>0</v>
      </c>
      <c r="I46" s="10">
        <f t="shared" si="34"/>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pans="1:66" s="1" customFormat="1" ht="18">
      <c r="A47" s="4" t="str">
        <f t="shared" si="14"/>
        <v>1.39</v>
      </c>
      <c r="B47" s="93" t="s">
        <v>53</v>
      </c>
      <c r="C47" s="1" t="s">
        <v>19</v>
      </c>
      <c r="D47" s="5"/>
      <c r="E47" s="6">
        <f>F44+1</f>
        <v>46087</v>
      </c>
      <c r="F47" s="7">
        <f t="shared" si="33"/>
        <v>46090</v>
      </c>
      <c r="G47" s="8">
        <v>4</v>
      </c>
      <c r="H47" s="9">
        <v>0</v>
      </c>
      <c r="I47" s="10">
        <f t="shared" si="34"/>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pans="1:66" s="1" customFormat="1" ht="18">
      <c r="A48" s="4" t="str">
        <f t="shared" si="14"/>
        <v>1.40</v>
      </c>
      <c r="B48" s="120" t="s">
        <v>241</v>
      </c>
      <c r="C48" s="1" t="s">
        <v>27</v>
      </c>
      <c r="D48" s="5"/>
      <c r="E48" s="6">
        <f t="shared" ref="E48:E55" si="37">F46+1</f>
        <v>46091</v>
      </c>
      <c r="F48" s="7">
        <f t="shared" si="33"/>
        <v>46092</v>
      </c>
      <c r="G48" s="8">
        <v>2</v>
      </c>
      <c r="H48" s="9">
        <v>0</v>
      </c>
      <c r="I48" s="10">
        <f t="shared" si="34"/>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pans="1:66" s="1" customFormat="1" ht="18">
      <c r="A49" s="4" t="str">
        <f t="shared" si="14"/>
        <v>1.41</v>
      </c>
      <c r="B49" s="93" t="s">
        <v>54</v>
      </c>
      <c r="C49" s="1" t="s">
        <v>238</v>
      </c>
      <c r="D49" s="5"/>
      <c r="E49" s="6">
        <f t="shared" si="37"/>
        <v>46091</v>
      </c>
      <c r="F49" s="7">
        <f t="shared" si="33"/>
        <v>46092</v>
      </c>
      <c r="G49" s="8">
        <v>2</v>
      </c>
      <c r="H49" s="9">
        <v>0</v>
      </c>
      <c r="I49" s="10">
        <f t="shared" si="34"/>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pans="1:66" s="1" customFormat="1" ht="18">
      <c r="A50" s="4" t="str">
        <f t="shared" si="14"/>
        <v>1.42</v>
      </c>
      <c r="B50" s="93" t="s">
        <v>55</v>
      </c>
      <c r="C50" s="1" t="s">
        <v>239</v>
      </c>
      <c r="D50" s="5"/>
      <c r="E50" s="6">
        <f t="shared" si="37"/>
        <v>46093</v>
      </c>
      <c r="F50" s="7">
        <f t="shared" si="33"/>
        <v>46094</v>
      </c>
      <c r="G50" s="8">
        <v>2</v>
      </c>
      <c r="H50" s="9">
        <v>0</v>
      </c>
      <c r="I50" s="10">
        <f t="shared" si="34"/>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pans="1:66" s="1" customFormat="1" ht="18">
      <c r="A51" s="4" t="str">
        <f t="shared" si="14"/>
        <v>1.43</v>
      </c>
      <c r="B51" s="93" t="s">
        <v>56</v>
      </c>
      <c r="C51" s="1" t="s">
        <v>238</v>
      </c>
      <c r="D51" s="5"/>
      <c r="E51" s="6">
        <f t="shared" si="37"/>
        <v>46093</v>
      </c>
      <c r="F51" s="7">
        <f t="shared" si="33"/>
        <v>46094</v>
      </c>
      <c r="G51" s="8">
        <v>2</v>
      </c>
      <c r="H51" s="9">
        <v>0</v>
      </c>
      <c r="I51" s="10">
        <f t="shared" si="34"/>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pans="1:66" s="1" customFormat="1" ht="18">
      <c r="A52" s="4" t="str">
        <f t="shared" si="14"/>
        <v>1.44</v>
      </c>
      <c r="B52" s="119" t="s">
        <v>57</v>
      </c>
      <c r="C52" s="1" t="s">
        <v>239</v>
      </c>
      <c r="D52" s="5"/>
      <c r="E52" s="6">
        <f t="shared" si="37"/>
        <v>46095</v>
      </c>
      <c r="F52" s="7">
        <f t="shared" si="33"/>
        <v>46098</v>
      </c>
      <c r="G52" s="8">
        <v>4</v>
      </c>
      <c r="H52" s="9">
        <v>0</v>
      </c>
      <c r="I52" s="10">
        <f t="shared" si="34"/>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pans="1:66" s="1" customFormat="1" ht="18">
      <c r="A53" s="4" t="str">
        <f t="shared" si="14"/>
        <v>1.45</v>
      </c>
      <c r="B53" s="119" t="s">
        <v>58</v>
      </c>
      <c r="C53" s="1" t="s">
        <v>238</v>
      </c>
      <c r="D53" s="5"/>
      <c r="E53" s="6">
        <f t="shared" si="37"/>
        <v>46095</v>
      </c>
      <c r="F53" s="7">
        <f t="shared" si="33"/>
        <v>46098</v>
      </c>
      <c r="G53" s="8">
        <v>4</v>
      </c>
      <c r="H53" s="9">
        <v>0</v>
      </c>
      <c r="I53" s="10">
        <f t="shared" si="34"/>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pans="1:66" s="1" customFormat="1" ht="18">
      <c r="A54" s="4" t="str">
        <f t="shared" si="14"/>
        <v>1.46</v>
      </c>
      <c r="B54" s="119" t="s">
        <v>59</v>
      </c>
      <c r="C54" s="1" t="s">
        <v>239</v>
      </c>
      <c r="D54" s="5"/>
      <c r="E54" s="6">
        <f t="shared" si="37"/>
        <v>46099</v>
      </c>
      <c r="F54" s="7">
        <f t="shared" si="33"/>
        <v>46100</v>
      </c>
      <c r="G54" s="8">
        <v>2</v>
      </c>
      <c r="H54" s="9">
        <v>0</v>
      </c>
      <c r="I54" s="10">
        <f t="shared" si="34"/>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pans="1:66" s="1" customFormat="1" ht="18">
      <c r="A55" s="4" t="str">
        <f t="shared" si="14"/>
        <v>1.47</v>
      </c>
      <c r="B55" s="119" t="s">
        <v>60</v>
      </c>
      <c r="C55" s="1" t="s">
        <v>238</v>
      </c>
      <c r="D55" s="5"/>
      <c r="E55" s="6">
        <f t="shared" si="37"/>
        <v>46099</v>
      </c>
      <c r="F55" s="7">
        <f t="shared" si="33"/>
        <v>46100</v>
      </c>
      <c r="G55" s="8">
        <v>2</v>
      </c>
      <c r="H55" s="9">
        <v>0</v>
      </c>
      <c r="I55" s="10">
        <f t="shared" si="34"/>
        <v>2</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pans="1:66" s="1" customFormat="1" ht="18">
      <c r="A56" s="4" t="str">
        <f t="shared" si="14"/>
        <v>1.48</v>
      </c>
      <c r="B56" s="119" t="s">
        <v>61</v>
      </c>
      <c r="C56" s="1" t="s">
        <v>239</v>
      </c>
      <c r="D56" s="5"/>
      <c r="E56" s="6">
        <f>F54+9</f>
        <v>46109</v>
      </c>
      <c r="F56" s="7">
        <f t="shared" si="33"/>
        <v>46112</v>
      </c>
      <c r="G56" s="8">
        <v>4</v>
      </c>
      <c r="H56" s="9">
        <v>0</v>
      </c>
      <c r="I56" s="10">
        <f t="shared" si="34"/>
        <v>2</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pans="1:66" s="1" customFormat="1" ht="18">
      <c r="A57" s="4" t="str">
        <f t="shared" si="14"/>
        <v>1.49</v>
      </c>
      <c r="B57" s="93" t="s">
        <v>62</v>
      </c>
      <c r="C57" s="1" t="s">
        <v>238</v>
      </c>
      <c r="D57" s="5"/>
      <c r="E57" s="6">
        <f>F55+9</f>
        <v>46109</v>
      </c>
      <c r="F57" s="7">
        <f t="shared" si="33"/>
        <v>46112</v>
      </c>
      <c r="G57" s="8">
        <v>4</v>
      </c>
      <c r="H57" s="9">
        <v>0</v>
      </c>
      <c r="I57" s="10">
        <f t="shared" si="34"/>
        <v>2</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pans="1:66" s="1" customFormat="1" ht="18">
      <c r="A58" s="4" t="str">
        <f t="shared" si="14"/>
        <v>1.50</v>
      </c>
      <c r="B58" s="119" t="s">
        <v>63</v>
      </c>
      <c r="C58" s="1" t="s">
        <v>239</v>
      </c>
      <c r="D58" s="5"/>
      <c r="E58" s="6">
        <f>F56+1</f>
        <v>46113</v>
      </c>
      <c r="F58" s="7">
        <f t="shared" si="33"/>
        <v>46114</v>
      </c>
      <c r="G58" s="8">
        <v>2</v>
      </c>
      <c r="H58" s="9">
        <v>0</v>
      </c>
      <c r="I58" s="10">
        <f t="shared" si="34"/>
        <v>2</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pans="1:66" s="1" customFormat="1" ht="18">
      <c r="A59" s="4" t="str">
        <f t="shared" si="14"/>
        <v>1.51</v>
      </c>
      <c r="B59" s="105" t="s">
        <v>51</v>
      </c>
      <c r="C59" s="106" t="s">
        <v>237</v>
      </c>
      <c r="D59" s="5"/>
      <c r="E59" s="6">
        <f>F57+1</f>
        <v>46113</v>
      </c>
      <c r="F59" s="7">
        <f>IF(ISBLANK(E59)," - ",IF(G59=0,E59,E59+G59-1))</f>
        <v>46114</v>
      </c>
      <c r="G59" s="8">
        <v>2</v>
      </c>
      <c r="H59" s="9">
        <v>0</v>
      </c>
      <c r="I59" s="10">
        <f>IF(OR(F59=0,E59=0)," - ",NETWORKDAYS(E59,F59))</f>
        <v>2</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pans="1:66" s="1" customFormat="1" ht="18">
      <c r="A60" s="4" t="str">
        <f t="shared" si="14"/>
        <v>1.52</v>
      </c>
      <c r="B60" s="93" t="s">
        <v>65</v>
      </c>
      <c r="C60" s="1" t="s">
        <v>239</v>
      </c>
      <c r="D60" s="5"/>
      <c r="E60" s="6">
        <f>F58+1</f>
        <v>46115</v>
      </c>
      <c r="F60" s="7">
        <f t="shared" si="33"/>
        <v>46118</v>
      </c>
      <c r="G60" s="8">
        <v>4</v>
      </c>
      <c r="H60" s="9">
        <v>0</v>
      </c>
      <c r="I60" s="10">
        <f t="shared" si="34"/>
        <v>2</v>
      </c>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2" spans="1:66" s="1" customFormat="1" ht="18">
      <c r="A62" s="4"/>
      <c r="B62" s="93"/>
      <c r="D62" s="5"/>
      <c r="E62" s="6"/>
      <c r="F62" s="7"/>
      <c r="G62" s="8"/>
      <c r="H62" s="9"/>
      <c r="I62" s="10"/>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1" customFormat="1" ht="18">
      <c r="A63" s="4"/>
      <c r="B63" s="93"/>
      <c r="D63" s="5"/>
      <c r="E63" s="6"/>
      <c r="F63" s="7"/>
      <c r="G63" s="8"/>
      <c r="H63" s="9"/>
      <c r="I63" s="10"/>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1" customFormat="1" ht="18">
      <c r="A64" s="4"/>
      <c r="B64" s="93"/>
      <c r="D64" s="5"/>
      <c r="E64" s="6"/>
      <c r="F64" s="7"/>
      <c r="G64" s="8"/>
      <c r="H64" s="9"/>
      <c r="I64" s="10"/>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1" customFormat="1" ht="18">
      <c r="A65" s="4"/>
      <c r="B65" s="93"/>
      <c r="D65" s="5"/>
      <c r="E65" s="6"/>
      <c r="F65" s="7"/>
      <c r="G65" s="8"/>
      <c r="H65" s="9"/>
      <c r="I65" s="10"/>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1" customFormat="1" ht="18">
      <c r="A66" s="4"/>
      <c r="B66" s="93"/>
      <c r="D66" s="5"/>
      <c r="E66" s="6"/>
      <c r="F66" s="7"/>
      <c r="G66" s="8"/>
      <c r="H66" s="9"/>
      <c r="I66" s="10"/>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1" customFormat="1" ht="18">
      <c r="A67" s="4"/>
      <c r="B67" s="93"/>
      <c r="D67" s="5"/>
      <c r="E67" s="6"/>
      <c r="F67" s="7"/>
      <c r="G67" s="8"/>
      <c r="H67" s="9"/>
      <c r="I67" s="10"/>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1" customFormat="1" ht="18">
      <c r="A68" s="4"/>
      <c r="B68" s="93"/>
      <c r="D68" s="5"/>
      <c r="E68" s="6"/>
      <c r="F68" s="7"/>
      <c r="G68" s="8"/>
      <c r="H68" s="9"/>
      <c r="I68" s="10"/>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1" customFormat="1" ht="18">
      <c r="A69" s="4"/>
      <c r="B69" s="93"/>
      <c r="D69" s="5"/>
      <c r="E69" s="6"/>
      <c r="F69" s="7"/>
      <c r="G69" s="8"/>
      <c r="H69" s="9"/>
      <c r="I69" s="10"/>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1" customFormat="1" ht="18">
      <c r="A70" s="4"/>
      <c r="B70" s="93"/>
      <c r="D70" s="5"/>
      <c r="E70" s="6"/>
      <c r="F70" s="7"/>
      <c r="G70" s="8"/>
      <c r="H70" s="9"/>
      <c r="I70" s="10"/>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1" customFormat="1" ht="18">
      <c r="A71" s="4"/>
      <c r="B71" s="93"/>
      <c r="D71" s="5"/>
      <c r="E71" s="6"/>
      <c r="F71" s="7"/>
      <c r="G71" s="8"/>
      <c r="H71" s="9"/>
      <c r="I71" s="10"/>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1" customFormat="1" ht="18">
      <c r="A72" s="4"/>
      <c r="B72" s="93"/>
      <c r="D72" s="5"/>
      <c r="E72" s="6"/>
      <c r="F72" s="7"/>
      <c r="G72" s="8"/>
      <c r="H72" s="9"/>
      <c r="I72" s="10"/>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1" customFormat="1" ht="18">
      <c r="A73" s="4"/>
      <c r="B73" s="93"/>
      <c r="D73" s="5"/>
      <c r="E73" s="6"/>
      <c r="F73" s="7"/>
      <c r="G73" s="8"/>
      <c r="H73" s="9"/>
      <c r="I73" s="10"/>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1" customFormat="1" ht="18">
      <c r="A74" s="4"/>
      <c r="B74" s="93"/>
      <c r="D74" s="5"/>
      <c r="E74" s="6"/>
      <c r="F74" s="7"/>
      <c r="G74" s="8"/>
      <c r="H74" s="9"/>
      <c r="I74" s="10"/>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pans="1:66" s="1" customFormat="1" ht="18">
      <c r="A75" s="4"/>
      <c r="B75" s="93"/>
      <c r="D75" s="5"/>
      <c r="E75" s="6"/>
      <c r="F75" s="7"/>
      <c r="G75" s="8"/>
      <c r="H75" s="9"/>
      <c r="I75" s="10"/>
      <c r="J75" s="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pans="1:66" s="55" customFormat="1" ht="18" hidden="1">
      <c r="A76" s="94" t="str">
        <f>IF(ISERROR(VALUE(SUBSTITUTE(prevWBS,".",""))),"1",IF(ISERROR(FIND("`",SUBSTITUTE(prevWBS,".","`",1))),TEXT(VALUE(prevWBS)+1,"#"),TEXT(VALUE(LEFT(prevWBS,FIND("`",SUBSTITUTE(prevWBS,".","`",1))-1))+1,"#")))</f>
        <v>1</v>
      </c>
      <c r="B76" s="95" t="s">
        <v>66</v>
      </c>
      <c r="D76" s="96"/>
      <c r="E76" s="97"/>
      <c r="F76" s="97" t="str">
        <f t="shared" ref="F76:F81" si="38">IF(ISBLANK(E76)," - ",IF(G76=0,E76,E76+G76-1))</f>
        <v xml:space="preserve"> - </v>
      </c>
      <c r="G76" s="98"/>
      <c r="H76" s="99"/>
      <c r="I76" s="100" t="str">
        <f t="shared" ref="I76:I81" si="39">IF(OR(F76=0,E76=0)," - ",NETWORKDAYS(E76,F76))</f>
        <v xml:space="preserve"> - </v>
      </c>
      <c r="J76" s="101"/>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row>
    <row r="77" spans="1:66" s="1" customFormat="1" ht="18" hidden="1">
      <c r="A77" s="4" t="str">
        <f t="shared" ref="A77:A115" si="4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93" t="s">
        <v>67</v>
      </c>
      <c r="C77" s="1" t="s">
        <v>68</v>
      </c>
      <c r="D77" s="5"/>
      <c r="E77" s="6">
        <v>46057</v>
      </c>
      <c r="F77" s="7">
        <f t="shared" si="38"/>
        <v>46063</v>
      </c>
      <c r="G77" s="8">
        <v>7</v>
      </c>
      <c r="H77" s="9">
        <v>0</v>
      </c>
      <c r="I77" s="10">
        <f t="shared" si="39"/>
        <v>5</v>
      </c>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1" customFormat="1" ht="18" hidden="1">
      <c r="A78" s="4" t="str">
        <f t="shared" si="40"/>
        <v>1.2</v>
      </c>
      <c r="B78" s="93" t="s">
        <v>69</v>
      </c>
      <c r="C78" s="1" t="s">
        <v>19</v>
      </c>
      <c r="D78" s="5"/>
      <c r="E78" s="6">
        <v>46064</v>
      </c>
      <c r="F78" s="7">
        <f t="shared" si="38"/>
        <v>46070</v>
      </c>
      <c r="G78" s="8">
        <v>7</v>
      </c>
      <c r="H78" s="9">
        <v>0</v>
      </c>
      <c r="I78" s="10">
        <f t="shared" si="39"/>
        <v>5</v>
      </c>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1" customFormat="1" ht="44.25" hidden="1" customHeight="1">
      <c r="A79" s="4" t="str">
        <f t="shared" si="40"/>
        <v>1.3</v>
      </c>
      <c r="B79" s="93" t="s">
        <v>70</v>
      </c>
      <c r="C79" s="1" t="s">
        <v>27</v>
      </c>
      <c r="D79" s="5"/>
      <c r="E79" s="6">
        <v>46064</v>
      </c>
      <c r="F79" s="7">
        <f t="shared" si="38"/>
        <v>46070</v>
      </c>
      <c r="G79" s="8">
        <v>7</v>
      </c>
      <c r="H79" s="9">
        <v>0</v>
      </c>
      <c r="I79" s="10">
        <f t="shared" si="39"/>
        <v>5</v>
      </c>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1" customFormat="1" ht="18" hidden="1">
      <c r="A80" s="4" t="str">
        <f t="shared" si="40"/>
        <v>1.4</v>
      </c>
      <c r="B80" s="93" t="s">
        <v>71</v>
      </c>
      <c r="C80" s="1" t="s">
        <v>19</v>
      </c>
      <c r="D80" s="5"/>
      <c r="E80" s="6">
        <v>46071</v>
      </c>
      <c r="F80" s="7">
        <f t="shared" si="38"/>
        <v>46077</v>
      </c>
      <c r="G80" s="8">
        <v>7</v>
      </c>
      <c r="H80" s="9">
        <v>0</v>
      </c>
      <c r="I80" s="10">
        <f t="shared" si="39"/>
        <v>5</v>
      </c>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1" customFormat="1" ht="18" hidden="1">
      <c r="A81" s="4" t="str">
        <f t="shared" si="40"/>
        <v>1.5</v>
      </c>
      <c r="B81" s="93" t="s">
        <v>72</v>
      </c>
      <c r="C81" s="1" t="s">
        <v>27</v>
      </c>
      <c r="D81" s="5"/>
      <c r="E81" s="6">
        <v>46071</v>
      </c>
      <c r="F81" s="7">
        <f t="shared" si="38"/>
        <v>46077</v>
      </c>
      <c r="G81" s="8">
        <v>7</v>
      </c>
      <c r="H81" s="9">
        <v>0</v>
      </c>
      <c r="I81" s="10">
        <f t="shared" si="39"/>
        <v>5</v>
      </c>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1" customFormat="1" ht="18" hidden="1">
      <c r="A82" s="4" t="str">
        <f t="shared" si="40"/>
        <v>1.6</v>
      </c>
      <c r="B82" s="93" t="s">
        <v>73</v>
      </c>
      <c r="C82" s="1" t="s">
        <v>19</v>
      </c>
      <c r="D82" s="5"/>
      <c r="E82" s="6">
        <v>46078</v>
      </c>
      <c r="F82" s="7">
        <f t="shared" ref="F82:F96" si="41">IF(ISBLANK(E82)," - ",IF(G82=0,E82,E82+G82-1))</f>
        <v>46084</v>
      </c>
      <c r="G82" s="8">
        <v>7</v>
      </c>
      <c r="H82" s="9">
        <v>0</v>
      </c>
      <c r="I82" s="10">
        <f t="shared" ref="I82:I96" si="42">IF(OR(F82=0,E82=0)," - ",NETWORKDAYS(E82,F82))</f>
        <v>5</v>
      </c>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1" customFormat="1" ht="18" hidden="1">
      <c r="A83" s="4" t="str">
        <f t="shared" si="40"/>
        <v>1.7</v>
      </c>
      <c r="B83" s="93" t="s">
        <v>74</v>
      </c>
      <c r="C83" s="1" t="s">
        <v>27</v>
      </c>
      <c r="D83" s="5"/>
      <c r="E83" s="6">
        <v>46078</v>
      </c>
      <c r="F83" s="7">
        <f t="shared" si="41"/>
        <v>46084</v>
      </c>
      <c r="G83" s="8">
        <v>7</v>
      </c>
      <c r="H83" s="9">
        <v>0</v>
      </c>
      <c r="I83" s="10">
        <f t="shared" si="42"/>
        <v>5</v>
      </c>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1" customFormat="1" ht="18" hidden="1">
      <c r="A84" s="4" t="str">
        <f t="shared" si="40"/>
        <v>1.8</v>
      </c>
      <c r="B84" s="93" t="s">
        <v>75</v>
      </c>
      <c r="C84" s="1" t="s">
        <v>76</v>
      </c>
      <c r="D84" s="5"/>
      <c r="E84" s="6">
        <v>46057</v>
      </c>
      <c r="F84" s="7">
        <f t="shared" si="41"/>
        <v>46063</v>
      </c>
      <c r="G84" s="8">
        <v>7</v>
      </c>
      <c r="H84" s="9">
        <v>0</v>
      </c>
      <c r="I84" s="10">
        <f t="shared" si="42"/>
        <v>5</v>
      </c>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1" customFormat="1" ht="18" hidden="1">
      <c r="A85" s="4" t="str">
        <f t="shared" si="40"/>
        <v>1.9</v>
      </c>
      <c r="B85" s="93" t="s">
        <v>77</v>
      </c>
      <c r="C85" s="1" t="s">
        <v>19</v>
      </c>
      <c r="D85" s="5"/>
      <c r="E85" s="6">
        <v>46085</v>
      </c>
      <c r="F85" s="7">
        <f t="shared" si="41"/>
        <v>46091</v>
      </c>
      <c r="G85" s="8">
        <v>7</v>
      </c>
      <c r="H85" s="9">
        <v>0</v>
      </c>
      <c r="I85" s="10">
        <f t="shared" si="42"/>
        <v>5</v>
      </c>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1" customFormat="1" ht="18" hidden="1">
      <c r="A86" s="4" t="str">
        <f t="shared" si="40"/>
        <v>1.10</v>
      </c>
      <c r="B86" s="93" t="s">
        <v>78</v>
      </c>
      <c r="C86" s="1" t="s">
        <v>27</v>
      </c>
      <c r="D86" s="5"/>
      <c r="E86" s="6">
        <v>46085</v>
      </c>
      <c r="F86" s="7">
        <f t="shared" si="41"/>
        <v>46091</v>
      </c>
      <c r="G86" s="8">
        <v>7</v>
      </c>
      <c r="H86" s="9">
        <v>0</v>
      </c>
      <c r="I86" s="10">
        <f t="shared" si="42"/>
        <v>5</v>
      </c>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 customFormat="1" ht="18" hidden="1">
      <c r="A87" s="4" t="str">
        <f t="shared" si="40"/>
        <v>1.11</v>
      </c>
      <c r="B87" s="93" t="s">
        <v>79</v>
      </c>
      <c r="C87" s="1" t="s">
        <v>27</v>
      </c>
      <c r="D87" s="5"/>
      <c r="E87" s="6">
        <v>46092</v>
      </c>
      <c r="F87" s="7">
        <f t="shared" si="41"/>
        <v>46098</v>
      </c>
      <c r="G87" s="8">
        <v>7</v>
      </c>
      <c r="H87" s="9">
        <v>0</v>
      </c>
      <c r="I87" s="10">
        <f t="shared" si="42"/>
        <v>5</v>
      </c>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 customFormat="1" ht="18" hidden="1">
      <c r="A88" s="4" t="str">
        <f t="shared" si="40"/>
        <v>1.12</v>
      </c>
      <c r="B88" s="93" t="s">
        <v>80</v>
      </c>
      <c r="C88" s="1" t="s">
        <v>19</v>
      </c>
      <c r="D88" s="5"/>
      <c r="E88" s="6">
        <v>46092</v>
      </c>
      <c r="F88" s="7">
        <f t="shared" si="41"/>
        <v>46098</v>
      </c>
      <c r="G88" s="8">
        <v>7</v>
      </c>
      <c r="H88" s="9">
        <v>0</v>
      </c>
      <c r="I88" s="10">
        <f t="shared" si="42"/>
        <v>5</v>
      </c>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1" customFormat="1" ht="18" hidden="1">
      <c r="A89" s="4" t="str">
        <f t="shared" si="40"/>
        <v>1.13</v>
      </c>
      <c r="B89" s="93" t="s">
        <v>81</v>
      </c>
      <c r="C89" s="1" t="s">
        <v>27</v>
      </c>
      <c r="D89" s="5"/>
      <c r="E89" s="6">
        <v>46099</v>
      </c>
      <c r="F89" s="7">
        <f t="shared" si="41"/>
        <v>46105</v>
      </c>
      <c r="G89" s="8">
        <v>7</v>
      </c>
      <c r="H89" s="9">
        <v>0</v>
      </c>
      <c r="I89" s="10">
        <f t="shared" si="42"/>
        <v>5</v>
      </c>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1" customFormat="1" ht="18" hidden="1">
      <c r="A90" s="4" t="str">
        <f t="shared" si="40"/>
        <v>1.14</v>
      </c>
      <c r="B90" s="93" t="s">
        <v>82</v>
      </c>
      <c r="C90" s="1" t="s">
        <v>27</v>
      </c>
      <c r="D90" s="5"/>
      <c r="E90" s="6">
        <v>46106</v>
      </c>
      <c r="F90" s="7">
        <f t="shared" ref="F90" si="43">IF(ISBLANK(E90)," - ",IF(G90=0,E90,E90+G90-1))</f>
        <v>46112</v>
      </c>
      <c r="G90" s="8">
        <v>7</v>
      </c>
      <c r="H90" s="9">
        <v>0</v>
      </c>
      <c r="I90" s="10">
        <f t="shared" ref="I90" si="44">IF(OR(F90=0,E90=0)," - ",NETWORKDAYS(E90,F90))</f>
        <v>5</v>
      </c>
      <c r="J90" s="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s="1" customFormat="1" ht="18" hidden="1">
      <c r="A91" s="4" t="str">
        <f t="shared" si="40"/>
        <v>1.15</v>
      </c>
      <c r="B91" s="93" t="s">
        <v>83</v>
      </c>
      <c r="C91" s="1" t="s">
        <v>27</v>
      </c>
      <c r="D91" s="5"/>
      <c r="E91" s="6">
        <v>46106</v>
      </c>
      <c r="F91" s="7">
        <f t="shared" ref="F91" si="45">IF(ISBLANK(E91)," - ",IF(G91=0,E91,E91+G91-1))</f>
        <v>46112</v>
      </c>
      <c r="G91" s="8">
        <v>7</v>
      </c>
      <c r="H91" s="9">
        <v>0</v>
      </c>
      <c r="I91" s="10">
        <f t="shared" ref="I91" si="46">IF(OR(F91=0,E91=0)," - ",NETWORKDAYS(E91,F91))</f>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1" customFormat="1" ht="18" hidden="1">
      <c r="A92" s="4" t="str">
        <f t="shared" si="40"/>
        <v>1.16</v>
      </c>
      <c r="B92" s="93" t="s">
        <v>84</v>
      </c>
      <c r="C92" s="1" t="s">
        <v>27</v>
      </c>
      <c r="D92" s="5"/>
      <c r="E92" s="6">
        <v>46113</v>
      </c>
      <c r="F92" s="7">
        <f t="shared" si="41"/>
        <v>46119</v>
      </c>
      <c r="G92" s="8">
        <v>7</v>
      </c>
      <c r="H92" s="9">
        <v>0</v>
      </c>
      <c r="I92" s="10">
        <f t="shared" si="42"/>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1" customFormat="1" ht="18" hidden="1">
      <c r="A93" s="4" t="str">
        <f t="shared" si="40"/>
        <v>1.17</v>
      </c>
      <c r="B93" s="93" t="s">
        <v>85</v>
      </c>
      <c r="C93" s="1" t="s">
        <v>19</v>
      </c>
      <c r="D93" s="5"/>
      <c r="E93" s="6">
        <v>46113</v>
      </c>
      <c r="F93" s="7">
        <f t="shared" si="41"/>
        <v>46119</v>
      </c>
      <c r="G93" s="8">
        <v>7</v>
      </c>
      <c r="H93" s="9">
        <v>0</v>
      </c>
      <c r="I93" s="10">
        <f t="shared" si="42"/>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1" customFormat="1" ht="18" hidden="1">
      <c r="A94" s="4" t="str">
        <f t="shared" si="40"/>
        <v>1.18</v>
      </c>
      <c r="B94" s="93" t="s">
        <v>86</v>
      </c>
      <c r="C94" s="1" t="s">
        <v>27</v>
      </c>
      <c r="D94" s="5"/>
      <c r="E94" s="6">
        <v>46120</v>
      </c>
      <c r="F94" s="7">
        <f t="shared" si="41"/>
        <v>46126</v>
      </c>
      <c r="G94" s="8">
        <v>7</v>
      </c>
      <c r="H94" s="9">
        <v>0</v>
      </c>
      <c r="I94" s="10">
        <f t="shared" si="42"/>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1" customFormat="1" ht="18" hidden="1">
      <c r="A95" s="4" t="str">
        <f t="shared" si="40"/>
        <v>1.19</v>
      </c>
      <c r="B95" s="93" t="s">
        <v>87</v>
      </c>
      <c r="C95" s="1" t="s">
        <v>19</v>
      </c>
      <c r="D95" s="5"/>
      <c r="E95" s="6">
        <v>46120</v>
      </c>
      <c r="F95" s="7">
        <f t="shared" si="41"/>
        <v>46126</v>
      </c>
      <c r="G95" s="8">
        <v>7</v>
      </c>
      <c r="H95" s="9">
        <v>0</v>
      </c>
      <c r="I95" s="10">
        <f t="shared" si="42"/>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1" customFormat="1" ht="18" hidden="1">
      <c r="A96" s="4" t="str">
        <f t="shared" si="40"/>
        <v>1.20</v>
      </c>
      <c r="B96" s="93" t="s">
        <v>88</v>
      </c>
      <c r="C96" s="1" t="s">
        <v>27</v>
      </c>
      <c r="D96" s="5"/>
      <c r="E96" s="6">
        <v>46127</v>
      </c>
      <c r="F96" s="7">
        <f t="shared" si="41"/>
        <v>46133</v>
      </c>
      <c r="G96" s="8">
        <v>7</v>
      </c>
      <c r="H96" s="9">
        <v>0</v>
      </c>
      <c r="I96" s="10">
        <f t="shared" si="42"/>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1" customFormat="1" ht="18" hidden="1">
      <c r="A97" s="4" t="str">
        <f t="shared" si="40"/>
        <v>1.21</v>
      </c>
      <c r="B97" s="93" t="s">
        <v>89</v>
      </c>
      <c r="C97" s="1" t="s">
        <v>19</v>
      </c>
      <c r="D97" s="5"/>
      <c r="E97" s="6">
        <v>46127</v>
      </c>
      <c r="F97" s="7">
        <f t="shared" ref="F97:F107" si="47">IF(ISBLANK(E97)," - ",IF(G97=0,E97,E97+G97-1))</f>
        <v>46133</v>
      </c>
      <c r="G97" s="8">
        <v>7</v>
      </c>
      <c r="H97" s="9">
        <v>0</v>
      </c>
      <c r="I97" s="10">
        <f t="shared" ref="I97:I105" si="48">IF(OR(F97=0,E97=0)," - ",NETWORKDAYS(E97,F97))</f>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1" customFormat="1" ht="18" hidden="1">
      <c r="A98" s="4" t="str">
        <f t="shared" si="40"/>
        <v>1.22</v>
      </c>
      <c r="B98" s="93" t="s">
        <v>90</v>
      </c>
      <c r="C98" s="1" t="s">
        <v>27</v>
      </c>
      <c r="D98" s="5"/>
      <c r="E98" s="6">
        <v>46134</v>
      </c>
      <c r="F98" s="7">
        <f t="shared" si="47"/>
        <v>46140</v>
      </c>
      <c r="G98" s="8">
        <v>7</v>
      </c>
      <c r="H98" s="9">
        <v>0</v>
      </c>
      <c r="I98" s="10">
        <f t="shared" si="48"/>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1" customFormat="1" ht="18" hidden="1">
      <c r="A99" s="4" t="str">
        <f t="shared" si="40"/>
        <v>1.23</v>
      </c>
      <c r="B99" s="93" t="s">
        <v>91</v>
      </c>
      <c r="C99" s="1" t="s">
        <v>19</v>
      </c>
      <c r="D99" s="5"/>
      <c r="E99" s="6">
        <v>46134</v>
      </c>
      <c r="F99" s="7">
        <f t="shared" ref="F99:F100" si="49">IF(ISBLANK(E99)," - ",IF(G99=0,E99,E99+G99-1))</f>
        <v>46140</v>
      </c>
      <c r="G99" s="8">
        <v>7</v>
      </c>
      <c r="H99" s="9">
        <v>0</v>
      </c>
      <c r="I99" s="10">
        <f t="shared" ref="I99:I100" si="50">IF(OR(F99=0,E99=0)," - ",NETWORKDAYS(E99,F99))</f>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1" customFormat="1" ht="18" hidden="1">
      <c r="A100" s="4" t="str">
        <f t="shared" si="40"/>
        <v>1.24</v>
      </c>
      <c r="B100" s="93" t="s">
        <v>92</v>
      </c>
      <c r="C100" s="1" t="s">
        <v>27</v>
      </c>
      <c r="D100" s="5"/>
      <c r="E100" s="6">
        <v>46141</v>
      </c>
      <c r="F100" s="7">
        <f t="shared" si="49"/>
        <v>46147</v>
      </c>
      <c r="G100" s="8">
        <v>7</v>
      </c>
      <c r="H100" s="9">
        <v>0</v>
      </c>
      <c r="I100" s="10">
        <f t="shared" si="50"/>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1" customFormat="1" ht="18" hidden="1">
      <c r="A101" s="4" t="str">
        <f t="shared" si="40"/>
        <v>1.25</v>
      </c>
      <c r="B101" s="93" t="s">
        <v>93</v>
      </c>
      <c r="C101" s="1" t="s">
        <v>27</v>
      </c>
      <c r="D101" s="5"/>
      <c r="E101" s="6">
        <v>46141</v>
      </c>
      <c r="F101" s="7">
        <f t="shared" ref="F101:F103" si="51">IF(ISBLANK(E101)," - ",IF(G101=0,E101,E101+G101-1))</f>
        <v>46147</v>
      </c>
      <c r="G101" s="8">
        <v>7</v>
      </c>
      <c r="H101" s="9">
        <v>0</v>
      </c>
      <c r="I101" s="10">
        <f t="shared" ref="I101:I103" si="52">IF(OR(F101=0,E101=0)," - ",NETWORKDAYS(E101,F101))</f>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 customFormat="1" ht="18" hidden="1">
      <c r="A102" s="4" t="str">
        <f t="shared" si="40"/>
        <v>1.26</v>
      </c>
      <c r="B102" s="93" t="s">
        <v>94</v>
      </c>
      <c r="C102" s="1" t="s">
        <v>27</v>
      </c>
      <c r="D102" s="5"/>
      <c r="E102" s="6">
        <v>46148</v>
      </c>
      <c r="F102" s="7">
        <f t="shared" si="51"/>
        <v>46154</v>
      </c>
      <c r="G102" s="8">
        <v>7</v>
      </c>
      <c r="H102" s="9">
        <v>0</v>
      </c>
      <c r="I102" s="10">
        <f t="shared" si="52"/>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1" customFormat="1" ht="18" hidden="1">
      <c r="A103" s="4" t="str">
        <f t="shared" si="40"/>
        <v>1.27</v>
      </c>
      <c r="B103" s="93" t="s">
        <v>95</v>
      </c>
      <c r="C103" s="1" t="s">
        <v>27</v>
      </c>
      <c r="D103" s="5"/>
      <c r="E103" s="6">
        <v>46148</v>
      </c>
      <c r="F103" s="7">
        <f t="shared" si="51"/>
        <v>46154</v>
      </c>
      <c r="G103" s="8">
        <v>7</v>
      </c>
      <c r="H103" s="9">
        <v>0</v>
      </c>
      <c r="I103" s="10">
        <f t="shared" si="52"/>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55" customFormat="1" ht="18" hidden="1">
      <c r="A104" s="94" t="str">
        <f>IF(ISERROR(VALUE(SUBSTITUTE(prevWBS,".",""))),"1",IF(ISERROR(FIND("`",SUBSTITUTE(prevWBS,".","`",1))),TEXT(VALUE(prevWBS)+1,"#"),TEXT(VALUE(LEFT(prevWBS,FIND("`",SUBSTITUTE(prevWBS,".","`",1))-1))+1,"#")))</f>
        <v>2</v>
      </c>
      <c r="B104" s="95" t="s">
        <v>96</v>
      </c>
      <c r="D104" s="96"/>
      <c r="E104" s="97"/>
      <c r="F104" s="97" t="str">
        <f t="shared" si="47"/>
        <v xml:space="preserve"> - </v>
      </c>
      <c r="G104" s="98"/>
      <c r="H104" s="99"/>
      <c r="I104" s="100" t="str">
        <f t="shared" si="48"/>
        <v xml:space="preserve"> - </v>
      </c>
      <c r="J104" s="101"/>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row>
    <row r="105" spans="1:66" s="1" customFormat="1" ht="18" hidden="1">
      <c r="A105" s="4" t="str">
        <f t="shared" si="40"/>
        <v>2.1</v>
      </c>
      <c r="B105" s="3" t="s">
        <v>97</v>
      </c>
      <c r="C105" s="1" t="s">
        <v>76</v>
      </c>
      <c r="D105" s="5"/>
      <c r="E105" s="6">
        <v>46034</v>
      </c>
      <c r="F105" s="7">
        <f t="shared" si="47"/>
        <v>46038</v>
      </c>
      <c r="G105" s="8">
        <v>5</v>
      </c>
      <c r="H105" s="9">
        <v>0</v>
      </c>
      <c r="I105" s="10">
        <f t="shared" si="48"/>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1" customFormat="1" ht="18" hidden="1">
      <c r="A106" s="4" t="str">
        <f t="shared" si="40"/>
        <v>2.2</v>
      </c>
      <c r="B106" s="3" t="s">
        <v>98</v>
      </c>
      <c r="C106" s="1" t="s">
        <v>99</v>
      </c>
      <c r="D106" s="5"/>
      <c r="E106" s="6">
        <v>46023</v>
      </c>
      <c r="F106" s="7">
        <f t="shared" si="47"/>
        <v>46032</v>
      </c>
      <c r="G106" s="8">
        <v>10</v>
      </c>
      <c r="H106" s="9">
        <v>0</v>
      </c>
      <c r="I106" s="10">
        <v>6</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1" customFormat="1" ht="45" hidden="1" customHeight="1">
      <c r="A107" s="4" t="str">
        <f t="shared" si="40"/>
        <v>2.3</v>
      </c>
      <c r="B107" s="3" t="s">
        <v>100</v>
      </c>
      <c r="C107" s="1" t="s">
        <v>68</v>
      </c>
      <c r="D107" s="5"/>
      <c r="E107" s="6">
        <v>46034</v>
      </c>
      <c r="F107" s="7">
        <f t="shared" si="47"/>
        <v>46038</v>
      </c>
      <c r="G107" s="8">
        <v>5</v>
      </c>
      <c r="H107" s="9">
        <v>0</v>
      </c>
      <c r="I107" s="10">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55" customFormat="1" ht="18" hidden="1">
      <c r="A108" s="94" t="str">
        <f>IF(ISERROR(VALUE(SUBSTITUTE(prevWBS,".",""))),"1",IF(ISERROR(FIND("`",SUBSTITUTE(prevWBS,".","`",1))),TEXT(VALUE(prevWBS)+1,"#"),TEXT(VALUE(LEFT(prevWBS,FIND("`",SUBSTITUTE(prevWBS,".","`",1))-1))+1,"#")))</f>
        <v>3</v>
      </c>
      <c r="B108" s="95" t="s">
        <v>101</v>
      </c>
      <c r="D108" s="96"/>
      <c r="E108" s="97"/>
      <c r="F108" s="97" t="str">
        <f t="shared" ref="F108:F113" si="53">IF(ISBLANK(E108)," - ",IF(G108=0,E108,E108+G108-1))</f>
        <v xml:space="preserve"> - </v>
      </c>
      <c r="G108" s="98"/>
      <c r="H108" s="99"/>
      <c r="I108" s="100" t="str">
        <f t="shared" ref="I108" si="54">IF(OR(F108=0,E108=0)," - ",NETWORKDAYS(E108,F108))</f>
        <v xml:space="preserve"> - </v>
      </c>
      <c r="J108" s="101"/>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row>
    <row r="109" spans="1:66" s="1" customFormat="1" ht="18" hidden="1">
      <c r="A109" s="4" t="str">
        <f t="shared" si="40"/>
        <v>3.1</v>
      </c>
      <c r="B109" s="3" t="s">
        <v>102</v>
      </c>
      <c r="C109" s="1" t="s">
        <v>76</v>
      </c>
      <c r="D109" s="5"/>
      <c r="E109" s="6">
        <v>46041</v>
      </c>
      <c r="F109" s="7">
        <f t="shared" si="53"/>
        <v>46044</v>
      </c>
      <c r="G109" s="8">
        <v>4</v>
      </c>
      <c r="H109" s="9">
        <v>0</v>
      </c>
      <c r="I109" s="10">
        <v>4</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 customFormat="1" ht="18" hidden="1">
      <c r="A110" s="4" t="str">
        <f t="shared" si="40"/>
        <v>3.2</v>
      </c>
      <c r="B110" s="3" t="s">
        <v>103</v>
      </c>
      <c r="C110" s="1" t="s">
        <v>68</v>
      </c>
      <c r="D110" s="5"/>
      <c r="E110" s="6">
        <v>46041</v>
      </c>
      <c r="F110" s="7">
        <f t="shared" si="53"/>
        <v>46044</v>
      </c>
      <c r="G110" s="8">
        <v>4</v>
      </c>
      <c r="H110" s="9">
        <v>0</v>
      </c>
      <c r="I110" s="10">
        <v>4</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1" customFormat="1" ht="18" hidden="1">
      <c r="A111" s="4" t="str">
        <f t="shared" si="40"/>
        <v>3.3</v>
      </c>
      <c r="B111" s="3" t="s">
        <v>104</v>
      </c>
      <c r="C111" s="1" t="s">
        <v>19</v>
      </c>
      <c r="D111" s="5"/>
      <c r="E111" s="6">
        <v>46045</v>
      </c>
      <c r="F111" s="7">
        <f t="shared" si="53"/>
        <v>46050</v>
      </c>
      <c r="G111" s="8">
        <v>6</v>
      </c>
      <c r="H111" s="9">
        <v>0</v>
      </c>
      <c r="I111" s="10">
        <v>4</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1" customFormat="1" ht="18" hidden="1">
      <c r="A112" s="4" t="str">
        <f t="shared" si="40"/>
        <v>3.4</v>
      </c>
      <c r="B112" s="3" t="s">
        <v>105</v>
      </c>
      <c r="C112" s="1" t="s">
        <v>19</v>
      </c>
      <c r="D112" s="5"/>
      <c r="E112" s="6">
        <v>46051</v>
      </c>
      <c r="F112" s="7">
        <f t="shared" si="53"/>
        <v>46056</v>
      </c>
      <c r="G112" s="8">
        <v>6</v>
      </c>
      <c r="H112" s="9">
        <v>0</v>
      </c>
      <c r="I112" s="10">
        <v>4</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1" customFormat="1" ht="18" hidden="1">
      <c r="A113" s="4" t="str">
        <f t="shared" si="40"/>
        <v>3.5</v>
      </c>
      <c r="B113" s="3" t="s">
        <v>106</v>
      </c>
      <c r="C113" s="1" t="s">
        <v>27</v>
      </c>
      <c r="D113" s="5"/>
      <c r="E113" s="6">
        <v>46045</v>
      </c>
      <c r="F113" s="7">
        <f t="shared" si="53"/>
        <v>46050</v>
      </c>
      <c r="G113" s="8">
        <v>6</v>
      </c>
      <c r="H113" s="9">
        <v>0</v>
      </c>
      <c r="I113" s="10">
        <v>4</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55" customFormat="1" ht="18" hidden="1">
      <c r="A114" s="94" t="str">
        <f>IF(ISERROR(VALUE(SUBSTITUTE(prevWBS,".",""))),"1",IF(ISERROR(FIND("`",SUBSTITUTE(prevWBS,".","`",1))),TEXT(VALUE(prevWBS)+1,"#"),TEXT(VALUE(LEFT(prevWBS,FIND("`",SUBSTITUTE(prevWBS,".","`",1))-1))+1,"#")))</f>
        <v>4</v>
      </c>
      <c r="B114" s="95" t="s">
        <v>107</v>
      </c>
      <c r="D114" s="96"/>
      <c r="E114" s="97"/>
      <c r="F114" s="97" t="str">
        <f t="shared" ref="F114:F115" si="55">IF(ISBLANK(E114)," - ",IF(G114=0,E114,E114+G114-1))</f>
        <v xml:space="preserve"> - </v>
      </c>
      <c r="G114" s="98"/>
      <c r="H114" s="99"/>
      <c r="I114" s="100" t="str">
        <f t="shared" ref="I114" si="56">IF(OR(F114=0,E114=0)," - ",NETWORKDAYS(E114,F114))</f>
        <v xml:space="preserve"> - </v>
      </c>
      <c r="J114" s="101"/>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row>
    <row r="115" spans="1:66" s="1" customFormat="1" ht="18" hidden="1">
      <c r="A115" s="4" t="str">
        <f t="shared" si="40"/>
        <v>4.1</v>
      </c>
      <c r="B115" s="3" t="s">
        <v>108</v>
      </c>
      <c r="C115" s="1" t="s">
        <v>76</v>
      </c>
      <c r="D115" s="5"/>
      <c r="E115" s="6">
        <v>46051</v>
      </c>
      <c r="F115" s="7">
        <f t="shared" si="55"/>
        <v>46056</v>
      </c>
      <c r="G115" s="8">
        <v>6</v>
      </c>
      <c r="H115" s="9">
        <v>0</v>
      </c>
      <c r="I115" s="10">
        <v>4</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AM5:AS5"/>
    <mergeCell ref="AT5:AZ5"/>
    <mergeCell ref="BA5:BG5"/>
    <mergeCell ref="BH5:BN5"/>
    <mergeCell ref="C5:E5"/>
    <mergeCell ref="K5:Q5"/>
    <mergeCell ref="R5:X5"/>
    <mergeCell ref="Y5:AE5"/>
    <mergeCell ref="AF5:AL5"/>
  </mergeCells>
  <conditionalFormatting sqref="H8:H10 H76:H81 H20:H31">
    <cfRule type="dataBar" priority="270">
      <dataBar>
        <cfvo type="num" val="0"/>
        <cfvo type="num" val="1"/>
        <color theme="0" tint="-0.34998626667073579"/>
      </dataBar>
      <extLst>
        <ext xmlns:x14="http://schemas.microsoft.com/office/spreadsheetml/2009/9/main" uri="{B025F937-C7B1-47D3-B67F-A62EFF666E3E}">
          <x14:id>{4383952B-9B0C-48C1-BFD1-691E8C27411D}</x14:id>
        </ext>
      </extLst>
    </cfRule>
  </conditionalFormatting>
  <conditionalFormatting sqref="H11">
    <cfRule type="dataBar" priority="157">
      <dataBar>
        <cfvo type="num" val="0"/>
        <cfvo type="num" val="1"/>
        <color theme="0" tint="-0.34998626667073579"/>
      </dataBar>
      <extLst>
        <ext xmlns:x14="http://schemas.microsoft.com/office/spreadsheetml/2009/9/main" uri="{B025F937-C7B1-47D3-B67F-A62EFF666E3E}">
          <x14:id>{7D2FC776-74D9-4476-9780-84A43220E42F}</x14:id>
        </ext>
      </extLst>
    </cfRule>
  </conditionalFormatting>
  <conditionalFormatting sqref="H12:H15">
    <cfRule type="dataBar" priority="153">
      <dataBar>
        <cfvo type="num" val="0"/>
        <cfvo type="num" val="1"/>
        <color theme="0" tint="-0.34998626667073579"/>
      </dataBar>
      <extLst>
        <ext xmlns:x14="http://schemas.microsoft.com/office/spreadsheetml/2009/9/main" uri="{B025F937-C7B1-47D3-B67F-A62EFF666E3E}">
          <x14:id>{BA172D67-6DFF-4677-A3D1-40A2430A387F}</x14:id>
        </ext>
      </extLst>
    </cfRule>
  </conditionalFormatting>
  <conditionalFormatting sqref="H16:H17">
    <cfRule type="dataBar" priority="149">
      <dataBar>
        <cfvo type="num" val="0"/>
        <cfvo type="num" val="1"/>
        <color theme="0" tint="-0.34998626667073579"/>
      </dataBar>
      <extLst>
        <ext xmlns:x14="http://schemas.microsoft.com/office/spreadsheetml/2009/9/main" uri="{B025F937-C7B1-47D3-B67F-A62EFF666E3E}">
          <x14:id>{7E3CD89A-2114-411B-8C8E-0AA4BF13E2A4}</x14:id>
        </ext>
      </extLst>
    </cfRule>
  </conditionalFormatting>
  <conditionalFormatting sqref="H18">
    <cfRule type="dataBar" priority="101">
      <dataBar>
        <cfvo type="num" val="0"/>
        <cfvo type="num" val="1"/>
        <color theme="0" tint="-0.34998626667073579"/>
      </dataBar>
      <extLst>
        <ext xmlns:x14="http://schemas.microsoft.com/office/spreadsheetml/2009/9/main" uri="{B025F937-C7B1-47D3-B67F-A62EFF666E3E}">
          <x14:id>{36078F53-EBDE-4057-850E-7A4D60ACB1D6}</x14:id>
        </ext>
      </extLst>
    </cfRule>
  </conditionalFormatting>
  <conditionalFormatting sqref="H19">
    <cfRule type="dataBar" priority="97">
      <dataBar>
        <cfvo type="num" val="0"/>
        <cfvo type="num" val="1"/>
        <color theme="0" tint="-0.34998626667073579"/>
      </dataBar>
      <extLst>
        <ext xmlns:x14="http://schemas.microsoft.com/office/spreadsheetml/2009/9/main" uri="{B025F937-C7B1-47D3-B67F-A62EFF666E3E}">
          <x14:id>{E1263A7A-36C1-43AA-9B99-9E3CA4833112}</x14:id>
        </ext>
      </extLst>
    </cfRule>
  </conditionalFormatting>
  <conditionalFormatting sqref="H32">
    <cfRule type="dataBar" priority="92">
      <dataBar>
        <cfvo type="num" val="0"/>
        <cfvo type="num" val="1"/>
        <color theme="0" tint="-0.34998626667073579"/>
      </dataBar>
      <extLst>
        <ext xmlns:x14="http://schemas.microsoft.com/office/spreadsheetml/2009/9/main" uri="{B025F937-C7B1-47D3-B67F-A62EFF666E3E}">
          <x14:id>{E8E036B3-6C34-4EB2-BB35-6528FB68960C}</x14:id>
        </ext>
      </extLst>
    </cfRule>
  </conditionalFormatting>
  <conditionalFormatting sqref="H33">
    <cfRule type="dataBar" priority="137">
      <dataBar>
        <cfvo type="num" val="0"/>
        <cfvo type="num" val="1"/>
        <color theme="0" tint="-0.34998626667073579"/>
      </dataBar>
      <extLst>
        <ext xmlns:x14="http://schemas.microsoft.com/office/spreadsheetml/2009/9/main" uri="{B025F937-C7B1-47D3-B67F-A62EFF666E3E}">
          <x14:id>{520363D3-0D56-4B9A-8359-C2748175D428}</x14:id>
        </ext>
      </extLst>
    </cfRule>
  </conditionalFormatting>
  <conditionalFormatting sqref="H34">
    <cfRule type="dataBar" priority="133">
      <dataBar>
        <cfvo type="num" val="0"/>
        <cfvo type="num" val="1"/>
        <color theme="0" tint="-0.34998626667073579"/>
      </dataBar>
      <extLst>
        <ext xmlns:x14="http://schemas.microsoft.com/office/spreadsheetml/2009/9/main" uri="{B025F937-C7B1-47D3-B67F-A62EFF666E3E}">
          <x14:id>{3DC39EB5-0FE9-4152-AD7C-C5462EB83545}</x14:id>
        </ext>
      </extLst>
    </cfRule>
  </conditionalFormatting>
  <conditionalFormatting sqref="H35">
    <cfRule type="dataBar" priority="129">
      <dataBar>
        <cfvo type="num" val="0"/>
        <cfvo type="num" val="1"/>
        <color theme="0" tint="-0.34998626667073579"/>
      </dataBar>
      <extLst>
        <ext xmlns:x14="http://schemas.microsoft.com/office/spreadsheetml/2009/9/main" uri="{B025F937-C7B1-47D3-B67F-A62EFF666E3E}">
          <x14:id>{035B067B-F147-496D-AFDF-02D831206D4C}</x14:id>
        </ext>
      </extLst>
    </cfRule>
  </conditionalFormatting>
  <conditionalFormatting sqref="H36">
    <cfRule type="dataBar" priority="125">
      <dataBar>
        <cfvo type="num" val="0"/>
        <cfvo type="num" val="1"/>
        <color theme="0" tint="-0.34998626667073579"/>
      </dataBar>
      <extLst>
        <ext xmlns:x14="http://schemas.microsoft.com/office/spreadsheetml/2009/9/main" uri="{B025F937-C7B1-47D3-B67F-A62EFF666E3E}">
          <x14:id>{A19C4530-FF9E-47A1-AE65-0A5BF7BDC7BC}</x14:id>
        </ext>
      </extLst>
    </cfRule>
  </conditionalFormatting>
  <conditionalFormatting sqref="H37">
    <cfRule type="dataBar" priority="121">
      <dataBar>
        <cfvo type="num" val="0"/>
        <cfvo type="num" val="1"/>
        <color theme="0" tint="-0.34998626667073579"/>
      </dataBar>
      <extLst>
        <ext xmlns:x14="http://schemas.microsoft.com/office/spreadsheetml/2009/9/main" uri="{B025F937-C7B1-47D3-B67F-A62EFF666E3E}">
          <x14:id>{5930C639-15C1-4DE9-97EC-1C3BB16DF75E}</x14:id>
        </ext>
      </extLst>
    </cfRule>
  </conditionalFormatting>
  <conditionalFormatting sqref="H38">
    <cfRule type="dataBar" priority="113">
      <dataBar>
        <cfvo type="num" val="0"/>
        <cfvo type="num" val="1"/>
        <color theme="0" tint="-0.34998626667073579"/>
      </dataBar>
      <extLst>
        <ext xmlns:x14="http://schemas.microsoft.com/office/spreadsheetml/2009/9/main" uri="{B025F937-C7B1-47D3-B67F-A62EFF666E3E}">
          <x14:id>{64AD2A66-F71A-4788-87AE-C9CB80E06B25}</x14:id>
        </ext>
      </extLst>
    </cfRule>
  </conditionalFormatting>
  <conditionalFormatting sqref="H39">
    <cfRule type="dataBar" priority="109">
      <dataBar>
        <cfvo type="num" val="0"/>
        <cfvo type="num" val="1"/>
        <color theme="0" tint="-0.34998626667073579"/>
      </dataBar>
      <extLst>
        <ext xmlns:x14="http://schemas.microsoft.com/office/spreadsheetml/2009/9/main" uri="{B025F937-C7B1-47D3-B67F-A62EFF666E3E}">
          <x14:id>{45FDE77E-8AB5-4130-9472-1FC251382A59}</x14:id>
        </ext>
      </extLst>
    </cfRule>
  </conditionalFormatting>
  <conditionalFormatting sqref="H62:H75 H40:H44 H46:H60">
    <cfRule type="dataBar" priority="105">
      <dataBar>
        <cfvo type="num" val="0"/>
        <cfvo type="num" val="1"/>
        <color theme="0" tint="-0.34998626667073579"/>
      </dataBar>
      <extLst>
        <ext xmlns:x14="http://schemas.microsoft.com/office/spreadsheetml/2009/9/main" uri="{B025F937-C7B1-47D3-B67F-A62EFF666E3E}">
          <x14:id>{CD16F3CA-7AF6-4A7D-B0D9-4C64148A3A33}</x14:id>
        </ext>
      </extLst>
    </cfRule>
  </conditionalFormatting>
  <conditionalFormatting sqref="H82:H86">
    <cfRule type="dataBar" priority="257">
      <dataBar>
        <cfvo type="num" val="0"/>
        <cfvo type="num" val="1"/>
        <color theme="0" tint="-0.34998626667073579"/>
      </dataBar>
      <extLst>
        <ext xmlns:x14="http://schemas.microsoft.com/office/spreadsheetml/2009/9/main" uri="{B025F937-C7B1-47D3-B67F-A62EFF666E3E}">
          <x14:id>{42371291-0D80-4E1E-9284-6142435A513E}</x14:id>
        </ext>
      </extLst>
    </cfRule>
  </conditionalFormatting>
  <conditionalFormatting sqref="H87:H89">
    <cfRule type="dataBar" priority="253">
      <dataBar>
        <cfvo type="num" val="0"/>
        <cfvo type="num" val="1"/>
        <color theme="0" tint="-0.34998626667073579"/>
      </dataBar>
      <extLst>
        <ext xmlns:x14="http://schemas.microsoft.com/office/spreadsheetml/2009/9/main" uri="{B025F937-C7B1-47D3-B67F-A62EFF666E3E}">
          <x14:id>{7E1F46DF-94D3-493F-8F62-1BBC80142C82}</x14:id>
        </ext>
      </extLst>
    </cfRule>
  </conditionalFormatting>
  <conditionalFormatting sqref="H90">
    <cfRule type="dataBar" priority="197">
      <dataBar>
        <cfvo type="num" val="0"/>
        <cfvo type="num" val="1"/>
        <color theme="0" tint="-0.34998626667073579"/>
      </dataBar>
      <extLst>
        <ext xmlns:x14="http://schemas.microsoft.com/office/spreadsheetml/2009/9/main" uri="{B025F937-C7B1-47D3-B67F-A62EFF666E3E}">
          <x14:id>{777DE504-C53C-40AD-B156-FC11B711CC19}</x14:id>
        </ext>
      </extLst>
    </cfRule>
  </conditionalFormatting>
  <conditionalFormatting sqref="H91">
    <cfRule type="dataBar" priority="193">
      <dataBar>
        <cfvo type="num" val="0"/>
        <cfvo type="num" val="1"/>
        <color theme="0" tint="-0.34998626667073579"/>
      </dataBar>
      <extLst>
        <ext xmlns:x14="http://schemas.microsoft.com/office/spreadsheetml/2009/9/main" uri="{B025F937-C7B1-47D3-B67F-A62EFF666E3E}">
          <x14:id>{8854B788-5316-4981-9484-0CC42B534E1C}</x14:id>
        </ext>
      </extLst>
    </cfRule>
  </conditionalFormatting>
  <conditionalFormatting sqref="H92:H96">
    <cfRule type="dataBar" priority="249">
      <dataBar>
        <cfvo type="num" val="0"/>
        <cfvo type="num" val="1"/>
        <color theme="0" tint="-0.34998626667073579"/>
      </dataBar>
      <extLst>
        <ext xmlns:x14="http://schemas.microsoft.com/office/spreadsheetml/2009/9/main" uri="{B025F937-C7B1-47D3-B67F-A62EFF666E3E}">
          <x14:id>{5FEB3D9F-6CC4-4AAB-BF86-C0BABBC52D23}</x14:id>
        </ext>
      </extLst>
    </cfRule>
  </conditionalFormatting>
  <conditionalFormatting sqref="H97:H98">
    <cfRule type="dataBar" priority="245">
      <dataBar>
        <cfvo type="num" val="0"/>
        <cfvo type="num" val="1"/>
        <color theme="0" tint="-0.34998626667073579"/>
      </dataBar>
      <extLst>
        <ext xmlns:x14="http://schemas.microsoft.com/office/spreadsheetml/2009/9/main" uri="{B025F937-C7B1-47D3-B67F-A62EFF666E3E}">
          <x14:id>{9707A22E-3CF9-4056-A7F5-2ACE12DF7B60}</x14:id>
        </ext>
      </extLst>
    </cfRule>
  </conditionalFormatting>
  <conditionalFormatting sqref="H99">
    <cfRule type="dataBar" priority="189">
      <dataBar>
        <cfvo type="num" val="0"/>
        <cfvo type="num" val="1"/>
        <color theme="0" tint="-0.34998626667073579"/>
      </dataBar>
      <extLst>
        <ext xmlns:x14="http://schemas.microsoft.com/office/spreadsheetml/2009/9/main" uri="{B025F937-C7B1-47D3-B67F-A62EFF666E3E}">
          <x14:id>{BFF2043D-3049-4183-818C-8274C086AD0A}</x14:id>
        </ext>
      </extLst>
    </cfRule>
  </conditionalFormatting>
  <conditionalFormatting sqref="H100">
    <cfRule type="dataBar" priority="181">
      <dataBar>
        <cfvo type="num" val="0"/>
        <cfvo type="num" val="1"/>
        <color theme="0" tint="-0.34998626667073579"/>
      </dataBar>
      <extLst>
        <ext xmlns:x14="http://schemas.microsoft.com/office/spreadsheetml/2009/9/main" uri="{B025F937-C7B1-47D3-B67F-A62EFF666E3E}">
          <x14:id>{91CCD22A-5C58-4215-A973-F4B3F7C835FA}</x14:id>
        </ext>
      </extLst>
    </cfRule>
  </conditionalFormatting>
  <conditionalFormatting sqref="H101">
    <cfRule type="dataBar" priority="177">
      <dataBar>
        <cfvo type="num" val="0"/>
        <cfvo type="num" val="1"/>
        <color theme="0" tint="-0.34998626667073579"/>
      </dataBar>
      <extLst>
        <ext xmlns:x14="http://schemas.microsoft.com/office/spreadsheetml/2009/9/main" uri="{B025F937-C7B1-47D3-B67F-A62EFF666E3E}">
          <x14:id>{418697C2-E203-4579-B7B5-F2871E4F6A79}</x14:id>
        </ext>
      </extLst>
    </cfRule>
  </conditionalFormatting>
  <conditionalFormatting sqref="H102">
    <cfRule type="dataBar" priority="169">
      <dataBar>
        <cfvo type="num" val="0"/>
        <cfvo type="num" val="1"/>
        <color theme="0" tint="-0.34998626667073579"/>
      </dataBar>
      <extLst>
        <ext xmlns:x14="http://schemas.microsoft.com/office/spreadsheetml/2009/9/main" uri="{B025F937-C7B1-47D3-B67F-A62EFF666E3E}">
          <x14:id>{6521E0B8-B658-4C8C-865E-50CD31104E82}</x14:id>
        </ext>
      </extLst>
    </cfRule>
  </conditionalFormatting>
  <conditionalFormatting sqref="H103">
    <cfRule type="dataBar" priority="165">
      <dataBar>
        <cfvo type="num" val="0"/>
        <cfvo type="num" val="1"/>
        <color theme="0" tint="-0.34998626667073579"/>
      </dataBar>
      <extLst>
        <ext xmlns:x14="http://schemas.microsoft.com/office/spreadsheetml/2009/9/main" uri="{B025F937-C7B1-47D3-B67F-A62EFF666E3E}">
          <x14:id>{555D1C5D-931E-4A6E-AB33-FD88BB128578}</x14:id>
        </ext>
      </extLst>
    </cfRule>
  </conditionalFormatting>
  <conditionalFormatting sqref="H104">
    <cfRule type="dataBar" priority="237">
      <dataBar>
        <cfvo type="num" val="0"/>
        <cfvo type="num" val="1"/>
        <color theme="0" tint="-0.34998626667073579"/>
      </dataBar>
      <extLst>
        <ext xmlns:x14="http://schemas.microsoft.com/office/spreadsheetml/2009/9/main" uri="{B025F937-C7B1-47D3-B67F-A62EFF666E3E}">
          <x14:id>{00C1BFB6-CDC4-4B2E-A26A-8F79EFBFF917}</x14:id>
        </ext>
      </extLst>
    </cfRule>
  </conditionalFormatting>
  <conditionalFormatting sqref="H105:H107">
    <cfRule type="dataBar" priority="233">
      <dataBar>
        <cfvo type="num" val="0"/>
        <cfvo type="num" val="1"/>
        <color theme="0" tint="-0.34998626667073579"/>
      </dataBar>
      <extLst>
        <ext xmlns:x14="http://schemas.microsoft.com/office/spreadsheetml/2009/9/main" uri="{B025F937-C7B1-47D3-B67F-A62EFF666E3E}">
          <x14:id>{3E5FA6A5-B6BA-4F76-B2BD-822452AB785A}</x14:id>
        </ext>
      </extLst>
    </cfRule>
  </conditionalFormatting>
  <conditionalFormatting sqref="H108">
    <cfRule type="dataBar" priority="225">
      <dataBar>
        <cfvo type="num" val="0"/>
        <cfvo type="num" val="1"/>
        <color theme="0" tint="-0.34998626667073579"/>
      </dataBar>
      <extLst>
        <ext xmlns:x14="http://schemas.microsoft.com/office/spreadsheetml/2009/9/main" uri="{B025F937-C7B1-47D3-B67F-A62EFF666E3E}">
          <x14:id>{EDD923D3-8F13-49A6-A23E-B3CD0D8158C9}</x14:id>
        </ext>
      </extLst>
    </cfRule>
  </conditionalFormatting>
  <conditionalFormatting sqref="H109:H113">
    <cfRule type="dataBar" priority="217">
      <dataBar>
        <cfvo type="num" val="0"/>
        <cfvo type="num" val="1"/>
        <color theme="0" tint="-0.34998626667073579"/>
      </dataBar>
      <extLst>
        <ext xmlns:x14="http://schemas.microsoft.com/office/spreadsheetml/2009/9/main" uri="{B025F937-C7B1-47D3-B67F-A62EFF666E3E}">
          <x14:id>{9090F994-BE31-4869-9350-CC9DEA17195F}</x14:id>
        </ext>
      </extLst>
    </cfRule>
  </conditionalFormatting>
  <conditionalFormatting sqref="H114">
    <cfRule type="dataBar" priority="205">
      <dataBar>
        <cfvo type="num" val="0"/>
        <cfvo type="num" val="1"/>
        <color theme="0" tint="-0.34998626667073579"/>
      </dataBar>
      <extLst>
        <ext xmlns:x14="http://schemas.microsoft.com/office/spreadsheetml/2009/9/main" uri="{B025F937-C7B1-47D3-B67F-A62EFF666E3E}">
          <x14:id>{A5B265BB-F427-401C-8347-B9525CF52D17}</x14:id>
        </ext>
      </extLst>
    </cfRule>
  </conditionalFormatting>
  <conditionalFormatting sqref="H115">
    <cfRule type="dataBar" priority="201">
      <dataBar>
        <cfvo type="num" val="0"/>
        <cfvo type="num" val="1"/>
        <color theme="0" tint="-0.34998626667073579"/>
      </dataBar>
      <extLst>
        <ext xmlns:x14="http://schemas.microsoft.com/office/spreadsheetml/2009/9/main" uri="{B025F937-C7B1-47D3-B67F-A62EFF666E3E}">
          <x14:id>{58E687B7-55DC-490E-A8CB-7F5BA5CDB16F}</x14:id>
        </ext>
      </extLst>
    </cfRule>
  </conditionalFormatting>
  <conditionalFormatting sqref="K6:BN7">
    <cfRule type="expression" dxfId="10" priority="313">
      <formula>K$6=TODAY()</formula>
    </cfRule>
  </conditionalFormatting>
  <conditionalFormatting sqref="K6:BN44 K46:BN60">
    <cfRule type="expression" dxfId="9" priority="5">
      <formula>K$6=TODAY()</formula>
    </cfRule>
  </conditionalFormatting>
  <conditionalFormatting sqref="K8:BN60">
    <cfRule type="expression" dxfId="8" priority="6">
      <formula>AND($E8&lt;=K$6,ROUNDDOWN(($F8-$E8+1)*$H8,0)+$E8-1&gt;=K$6)</formula>
    </cfRule>
    <cfRule type="expression" dxfId="7" priority="7">
      <formula>AND(NOT(ISBLANK($E8)),$E8&lt;=K$6,$F8&gt;=K$6)</formula>
    </cfRule>
  </conditionalFormatting>
  <conditionalFormatting sqref="K62:BN115">
    <cfRule type="expression" dxfId="6" priority="98">
      <formula>K$6=TODAY()</formula>
    </cfRule>
    <cfRule type="expression" dxfId="5" priority="99">
      <formula>AND($E62&lt;=K$6,ROUNDDOWN(($F62-$E62+1)*$H62,0)+$E62-1&gt;=K$6)</formula>
    </cfRule>
    <cfRule type="expression" dxfId="4" priority="100">
      <formula>AND(NOT(ISBLANK($E62)),$E62&lt;=K$6,$F62&gt;=K$6)</formula>
    </cfRule>
  </conditionalFormatting>
  <conditionalFormatting sqref="K45:BN45">
    <cfRule type="expression" dxfId="3" priority="1">
      <formula>K$6=TODAY()</formula>
    </cfRule>
  </conditionalFormatting>
  <conditionalFormatting sqref="H45">
    <cfRule type="dataBar" priority="4">
      <dataBar>
        <cfvo type="num" val="0"/>
        <cfvo type="num" val="1"/>
        <color theme="0" tint="-0.34998626667073579"/>
      </dataBar>
      <extLst>
        <ext xmlns:x14="http://schemas.microsoft.com/office/spreadsheetml/2009/9/main" uri="{B025F937-C7B1-47D3-B67F-A62EFF666E3E}">
          <x14:id>{10FFD160-01F1-4462-B21C-F2F42D564CF6}</x14:id>
        </ext>
      </extLst>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ignoredErrors>
    <ignoredError sqref="A76" formula="1"/>
    <ignoredError sqref="E76 G76:H76 H78:H80" unlocked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8238" r:id="rId3"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4383952B-9B0C-48C1-BFD1-691E8C27411D}">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7D2FC776-74D9-4476-9780-84A43220E42F}">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BA172D67-6DFF-4677-A3D1-40A2430A387F}">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7E3CD89A-2114-411B-8C8E-0AA4BF13E2A4}">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36078F53-EBDE-4057-850E-7A4D60ACB1D6}">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E1263A7A-36C1-43AA-9B99-9E3CA4833112}">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E8E036B3-6C34-4EB2-BB35-6528FB68960C}">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520363D3-0D56-4B9A-8359-C2748175D428}">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3DC39EB5-0FE9-4152-AD7C-C5462EB83545}">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035B067B-F147-496D-AFDF-02D831206D4C}">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A19C4530-FF9E-47A1-AE65-0A5BF7BDC7BC}">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5930C639-15C1-4DE9-97EC-1C3BB16DF75E}">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64AD2A66-F71A-4788-87AE-C9CB80E06B25}">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45FDE77E-8AB5-4130-9472-1FC251382A59}">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CD16F3CA-7AF6-4A7D-B0D9-4C64148A3A33}">
            <x14:dataBar minLength="0" maxLength="100" gradient="0">
              <x14:cfvo type="num">
                <xm:f>0</xm:f>
              </x14:cfvo>
              <x14:cfvo type="num">
                <xm:f>1</xm:f>
              </x14:cfvo>
              <x14:negativeFillColor rgb="FFFF0000"/>
              <x14:axisColor rgb="FF000000"/>
            </x14:dataBar>
          </x14:cfRule>
          <xm:sqref>H62:H75 H40:H44 H46:H60</xm:sqref>
        </x14:conditionalFormatting>
        <x14:conditionalFormatting xmlns:xm="http://schemas.microsoft.com/office/excel/2006/main">
          <x14:cfRule type="dataBar" id="{42371291-0D80-4E1E-9284-6142435A513E}">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7E1F46DF-94D3-493F-8F62-1BBC80142C82}">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777DE504-C53C-40AD-B156-FC11B711CC19}">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8854B788-5316-4981-9484-0CC42B534E1C}">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5FEB3D9F-6CC4-4AAB-BF86-C0BABBC52D23}">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9707A22E-3CF9-4056-A7F5-2ACE12DF7B60}">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BFF2043D-3049-4183-818C-8274C086AD0A}">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91CCD22A-5C58-4215-A973-F4B3F7C835FA}">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418697C2-E203-4579-B7B5-F2871E4F6A79}">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6521E0B8-B658-4C8C-865E-50CD31104E82}">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555D1C5D-931E-4A6E-AB33-FD88BB128578}">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00C1BFB6-CDC4-4B2E-A26A-8F79EFBFF917}">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3E5FA6A5-B6BA-4F76-B2BD-822452AB785A}">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EDD923D3-8F13-49A6-A23E-B3CD0D8158C9}">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9090F994-BE31-4869-9350-CC9DEA17195F}">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A5B265BB-F427-401C-8347-B9525CF52D17}">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58E687B7-55DC-490E-A8CB-7F5BA5CDB16F}">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10FFD160-01F1-4462-B21C-F2F42D564CF6}">
            <x14:dataBar minLength="0" maxLength="100" gradient="0">
              <x14:cfvo type="num">
                <xm:f>0</xm:f>
              </x14:cfvo>
              <x14:cfvo type="num">
                <xm:f>1</xm:f>
              </x14:cfvo>
              <x14:negativeFillColor rgb="FFFF0000"/>
              <x14:axisColor rgb="FF000000"/>
            </x14:dataBar>
          </x14:cfRule>
          <xm:sqref>H45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51" t="s">
        <v>109</v>
      </c>
    </row>
    <row r="4" spans="1:3">
      <c r="C4" s="36" t="s">
        <v>110</v>
      </c>
    </row>
    <row r="5" spans="1:3">
      <c r="C5" t="s">
        <v>111</v>
      </c>
    </row>
    <row r="7" spans="1:3" ht="18">
      <c r="C7" s="52" t="s">
        <v>112</v>
      </c>
    </row>
    <row r="8" spans="1:3">
      <c r="C8" s="53" t="s">
        <v>113</v>
      </c>
    </row>
    <row r="10" spans="1:3">
      <c r="C10" t="s">
        <v>114</v>
      </c>
    </row>
    <row r="11" spans="1:3">
      <c r="C11" t="s">
        <v>115</v>
      </c>
    </row>
    <row r="13" spans="1:3" ht="18">
      <c r="C13" s="52" t="s">
        <v>116</v>
      </c>
    </row>
    <row r="16" spans="1:3" ht="15.75">
      <c r="A16" s="27" t="s">
        <v>117</v>
      </c>
    </row>
    <row r="18" spans="2:2" ht="15">
      <c r="B18" s="54" t="s">
        <v>118</v>
      </c>
    </row>
    <row r="19" spans="2:2">
      <c r="B19" t="s">
        <v>119</v>
      </c>
    </row>
    <row r="20" spans="2:2">
      <c r="B20" t="s">
        <v>120</v>
      </c>
    </row>
    <row r="22" spans="2:2" ht="15">
      <c r="B22" s="54" t="s">
        <v>121</v>
      </c>
    </row>
    <row r="23" spans="2:2">
      <c r="B23" t="s">
        <v>122</v>
      </c>
    </row>
    <row r="24" spans="2:2">
      <c r="B24" t="s">
        <v>123</v>
      </c>
    </row>
    <row r="26" spans="2:2" ht="15">
      <c r="B26" s="54" t="s">
        <v>124</v>
      </c>
    </row>
    <row r="27" spans="2:2">
      <c r="B27" t="s">
        <v>125</v>
      </c>
    </row>
    <row r="28" spans="2:2">
      <c r="B28" t="s">
        <v>126</v>
      </c>
    </row>
    <row r="29" spans="2:2">
      <c r="B29" t="s">
        <v>127</v>
      </c>
    </row>
    <row r="30" spans="2:2">
      <c r="B30" t="s">
        <v>128</v>
      </c>
    </row>
    <row r="31" spans="2:2">
      <c r="B31" t="s">
        <v>129</v>
      </c>
    </row>
    <row r="32" spans="2:2">
      <c r="B32" t="s">
        <v>130</v>
      </c>
    </row>
    <row r="34" spans="2:2" ht="15">
      <c r="B34" s="54" t="s">
        <v>131</v>
      </c>
    </row>
    <row r="35" spans="2:2">
      <c r="B35" t="s">
        <v>132</v>
      </c>
    </row>
    <row r="36" spans="2:2">
      <c r="B36" t="s">
        <v>133</v>
      </c>
    </row>
    <row r="37" spans="2:2">
      <c r="B37" t="s">
        <v>134</v>
      </c>
    </row>
    <row r="39" spans="2:2" ht="15">
      <c r="B39" s="54" t="s">
        <v>135</v>
      </c>
    </row>
    <row r="40" spans="2:2">
      <c r="B40" t="s">
        <v>136</v>
      </c>
    </row>
    <row r="42" spans="2:2" ht="15">
      <c r="B42" s="54" t="s">
        <v>137</v>
      </c>
    </row>
    <row r="43" spans="2:2">
      <c r="B43" t="s">
        <v>138</v>
      </c>
    </row>
    <row r="44" spans="2:2">
      <c r="B44" t="s">
        <v>139</v>
      </c>
    </row>
    <row r="46" spans="2:2" ht="18">
      <c r="B46" s="52" t="s">
        <v>140</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2" t="s">
        <v>141</v>
      </c>
      <c r="B1" s="23"/>
    </row>
    <row r="2" spans="1:3" ht="14.25">
      <c r="A2" s="24" t="s">
        <v>113</v>
      </c>
      <c r="B2" s="25"/>
    </row>
    <row r="3" spans="1:3">
      <c r="B3" s="25"/>
    </row>
    <row r="4" spans="1:3" ht="18">
      <c r="A4" s="26" t="s">
        <v>142</v>
      </c>
      <c r="B4" s="27"/>
    </row>
    <row r="5" spans="1:3" ht="57">
      <c r="B5" s="28" t="s">
        <v>143</v>
      </c>
    </row>
    <row r="7" spans="1:3" ht="28.5">
      <c r="B7" s="28" t="s">
        <v>144</v>
      </c>
    </row>
    <row r="9" spans="1:3" ht="14.25">
      <c r="B9" s="24" t="s">
        <v>145</v>
      </c>
    </row>
    <row r="11" spans="1:3" ht="28.5">
      <c r="B11" s="29" t="s">
        <v>146</v>
      </c>
    </row>
    <row r="13" spans="1:3" ht="18">
      <c r="A13" s="117" t="s">
        <v>147</v>
      </c>
      <c r="B13" s="117"/>
    </row>
    <row r="15" spans="1:3" s="22" customFormat="1" ht="18">
      <c r="A15" s="30"/>
      <c r="B15" s="31" t="s">
        <v>148</v>
      </c>
    </row>
    <row r="16" spans="1:3" s="22" customFormat="1" ht="18">
      <c r="A16" s="30"/>
      <c r="B16" s="31" t="s">
        <v>149</v>
      </c>
      <c r="C16" s="32" t="s">
        <v>150</v>
      </c>
    </row>
    <row r="17" spans="1:3" ht="18">
      <c r="A17" s="33"/>
      <c r="B17" s="31" t="s">
        <v>151</v>
      </c>
    </row>
    <row r="18" spans="1:3" ht="18">
      <c r="A18" s="33"/>
      <c r="B18" s="31" t="s">
        <v>152</v>
      </c>
    </row>
    <row r="19" spans="1:3" ht="18">
      <c r="A19" s="33"/>
      <c r="B19" s="31" t="s">
        <v>153</v>
      </c>
    </row>
    <row r="20" spans="1:3" s="22" customFormat="1" ht="18">
      <c r="A20" s="30"/>
      <c r="B20" s="31" t="s">
        <v>154</v>
      </c>
      <c r="C20" s="34" t="s">
        <v>155</v>
      </c>
    </row>
    <row r="21" spans="1:3" ht="18">
      <c r="A21" s="33"/>
      <c r="B21" s="31" t="s">
        <v>156</v>
      </c>
    </row>
    <row r="22" spans="1:3" ht="18">
      <c r="A22" s="33"/>
      <c r="B22" s="35" t="s">
        <v>157</v>
      </c>
    </row>
    <row r="23" spans="1:3" ht="18">
      <c r="A23" s="33"/>
      <c r="B23" s="36"/>
    </row>
    <row r="24" spans="1:3" ht="18">
      <c r="A24" s="117" t="s">
        <v>158</v>
      </c>
      <c r="B24" s="117"/>
    </row>
    <row r="25" spans="1:3" ht="43.5">
      <c r="A25" s="33"/>
      <c r="B25" s="31" t="s">
        <v>159</v>
      </c>
    </row>
    <row r="26" spans="1:3" ht="18">
      <c r="A26" s="33"/>
      <c r="B26" s="31"/>
    </row>
    <row r="27" spans="1:3" ht="18">
      <c r="A27" s="33"/>
      <c r="B27" s="37" t="s">
        <v>160</v>
      </c>
    </row>
    <row r="28" spans="1:3" ht="18">
      <c r="A28" s="33"/>
      <c r="B28" s="31" t="s">
        <v>161</v>
      </c>
    </row>
    <row r="29" spans="1:3" ht="28.5">
      <c r="A29" s="33"/>
      <c r="B29" s="31" t="s">
        <v>162</v>
      </c>
    </row>
    <row r="30" spans="1:3" ht="18">
      <c r="A30" s="33"/>
      <c r="B30" s="31"/>
    </row>
    <row r="31" spans="1:3" ht="18">
      <c r="A31" s="33"/>
      <c r="B31" s="37" t="s">
        <v>163</v>
      </c>
    </row>
    <row r="32" spans="1:3" ht="18">
      <c r="A32" s="33"/>
      <c r="B32" s="31" t="s">
        <v>164</v>
      </c>
    </row>
    <row r="33" spans="1:2" ht="18">
      <c r="A33" s="33"/>
      <c r="B33" s="31" t="s">
        <v>165</v>
      </c>
    </row>
    <row r="34" spans="1:2" ht="18">
      <c r="A34" s="33"/>
      <c r="B34" s="36"/>
    </row>
    <row r="35" spans="1:2" ht="28.5">
      <c r="A35" s="33"/>
      <c r="B35" s="31" t="s">
        <v>166</v>
      </c>
    </row>
    <row r="36" spans="1:2" ht="18">
      <c r="A36" s="33"/>
      <c r="B36" s="38" t="s">
        <v>167</v>
      </c>
    </row>
    <row r="37" spans="1:2" ht="18">
      <c r="A37" s="33"/>
      <c r="B37" s="36"/>
    </row>
    <row r="38" spans="1:2" ht="18">
      <c r="A38" s="117" t="s">
        <v>168</v>
      </c>
      <c r="B38" s="117"/>
    </row>
    <row r="39" spans="1:2" ht="28.5">
      <c r="B39" s="31" t="s">
        <v>169</v>
      </c>
    </row>
    <row r="41" spans="1:2" ht="14.25">
      <c r="B41" s="31" t="s">
        <v>170</v>
      </c>
    </row>
    <row r="43" spans="1:2" ht="28.5">
      <c r="B43" s="31" t="s">
        <v>171</v>
      </c>
    </row>
    <row r="45" spans="1:2" ht="28.5">
      <c r="B45" s="31" t="s">
        <v>172</v>
      </c>
    </row>
    <row r="46" spans="1:2">
      <c r="B46" s="39"/>
    </row>
    <row r="47" spans="1:2" ht="28.5">
      <c r="B47" s="31" t="s">
        <v>173</v>
      </c>
    </row>
    <row r="49" spans="1:2" ht="18">
      <c r="A49" s="117" t="s">
        <v>174</v>
      </c>
      <c r="B49" s="117"/>
    </row>
    <row r="50" spans="1:2" ht="28.5">
      <c r="B50" s="31" t="s">
        <v>175</v>
      </c>
    </row>
    <row r="52" spans="1:2" ht="14.25">
      <c r="A52" s="40" t="s">
        <v>176</v>
      </c>
      <c r="B52" s="31" t="s">
        <v>177</v>
      </c>
    </row>
    <row r="53" spans="1:2" ht="14.25">
      <c r="A53" s="40" t="s">
        <v>178</v>
      </c>
      <c r="B53" s="31" t="s">
        <v>179</v>
      </c>
    </row>
    <row r="54" spans="1:2" ht="14.25">
      <c r="A54" s="40" t="s">
        <v>180</v>
      </c>
      <c r="B54" s="31" t="s">
        <v>181</v>
      </c>
    </row>
    <row r="55" spans="1:2" ht="28.5">
      <c r="A55" s="29"/>
      <c r="B55" s="31" t="s">
        <v>182</v>
      </c>
    </row>
    <row r="56" spans="1:2" ht="28.5">
      <c r="A56" s="29"/>
      <c r="B56" s="31" t="s">
        <v>183</v>
      </c>
    </row>
    <row r="57" spans="1:2" ht="14.25">
      <c r="A57" s="40" t="s">
        <v>184</v>
      </c>
      <c r="B57" s="31" t="s">
        <v>185</v>
      </c>
    </row>
    <row r="58" spans="1:2" ht="14.25">
      <c r="A58" s="29"/>
      <c r="B58" s="31" t="s">
        <v>186</v>
      </c>
    </row>
    <row r="59" spans="1:2" ht="14.25">
      <c r="A59" s="29"/>
      <c r="B59" s="31" t="s">
        <v>187</v>
      </c>
    </row>
    <row r="60" spans="1:2" ht="14.25">
      <c r="A60" s="40" t="s">
        <v>188</v>
      </c>
      <c r="B60" s="31" t="s">
        <v>189</v>
      </c>
    </row>
    <row r="61" spans="1:2" ht="28.5">
      <c r="A61" s="29"/>
      <c r="B61" s="31" t="s">
        <v>190</v>
      </c>
    </row>
    <row r="62" spans="1:2" ht="14.25">
      <c r="A62" s="40" t="s">
        <v>191</v>
      </c>
      <c r="B62" s="31" t="s">
        <v>192</v>
      </c>
    </row>
    <row r="63" spans="1:2" ht="14.25">
      <c r="A63" s="41"/>
      <c r="B63" s="31" t="s">
        <v>193</v>
      </c>
    </row>
    <row r="64" spans="1:2">
      <c r="B64" s="42"/>
    </row>
    <row r="65" spans="1:2" ht="18">
      <c r="A65" s="117" t="s">
        <v>194</v>
      </c>
      <c r="B65" s="117"/>
    </row>
    <row r="66" spans="1:2" ht="42.75">
      <c r="B66" s="31" t="s">
        <v>195</v>
      </c>
    </row>
    <row r="68" spans="1:2" ht="18">
      <c r="A68" s="117" t="s">
        <v>196</v>
      </c>
      <c r="B68" s="117"/>
    </row>
    <row r="69" spans="1:2" ht="15">
      <c r="A69" s="43" t="s">
        <v>197</v>
      </c>
      <c r="B69" s="44" t="s">
        <v>198</v>
      </c>
    </row>
    <row r="70" spans="1:2" ht="28.5">
      <c r="A70" s="41"/>
      <c r="B70" s="45" t="s">
        <v>199</v>
      </c>
    </row>
    <row r="71" spans="1:2" ht="14.25">
      <c r="A71" s="41"/>
      <c r="B71" s="46"/>
    </row>
    <row r="72" spans="1:2" ht="15">
      <c r="A72" s="43" t="s">
        <v>197</v>
      </c>
      <c r="B72" s="44" t="s">
        <v>200</v>
      </c>
    </row>
    <row r="73" spans="1:2" ht="28.5">
      <c r="A73" s="41"/>
      <c r="B73" s="45" t="s">
        <v>201</v>
      </c>
    </row>
    <row r="74" spans="1:2" ht="14.25">
      <c r="A74" s="41"/>
      <c r="B74" s="46"/>
    </row>
    <row r="75" spans="1:2" ht="15">
      <c r="A75" s="43" t="s">
        <v>197</v>
      </c>
      <c r="B75" s="47" t="s">
        <v>202</v>
      </c>
    </row>
    <row r="76" spans="1:2" ht="42.75">
      <c r="A76" s="41"/>
      <c r="B76" s="28" t="s">
        <v>203</v>
      </c>
    </row>
    <row r="77" spans="1:2" ht="14.25">
      <c r="A77" s="41"/>
      <c r="B77" s="41"/>
    </row>
    <row r="78" spans="1:2" ht="15">
      <c r="A78" s="43" t="s">
        <v>197</v>
      </c>
      <c r="B78" s="47" t="s">
        <v>204</v>
      </c>
    </row>
    <row r="79" spans="1:2" ht="28.5">
      <c r="A79" s="41"/>
      <c r="B79" s="28" t="s">
        <v>205</v>
      </c>
    </row>
    <row r="80" spans="1:2" ht="14.25">
      <c r="A80" s="41"/>
      <c r="B80" s="41"/>
    </row>
    <row r="81" spans="1:2" ht="15">
      <c r="A81" s="43" t="s">
        <v>197</v>
      </c>
      <c r="B81" s="47" t="s">
        <v>206</v>
      </c>
    </row>
    <row r="82" spans="1:2" ht="14.25">
      <c r="A82" s="41"/>
      <c r="B82" s="48" t="s">
        <v>207</v>
      </c>
    </row>
    <row r="83" spans="1:2" ht="14.25">
      <c r="A83" s="41"/>
      <c r="B83" s="48" t="s">
        <v>208</v>
      </c>
    </row>
    <row r="84" spans="1:2" ht="14.25">
      <c r="A84" s="41"/>
      <c r="B84" s="48" t="s">
        <v>209</v>
      </c>
    </row>
    <row r="85" spans="1:2" ht="15">
      <c r="A85" s="41"/>
      <c r="B85" s="49"/>
    </row>
    <row r="86" spans="1:2" ht="15">
      <c r="A86" s="43" t="s">
        <v>197</v>
      </c>
      <c r="B86" s="47" t="s">
        <v>210</v>
      </c>
    </row>
    <row r="87" spans="1:2" ht="42.75">
      <c r="A87" s="41"/>
      <c r="B87" s="28" t="s">
        <v>211</v>
      </c>
    </row>
    <row r="88" spans="1:2" ht="14.25">
      <c r="A88" s="41"/>
      <c r="B88" s="103" t="s">
        <v>212</v>
      </c>
    </row>
    <row r="89" spans="1:2" ht="57">
      <c r="A89" s="41"/>
      <c r="B89" s="104" t="s">
        <v>213</v>
      </c>
    </row>
    <row r="90" spans="1:2" ht="14.25">
      <c r="A90" s="41"/>
      <c r="B90" s="41"/>
    </row>
    <row r="91" spans="1:2" ht="15">
      <c r="A91" s="43" t="s">
        <v>197</v>
      </c>
      <c r="B91" s="47" t="s">
        <v>214</v>
      </c>
    </row>
    <row r="92" spans="1:2" ht="28.5">
      <c r="A92" s="29"/>
      <c r="B92" s="48" t="s">
        <v>215</v>
      </c>
    </row>
    <row r="94" spans="1:2">
      <c r="A94" s="50" t="s">
        <v>216</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2" t="s">
        <v>217</v>
      </c>
      <c r="B1" s="12"/>
    </row>
    <row r="2" spans="1:3" ht="15">
      <c r="B2" s="13"/>
    </row>
    <row r="3" spans="1:3" ht="15">
      <c r="A3" s="14"/>
      <c r="B3" s="15" t="s">
        <v>218</v>
      </c>
      <c r="C3" s="14"/>
    </row>
    <row r="4" spans="1:3" ht="14.25">
      <c r="A4" s="16"/>
      <c r="B4" s="17" t="s">
        <v>113</v>
      </c>
      <c r="C4" s="16"/>
    </row>
    <row r="5" spans="1:3" ht="15">
      <c r="A5" s="16"/>
      <c r="B5" s="18"/>
      <c r="C5" s="16"/>
    </row>
    <row r="6" spans="1:3" ht="15.75">
      <c r="A6" s="16"/>
      <c r="B6" s="19" t="s">
        <v>216</v>
      </c>
      <c r="C6" s="16"/>
    </row>
    <row r="7" spans="1:3" ht="15">
      <c r="A7" s="16"/>
      <c r="B7" s="18"/>
      <c r="C7" s="16"/>
    </row>
    <row r="8" spans="1:3" ht="30">
      <c r="A8" s="16"/>
      <c r="B8" s="18" t="s">
        <v>219</v>
      </c>
      <c r="C8" s="16"/>
    </row>
    <row r="9" spans="1:3" ht="15">
      <c r="A9" s="16"/>
      <c r="B9" s="18"/>
      <c r="C9" s="16"/>
    </row>
    <row r="10" spans="1:3" ht="46.5">
      <c r="A10" s="16"/>
      <c r="B10" s="18" t="s">
        <v>220</v>
      </c>
      <c r="C10" s="16"/>
    </row>
    <row r="11" spans="1:3" ht="15">
      <c r="A11" s="16"/>
      <c r="B11" s="18"/>
      <c r="C11" s="16"/>
    </row>
    <row r="12" spans="1:3" ht="45">
      <c r="A12" s="16"/>
      <c r="B12" s="18" t="s">
        <v>221</v>
      </c>
      <c r="C12" s="16"/>
    </row>
    <row r="13" spans="1:3" ht="15">
      <c r="A13" s="16"/>
      <c r="B13" s="18"/>
      <c r="C13" s="16"/>
    </row>
    <row r="14" spans="1:3" ht="60">
      <c r="A14" s="16"/>
      <c r="B14" s="18" t="s">
        <v>222</v>
      </c>
      <c r="C14" s="16"/>
    </row>
    <row r="15" spans="1:3" ht="15">
      <c r="A15" s="16"/>
      <c r="B15" s="18"/>
      <c r="C15" s="16"/>
    </row>
    <row r="16" spans="1:3" ht="30.75">
      <c r="A16" s="16"/>
      <c r="B16" s="18" t="s">
        <v>223</v>
      </c>
      <c r="C16" s="16"/>
    </row>
    <row r="17" spans="1:3" ht="15">
      <c r="A17" s="16"/>
      <c r="B17" s="18"/>
      <c r="C17" s="16"/>
    </row>
    <row r="18" spans="1:3" ht="15.75">
      <c r="A18" s="16"/>
      <c r="B18" s="19" t="s">
        <v>224</v>
      </c>
      <c r="C18" s="16"/>
    </row>
    <row r="19" spans="1:3" ht="15">
      <c r="A19" s="16"/>
      <c r="B19" s="20" t="s">
        <v>225</v>
      </c>
      <c r="C19" s="16"/>
    </row>
    <row r="20" spans="1:3" ht="15">
      <c r="A20" s="16"/>
      <c r="B20" s="21"/>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sheetData>
  <hyperlinks>
    <hyperlink ref="B4" r:id="rId1"/>
    <hyperlink ref="B19" r:id="rId2"/>
  </hyperlinks>
  <pageMargins left="0.7" right="0.7" top="0.75" bottom="0.75" header="0.3" footer="0.3"/>
  <pageSetup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Views>
    <sheetView workbookViewId="0">
      <selection activeCell="A4" sqref="A4:A5"/>
    </sheetView>
  </sheetViews>
  <sheetFormatPr defaultColWidth="9" defaultRowHeight="12.75"/>
  <cols>
    <col min="1" max="1" width="49.7109375" customWidth="1"/>
  </cols>
  <sheetData>
    <row r="1" spans="1:13" ht="37.5" customHeight="1">
      <c r="A1" s="118" t="s">
        <v>243</v>
      </c>
      <c r="B1" s="118"/>
      <c r="C1" s="118"/>
      <c r="D1" s="118"/>
      <c r="E1" s="118"/>
      <c r="F1" s="118"/>
      <c r="G1" s="118"/>
      <c r="H1" s="118"/>
      <c r="I1" s="118"/>
      <c r="J1" s="118"/>
      <c r="K1" s="118"/>
      <c r="L1" s="118"/>
      <c r="M1" s="118"/>
    </row>
    <row r="4" spans="1:13">
      <c r="A4" t="s">
        <v>244</v>
      </c>
    </row>
  </sheetData>
  <mergeCells count="1">
    <mergeCell ref="A1:M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2"/>
  <sheetViews>
    <sheetView workbookViewId="0">
      <selection activeCell="A22" sqref="A22"/>
    </sheetView>
  </sheetViews>
  <sheetFormatPr defaultColWidth="9" defaultRowHeight="12.75"/>
  <cols>
    <col min="1" max="1" width="66.140625" customWidth="1"/>
    <col min="2" max="2" width="42" customWidth="1"/>
  </cols>
  <sheetData>
    <row r="1" spans="1:66" ht="15">
      <c r="A1" s="2"/>
      <c r="B1" s="3"/>
    </row>
    <row r="2" spans="1:66" ht="15">
      <c r="A2" s="2"/>
      <c r="B2" s="3"/>
    </row>
    <row r="3" spans="1:66" ht="15">
      <c r="A3" s="2" t="s">
        <v>226</v>
      </c>
      <c r="B3" s="3"/>
    </row>
    <row r="4" spans="1:66" ht="15">
      <c r="A4" s="2" t="s">
        <v>227</v>
      </c>
      <c r="B4" s="3"/>
    </row>
    <row r="5" spans="1:66" ht="15">
      <c r="A5" s="2" t="s">
        <v>228</v>
      </c>
      <c r="B5" s="3"/>
    </row>
    <row r="6" spans="1:66">
      <c r="A6" s="2" t="s">
        <v>229</v>
      </c>
    </row>
    <row r="7" spans="1:66">
      <c r="A7" s="2" t="s">
        <v>230</v>
      </c>
    </row>
    <row r="13" spans="1:66" s="1" customFormat="1" ht="18">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226</v>
      </c>
      <c r="C13" s="1" t="s">
        <v>27</v>
      </c>
      <c r="D13" s="5"/>
      <c r="E13" s="6">
        <f>GanttChart!F59+1</f>
        <v>46115</v>
      </c>
      <c r="F13" s="7">
        <f t="shared" ref="F13:F17" si="0">IF(ISBLANK(E13)," - ",IF(G13=0,E13,E13+G13-1))</f>
        <v>46116</v>
      </c>
      <c r="G13" s="8">
        <v>2</v>
      </c>
      <c r="H13" s="9">
        <v>0</v>
      </c>
      <c r="I13" s="10">
        <f t="shared" ref="I13:I17" si="1">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227</v>
      </c>
      <c r="C14" s="1" t="s">
        <v>19</v>
      </c>
      <c r="D14" s="5"/>
      <c r="E14" s="6">
        <f>GanttChart!F60+1</f>
        <v>46119</v>
      </c>
      <c r="F14" s="7">
        <f t="shared" si="0"/>
        <v>46122</v>
      </c>
      <c r="G14" s="8">
        <v>4</v>
      </c>
      <c r="H14" s="9">
        <v>0</v>
      </c>
      <c r="I14" s="10">
        <f t="shared" si="1"/>
        <v>4</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228</v>
      </c>
      <c r="C15" s="1" t="s">
        <v>27</v>
      </c>
      <c r="D15" s="5"/>
      <c r="E15" s="6">
        <f t="shared" ref="E15:E17" si="2">F13+1</f>
        <v>46117</v>
      </c>
      <c r="F15" s="7">
        <f t="shared" si="0"/>
        <v>46120</v>
      </c>
      <c r="G15" s="8">
        <v>4</v>
      </c>
      <c r="H15" s="9">
        <v>0</v>
      </c>
      <c r="I15" s="10">
        <f t="shared" si="1"/>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229</v>
      </c>
      <c r="C16" s="1" t="s">
        <v>19</v>
      </c>
      <c r="D16" s="5"/>
      <c r="E16" s="6">
        <f t="shared" si="2"/>
        <v>46123</v>
      </c>
      <c r="F16" s="7">
        <f t="shared" si="0"/>
        <v>46124</v>
      </c>
      <c r="G16" s="8">
        <v>2</v>
      </c>
      <c r="H16" s="9">
        <v>0</v>
      </c>
      <c r="I16" s="10">
        <f t="shared" si="1"/>
        <v>0</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230</v>
      </c>
      <c r="C17" s="1" t="s">
        <v>27</v>
      </c>
      <c r="D17" s="5"/>
      <c r="E17" s="6">
        <f t="shared" si="2"/>
        <v>46121</v>
      </c>
      <c r="F17" s="7">
        <f t="shared" si="0"/>
        <v>46122</v>
      </c>
      <c r="G17" s="8">
        <v>2</v>
      </c>
      <c r="H17" s="9">
        <v>0</v>
      </c>
      <c r="I17" s="10">
        <f t="shared" si="1"/>
        <v>2</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231</v>
      </c>
    </row>
  </sheetData>
  <conditionalFormatting sqref="H13">
    <cfRule type="dataBar" priority="20">
      <dataBar>
        <cfvo type="num" val="0"/>
        <cfvo type="num" val="1"/>
        <color theme="0" tint="-0.34998626667073579"/>
      </dataBar>
      <extLst>
        <ext xmlns:x14="http://schemas.microsoft.com/office/spreadsheetml/2009/9/main" uri="{B025F937-C7B1-47D3-B67F-A62EFF666E3E}">
          <x14:id>{C4989F41-A0ED-4A12-A2E8-92A060C88598}</x14:id>
        </ext>
      </extLst>
    </cfRule>
  </conditionalFormatting>
  <conditionalFormatting sqref="H14">
    <cfRule type="dataBar" priority="16">
      <dataBar>
        <cfvo type="num" val="0"/>
        <cfvo type="num" val="1"/>
        <color theme="0" tint="-0.34998626667073579"/>
      </dataBar>
      <extLst>
        <ext xmlns:x14="http://schemas.microsoft.com/office/spreadsheetml/2009/9/main" uri="{B025F937-C7B1-47D3-B67F-A62EFF666E3E}">
          <x14:id>{2389161A-9AA1-46DF-BB6A-42E690BDEC00}</x14:id>
        </ext>
      </extLst>
    </cfRule>
  </conditionalFormatting>
  <conditionalFormatting sqref="H15">
    <cfRule type="dataBar" priority="12">
      <dataBar>
        <cfvo type="num" val="0"/>
        <cfvo type="num" val="1"/>
        <color theme="0" tint="-0.34998626667073579"/>
      </dataBar>
      <extLst>
        <ext xmlns:x14="http://schemas.microsoft.com/office/spreadsheetml/2009/9/main" uri="{B025F937-C7B1-47D3-B67F-A62EFF666E3E}">
          <x14:id>{C69893B1-B370-4B84-A428-C65249C6BFD4}</x14:id>
        </ext>
      </extLst>
    </cfRule>
  </conditionalFormatting>
  <conditionalFormatting sqref="H16">
    <cfRule type="dataBar" priority="8">
      <dataBar>
        <cfvo type="num" val="0"/>
        <cfvo type="num" val="1"/>
        <color theme="0" tint="-0.34998626667073579"/>
      </dataBar>
      <extLst>
        <ext xmlns:x14="http://schemas.microsoft.com/office/spreadsheetml/2009/9/main" uri="{B025F937-C7B1-47D3-B67F-A62EFF666E3E}">
          <x14:id>{A3D3A7FD-C072-4D9C-BF9D-EE9EF1A1E036}</x14:id>
        </ext>
      </extLst>
    </cfRule>
  </conditionalFormatting>
  <conditionalFormatting sqref="H17">
    <cfRule type="dataBar" priority="4">
      <dataBar>
        <cfvo type="num" val="0"/>
        <cfvo type="num" val="1"/>
        <color theme="0" tint="-0.34998626667073579"/>
      </dataBar>
      <extLst>
        <ext xmlns:x14="http://schemas.microsoft.com/office/spreadsheetml/2009/9/main" uri="{B025F937-C7B1-47D3-B67F-A62EFF666E3E}">
          <x14:id>{70878BF5-14D0-452A-A84D-F078893FEA0C}</x14:id>
        </ext>
      </extLst>
    </cfRule>
  </conditionalFormatting>
  <conditionalFormatting sqref="K13:BN17">
    <cfRule type="expression" dxfId="2" priority="1">
      <formula>K$6=TODAY()</formula>
    </cfRule>
    <cfRule type="expression" dxfId="1" priority="2">
      <formula>AND($E13&lt;=K$6,ROUNDDOWN(($F13-$E13+1)*$H13,0)+$E13-1&gt;=K$6)</formula>
    </cfRule>
    <cfRule type="expression" dxfId="0" priority="3">
      <formula>AND(NOT(ISBLANK($E13)),$E13&lt;=K$6,$F13&gt;=K$6)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4989F41-A0ED-4A12-A2E8-92A060C88598}">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2389161A-9AA1-46DF-BB6A-42E690BDEC00}">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C69893B1-B370-4B84-A428-C65249C6BFD4}">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A3D3A7FD-C072-4D9C-BF9D-EE9EF1A1E036}">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70878BF5-14D0-452A-A84D-F078893FEA0C}">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GanttChart</vt:lpstr>
      <vt:lpstr>GanttChartPro</vt:lpstr>
      <vt:lpstr>Help</vt:lpstr>
      <vt:lpstr>TermsOfUse</vt:lpstr>
      <vt:lpstr>Update Project</vt:lpstr>
      <vt:lpstr>etc</vt:lpstr>
      <vt:lpstr>etc!prevWBS</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cp:lastPrinted>2025-11-24T02:54:00Z</cp:lastPrinted>
  <dcterms:created xsi:type="dcterms:W3CDTF">2010-06-09T16:05:00Z</dcterms:created>
  <dcterms:modified xsi:type="dcterms:W3CDTF">2026-03-03T05:56:38Z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5E4F88696BF640A487FEBE7E35EB5237_13</vt:lpwstr>
  </property>
  <property fmtid="{D5CDD505-2E9C-101B-9397-08002B2CF9AE}" pid="6" name="KSOProductBuildVer">
    <vt:lpwstr>1033-12.1.0.25242</vt:lpwstr>
  </property>
  <property fmtid="{D5CDD505-2E9C-101B-9397-08002B2CF9AE}" pid="7" name="CalculationRule">
    <vt:i4>0</vt:i4>
  </property>
</Properties>
</file>
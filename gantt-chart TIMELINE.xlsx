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20490" windowHeight="7020"/>
  </bookViews>
  <sheets>
    <sheet name="GanttChart" sheetId="9" r:id="rId1"/>
    <sheet name="GanttChartPro" sheetId="12" state="hidden" r:id="rId2"/>
    <sheet name="Help" sheetId="6" state="hidden" r:id="rId3"/>
    <sheet name="TermsOfUse" sheetId="11" state="hidden" r:id="rId4"/>
  </sheets>
  <definedNames>
    <definedName name="prevWBS" localSheetId="0">GanttChart!$A1048576</definedName>
    <definedName name="_xlnm.Print_Area" localSheetId="0">GanttChart!$A$1:$BN$61</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9" l="1"/>
  <c r="I21" i="9" s="1"/>
  <c r="A21" i="9"/>
  <c r="F20" i="9"/>
  <c r="I20" i="9" s="1"/>
  <c r="A20" i="9"/>
  <c r="F19" i="9"/>
  <c r="I19" i="9" s="1"/>
  <c r="F18" i="9"/>
  <c r="I18" i="9" s="1"/>
  <c r="F17" i="9"/>
  <c r="I17" i="9" s="1"/>
  <c r="F16" i="9"/>
  <c r="I16" i="9" s="1"/>
  <c r="F15" i="9"/>
  <c r="I15" i="9" s="1"/>
  <c r="F14" i="9"/>
  <c r="I14" i="9" s="1"/>
  <c r="F13" i="9"/>
  <c r="I13" i="9" s="1"/>
  <c r="F12" i="9"/>
  <c r="I12" i="9" s="1"/>
  <c r="F11" i="9"/>
  <c r="I11" i="9" s="1"/>
  <c r="F10" i="9"/>
  <c r="I10" i="9" s="1"/>
  <c r="A54" i="9"/>
  <c r="A55" i="9" s="1"/>
  <c r="A56" i="9" s="1"/>
  <c r="A57" i="9" s="1"/>
  <c r="A58" i="9" s="1"/>
  <c r="A59" i="9" s="1"/>
  <c r="A60" i="9" s="1"/>
  <c r="A61" i="9" s="1"/>
  <c r="A62" i="9" s="1"/>
  <c r="A63" i="9" s="1"/>
  <c r="A64" i="9" s="1"/>
  <c r="A65" i="9" s="1"/>
  <c r="A66" i="9" s="1"/>
  <c r="A67" i="9" s="1"/>
  <c r="A68" i="9" s="1"/>
  <c r="A69" i="9" s="1"/>
  <c r="A70" i="9" s="1"/>
  <c r="A71" i="9" s="1"/>
  <c r="A72" i="9" s="1"/>
  <c r="A73" i="9" s="1"/>
  <c r="A74" i="9" s="1"/>
  <c r="A75" i="9" s="1"/>
  <c r="A76" i="9" s="1"/>
  <c r="A77" i="9" s="1"/>
  <c r="A78" i="9" s="1"/>
  <c r="A79" i="9" s="1"/>
  <c r="A80" i="9" s="1"/>
  <c r="A81" i="9" s="1"/>
  <c r="A82" i="9" s="1"/>
  <c r="A83" i="9" s="1"/>
  <c r="A84" i="9" s="1"/>
  <c r="A85" i="9" s="1"/>
  <c r="A86" i="9" s="1"/>
  <c r="A87" i="9" s="1"/>
  <c r="A88" i="9" s="1"/>
  <c r="A89" i="9" s="1"/>
  <c r="A90" i="9" s="1"/>
  <c r="A91" i="9" s="1"/>
  <c r="A92" i="9" s="1"/>
  <c r="A93" i="9" s="1"/>
  <c r="F93" i="9"/>
  <c r="F92" i="9"/>
  <c r="I92" i="9" s="1"/>
  <c r="F91" i="9"/>
  <c r="F90" i="9"/>
  <c r="F89" i="9"/>
  <c r="F88" i="9"/>
  <c r="F87" i="9"/>
  <c r="F86" i="9"/>
  <c r="I86" i="9" s="1"/>
  <c r="F85" i="9"/>
  <c r="F84" i="9"/>
  <c r="F83" i="9"/>
  <c r="I83" i="9" s="1"/>
  <c r="F82" i="9"/>
  <c r="I82" i="9" s="1"/>
  <c r="F81" i="9"/>
  <c r="I81" i="9" s="1"/>
  <c r="F80" i="9"/>
  <c r="I80" i="9" s="1"/>
  <c r="F79" i="9"/>
  <c r="I79" i="9" s="1"/>
  <c r="F78" i="9"/>
  <c r="I78" i="9" s="1"/>
  <c r="F77" i="9"/>
  <c r="I77" i="9" s="1"/>
  <c r="F76" i="9"/>
  <c r="I76" i="9" s="1"/>
  <c r="F75" i="9"/>
  <c r="I75" i="9" s="1"/>
  <c r="F74" i="9"/>
  <c r="I74" i="9" s="1"/>
  <c r="F73" i="9"/>
  <c r="I73" i="9" s="1"/>
  <c r="F72" i="9"/>
  <c r="I72" i="9" s="1"/>
  <c r="F71" i="9"/>
  <c r="I71" i="9" s="1"/>
  <c r="F70" i="9"/>
  <c r="I70" i="9" s="1"/>
  <c r="F69" i="9"/>
  <c r="I69" i="9" s="1"/>
  <c r="F68" i="9"/>
  <c r="I68" i="9" s="1"/>
  <c r="F67" i="9"/>
  <c r="I67" i="9" s="1"/>
  <c r="F66" i="9"/>
  <c r="I66" i="9" s="1"/>
  <c r="F65" i="9"/>
  <c r="I65" i="9" s="1"/>
  <c r="F64" i="9"/>
  <c r="I64" i="9" s="1"/>
  <c r="F63" i="9"/>
  <c r="I63" i="9" s="1"/>
  <c r="F62" i="9"/>
  <c r="I62" i="9" s="1"/>
  <c r="F61" i="9"/>
  <c r="I61" i="9" s="1"/>
  <c r="F60" i="9"/>
  <c r="I60" i="9" s="1"/>
  <c r="F59" i="9"/>
  <c r="I59" i="9" s="1"/>
  <c r="F58" i="9"/>
  <c r="I58" i="9" s="1"/>
  <c r="F57" i="9"/>
  <c r="I57" i="9" s="1"/>
  <c r="F56" i="9"/>
  <c r="I56" i="9" s="1"/>
  <c r="F55" i="9"/>
  <c r="I55" i="9" s="1"/>
  <c r="F54" i="9"/>
  <c r="I54" i="9" s="1"/>
  <c r="F9" i="9"/>
  <c r="I9" i="9" s="1"/>
  <c r="F8" i="9"/>
  <c r="I8" i="9" s="1"/>
  <c r="A8" i="9"/>
  <c r="A9" i="9" s="1"/>
  <c r="A10" i="9" s="1"/>
  <c r="A11" i="9" s="1"/>
  <c r="A12" i="9" s="1"/>
  <c r="A13" i="9" s="1"/>
  <c r="A14" i="9" s="1"/>
  <c r="A15" i="9" s="1"/>
  <c r="A16" i="9" s="1"/>
  <c r="A17" i="9" s="1"/>
  <c r="A18" i="9" s="1"/>
  <c r="A19" i="9" s="1"/>
  <c r="K6" i="9"/>
  <c r="L6" i="9" s="1"/>
  <c r="M6" i="9" l="1"/>
  <c r="L7" i="9"/>
  <c r="K4" i="9"/>
  <c r="K5" i="9"/>
  <c r="K7" i="9"/>
  <c r="N6" i="9" l="1"/>
  <c r="M7" i="9"/>
  <c r="O6" i="9" l="1"/>
  <c r="N7" i="9"/>
  <c r="P6" i="9" l="1"/>
  <c r="O7" i="9"/>
  <c r="Q6" i="9" l="1"/>
  <c r="P7" i="9"/>
  <c r="Q7" i="9" l="1"/>
  <c r="R6" i="9"/>
  <c r="R7" i="9" l="1"/>
  <c r="R5" i="9"/>
  <c r="S6" i="9"/>
  <c r="R4" i="9"/>
  <c r="S7" i="9" l="1"/>
  <c r="T6" i="9"/>
  <c r="U6" i="9" l="1"/>
  <c r="T7" i="9"/>
  <c r="V6" i="9" l="1"/>
  <c r="U7" i="9"/>
  <c r="W6" i="9" l="1"/>
  <c r="V7" i="9"/>
  <c r="X6" i="9" l="1"/>
  <c r="W7" i="9"/>
  <c r="Y6" i="9" l="1"/>
  <c r="X7" i="9"/>
  <c r="Y7" i="9" l="1"/>
  <c r="Y5" i="9"/>
  <c r="Y4" i="9"/>
  <c r="Z6" i="9"/>
  <c r="Z7" i="9" l="1"/>
  <c r="AA6" i="9"/>
  <c r="AA7" i="9" l="1"/>
  <c r="AB6" i="9"/>
  <c r="AC6" i="9" l="1"/>
  <c r="AB7" i="9"/>
  <c r="AD6" i="9" l="1"/>
  <c r="AC7" i="9"/>
  <c r="AD7" i="9" l="1"/>
  <c r="AE6" i="9"/>
  <c r="AF6" i="9" l="1"/>
  <c r="AE7" i="9"/>
  <c r="AG6" i="9" l="1"/>
  <c r="AF7" i="9"/>
  <c r="AF5" i="9"/>
  <c r="AF4" i="9"/>
  <c r="AG7" i="9" l="1"/>
  <c r="AH6" i="9"/>
  <c r="AI6" i="9" l="1"/>
  <c r="AH7" i="9"/>
  <c r="AJ6" i="9" l="1"/>
  <c r="AI7" i="9"/>
  <c r="AK6" i="9" l="1"/>
  <c r="AJ7" i="9"/>
  <c r="AK7" i="9" l="1"/>
  <c r="AL6" i="9"/>
  <c r="AL7" i="9" l="1"/>
  <c r="AM6" i="9"/>
  <c r="AN6" i="9" l="1"/>
  <c r="AM7" i="9"/>
  <c r="AM5" i="9"/>
  <c r="AM4" i="9"/>
  <c r="AO6" i="9" l="1"/>
  <c r="AN7" i="9"/>
  <c r="AP6" i="9" l="1"/>
  <c r="AO7" i="9"/>
  <c r="AP7" i="9" l="1"/>
  <c r="AQ6" i="9"/>
  <c r="AR6" i="9" l="1"/>
  <c r="AQ7" i="9"/>
  <c r="AS6" i="9" l="1"/>
  <c r="AR7" i="9"/>
  <c r="AS7" i="9" l="1"/>
  <c r="AT6" i="9"/>
  <c r="AT7" i="9" l="1"/>
  <c r="AT4" i="9"/>
  <c r="AU6" i="9"/>
  <c r="AT5" i="9"/>
  <c r="AV6" i="9" l="1"/>
  <c r="AU7" i="9"/>
  <c r="AW6" i="9" l="1"/>
  <c r="AV7" i="9"/>
  <c r="AW7" i="9" l="1"/>
  <c r="AX6" i="9"/>
  <c r="AX7" i="9" l="1"/>
  <c r="AY6" i="9"/>
  <c r="AZ6" i="9" l="1"/>
  <c r="AY7" i="9"/>
  <c r="BA6" i="9" l="1"/>
  <c r="AZ7" i="9"/>
  <c r="BB6" i="9" l="1"/>
  <c r="BA7" i="9"/>
  <c r="BA5" i="9"/>
  <c r="BA4" i="9"/>
  <c r="BB7" i="9" l="1"/>
  <c r="BC6" i="9"/>
  <c r="BD6" i="9" l="1"/>
  <c r="BC7" i="9"/>
  <c r="BE6" i="9" l="1"/>
  <c r="BD7" i="9"/>
  <c r="BE7" i="9" l="1"/>
  <c r="BF6" i="9"/>
  <c r="BF7" i="9" l="1"/>
  <c r="BG6" i="9"/>
  <c r="BH6" i="9" l="1"/>
  <c r="BG7" i="9"/>
  <c r="BH4" i="9" l="1"/>
  <c r="BI6" i="9"/>
  <c r="BH7" i="9"/>
  <c r="BH5" i="9"/>
  <c r="BJ6" i="9" l="1"/>
  <c r="BI7" i="9"/>
  <c r="BJ7" i="9" l="1"/>
  <c r="BK6" i="9"/>
  <c r="BL6" i="9" l="1"/>
  <c r="BK7" i="9"/>
  <c r="BM6" i="9" l="1"/>
  <c r="BL7" i="9"/>
  <c r="BM7" i="9" l="1"/>
  <c r="BN6" i="9"/>
  <c r="BN7" i="9" s="1"/>
</calcChain>
</file>

<file path=xl/comments1.xml><?xml version="1.0" encoding="utf-8"?>
<comments xmlns="http://schemas.openxmlformats.org/spreadsheetml/2006/main">
  <authors>
    <author>Vertex42</author>
    <author>Vertex42.com Templates</author>
  </authors>
  <commentList>
    <comment ref="A7" authorId="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text>
        <r>
          <rPr>
            <b/>
            <sz val="9"/>
            <rFont val="Tahoma"/>
            <charset val="134"/>
          </rPr>
          <t>Task Description</t>
        </r>
        <r>
          <rPr>
            <sz val="9"/>
            <rFont val="Tahoma"/>
            <charset val="134"/>
          </rPr>
          <t xml:space="preserve">
Enter the name of each task and sub-task. Use indents for sub-tasks.</t>
        </r>
      </text>
    </comment>
    <comment ref="C7" authorId="0">
      <text>
        <r>
          <rPr>
            <b/>
            <sz val="9"/>
            <rFont val="Tahoma"/>
            <charset val="134"/>
          </rPr>
          <t>Task Lead</t>
        </r>
        <r>
          <rPr>
            <sz val="9"/>
            <rFont val="Tahoma"/>
            <charset val="134"/>
          </rPr>
          <t xml:space="preserve">
Enter the name of the Task Lead in this column.</t>
        </r>
      </text>
    </comment>
    <comment ref="D7" authorId="0">
      <text>
        <r>
          <rPr>
            <b/>
            <sz val="9"/>
            <rFont val="Tahoma"/>
            <charset val="134"/>
          </rPr>
          <t xml:space="preserve">Predecessor Tasks:
</t>
        </r>
        <r>
          <rPr>
            <sz val="9"/>
            <rFont val="Tahoma"/>
            <charset val="134"/>
          </rPr>
          <t>You can use this column to enter the WBS of a predecessor for reference. The PRO version uses formulas to automatically calculate the Start Date based on the Predecessor.</t>
        </r>
      </text>
    </comment>
    <comment ref="E7" authorId="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text>
        <r>
          <rPr>
            <b/>
            <sz val="9"/>
            <rFont val="Tahoma"/>
            <charset val="134"/>
          </rPr>
          <t>End Date:</t>
        </r>
        <r>
          <rPr>
            <sz val="9"/>
            <rFont val="Tahoma"/>
            <charset val="134"/>
          </rPr>
          <t xml:space="preserve">
The End Date is calculated based on the Start Date and the Calendar Days columns.</t>
        </r>
      </text>
    </comment>
    <comment ref="G7" authorId="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text>
        <r>
          <rPr>
            <b/>
            <sz val="9"/>
            <rFont val="Tahoma"/>
            <charset val="134"/>
          </rPr>
          <t>Percent Complete</t>
        </r>
        <r>
          <rPr>
            <sz val="9"/>
            <rFont val="Tahoma"/>
            <charset val="134"/>
          </rPr>
          <t xml:space="preserve">
Update the status of this task by entering the percent complete (between 0% and 100%).</t>
        </r>
      </text>
    </comment>
    <comment ref="I7" authorId="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comments2.xml><?xml version="1.0" encoding="utf-8"?>
<comments xmlns="http://schemas.openxmlformats.org/spreadsheetml/2006/main">
  <authors>
    <author>Vertex42</author>
  </authors>
  <commentList>
    <comment ref="C16" authorId="0">
      <text>
        <r>
          <rPr>
            <sz val="8"/>
            <rFont val="Tahoma"/>
            <charset val="134"/>
          </rPr>
          <t>This is an example comment.</t>
        </r>
      </text>
    </comment>
  </commentList>
</comments>
</file>

<file path=xl/sharedStrings.xml><?xml version="1.0" encoding="utf-8"?>
<sst xmlns="http://schemas.openxmlformats.org/spreadsheetml/2006/main" count="242" uniqueCount="191">
  <si>
    <t>RICEF BY LEUWITEX</t>
  </si>
  <si>
    <t xml:space="preserve">Project Start Date </t>
  </si>
  <si>
    <t xml:space="preserve">Display Week </t>
  </si>
  <si>
    <t xml:space="preserve">Project Lead </t>
  </si>
  <si>
    <t>Billy</t>
  </si>
  <si>
    <t>WBS</t>
  </si>
  <si>
    <t>TASK</t>
  </si>
  <si>
    <t>PIC</t>
  </si>
  <si>
    <t>PREDECESSOR</t>
  </si>
  <si>
    <t>START</t>
  </si>
  <si>
    <t>END</t>
  </si>
  <si>
    <t>DAYS</t>
  </si>
  <si>
    <t>% DONE</t>
  </si>
  <si>
    <t>WORK DAYS</t>
  </si>
  <si>
    <t>Baim, Budi</t>
  </si>
  <si>
    <t>Billy, Baim, Budi</t>
  </si>
  <si>
    <t>Report</t>
  </si>
  <si>
    <t>REPORT - WM - MOVING HISTORY - GUDANG GREY</t>
  </si>
  <si>
    <t>Billy, Baim</t>
  </si>
  <si>
    <t>REPORT - WM - STOCK PER BARCODE</t>
  </si>
  <si>
    <t>Baim</t>
  </si>
  <si>
    <t>REPORT - WM - LAPORAN PERSEDIAAN GUDANG PACKING</t>
  </si>
  <si>
    <t>Budi</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</si>
  <si>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</si>
  <si>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</si>
  <si>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</si>
  <si>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</si>
  <si>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</si>
  <si>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</si>
  <si>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</si>
  <si>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</si>
  <si>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</si>
  <si>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</si>
  <si>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</si>
  <si>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</si>
  <si>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</si>
  <si>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</si>
  <si>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</si>
  <si>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</si>
  <si>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</si>
  <si>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</si>
  <si>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</si>
  <si>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</si>
  <si>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</si>
  <si>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</si>
  <si>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</si>
  <si>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</si>
  <si>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</si>
  <si>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</si>
  <si>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</si>
  <si>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</si>
  <si>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</si>
  <si>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</si>
  <si>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</si>
  <si>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</si>
  <si>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</si>
  <si>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</si>
  <si>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</si>
  <si>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</si>
  <si>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</si>
  <si>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</si>
  <si>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</si>
  <si>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</si>
  <si>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</si>
  <si>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</si>
  <si>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</si>
  <si>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</si>
  <si>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</si>
  <si>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</si>
  <si>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</si>
  <si>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</si>
  <si>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</si>
  <si>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</si>
  <si>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</si>
  <si>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</si>
  <si>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</si>
  <si>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</si>
  <si>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</si>
  <si>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</si>
  <si>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</si>
  <si>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</si>
  <si>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</si>
  <si>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</si>
  <si>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</si>
  <si>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</si>
  <si>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</si>
  <si>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</si>
  <si>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</si>
  <si>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</si>
  <si>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</si>
  <si>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</si>
  <si>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</si>
  <si>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</si>
  <si>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</si>
  <si>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</si>
  <si>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</si>
  <si>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</si>
  <si>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</si>
  <si>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</si>
  <si>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</si>
  <si>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</si>
  <si>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</si>
  <si>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</si>
  <si>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</si>
  <si>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</si>
  <si>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</si>
  <si>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</si>
  <si>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</si>
  <si>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</si>
  <si>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</si>
  <si>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</si>
  <si>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</si>
  <si>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</si>
  <si>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</si>
  <si>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</si>
  <si>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</si>
  <si>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</si>
  <si>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</si>
  <si>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</si>
  <si>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</si>
  <si>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</si>
  <si>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</si>
  <si>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</si>
  <si>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</si>
  <si>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</si>
  <si>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</si>
  <si>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</si>
  <si>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</si>
  <si>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</si>
  <si>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</si>
  <si>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</si>
  <si>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</si>
  <si>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</si>
  <si>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</si>
  <si>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</si>
  <si>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</si>
  <si>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</si>
  <si>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</si>
  <si>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</si>
  <si>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</si>
  <si>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</si>
  <si>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</si>
  <si>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</si>
  <si>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</si>
  <si>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</si>
  <si>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</si>
  <si>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</si>
  <si>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</si>
  <si>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</si>
  <si>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</si>
  <si>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</si>
  <si>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</si>
  <si>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</si>
  <si>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</si>
  <si>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</si>
  <si>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</si>
  <si>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</si>
  <si>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</si>
  <si>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</si>
  <si>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</si>
  <si>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</si>
  <si>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</si>
  <si>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</si>
  <si>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</si>
  <si>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</si>
  <si>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</si>
  <si>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</si>
  <si>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</si>
  <si>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</si>
  <si>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</si>
  <si>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</si>
  <si>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</si>
  <si>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</si>
  <si>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</si>
  <si>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</si>
  <si>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</si>
  <si>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</si>
  <si>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Install Eclipse, Adobe lifecycle di PC</t>
  </si>
  <si>
    <t>BEFORE UAT</t>
  </si>
  <si>
    <t>Tanya2 ke SOLTIUS tentang SAP</t>
  </si>
  <si>
    <t>Integrasi API SAP ke Print Barcode Internal</t>
  </si>
  <si>
    <t>Integrasi API SAP untuk Bea Cukai</t>
  </si>
  <si>
    <t>Mapping IT Inventory</t>
  </si>
  <si>
    <t>Modifikasi Form Invoice (Barang Bekas, Avfal, BS, Maklon, Masker)</t>
  </si>
  <si>
    <t>Modifikasi Form Surat Jalan (Barang Bekas, Avfal, BS, Maklon, Masker)</t>
  </si>
  <si>
    <t>Modifikasi Form Transfer Posting</t>
  </si>
  <si>
    <t>Modifikasi Form Purchase Order</t>
  </si>
  <si>
    <t xml:space="preserve">Modifikasi Form Good Receipt </t>
  </si>
  <si>
    <t xml:space="preserve">Modifikasi Form Good Issue </t>
  </si>
  <si>
    <t xml:space="preserve">Modifikasi Form Bukti Tanda Terima </t>
  </si>
  <si>
    <t>AFTER UAT(9 Feb 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</si>
</sst>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m/d/yyyy\ \(dddd\)"/>
    <numFmt numFmtId="165" formatCode="ddd\ m/dd/yy"/>
    <numFmt numFmtId="166" formatCode="d\ mmm\ yyyy"/>
    <numFmt numFmtId="167" formatCode="d"/>
  </numFmts>
  <fonts count="49">
    <font>
      <sz val="10"/>
      <name val="Arial"/>
      <charset val="134"/>
    </font>
    <font>
      <sz val="10"/>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9"/>
      <name val="Arial"/>
      <charset val="134"/>
      <scheme val="minor"/>
    </font>
    <font>
      <sz val="16"/>
      <color theme="4" tint="-0.249977111117893"/>
      <name val="Arial"/>
      <charset val="134"/>
      <scheme val="major"/>
    </font>
    <font>
      <sz val="14"/>
      <color indexed="56"/>
      <name val="Arial"/>
      <charset val="134"/>
    </font>
    <font>
      <sz val="11"/>
      <name val="Arial"/>
      <charset val="134"/>
      <scheme val="major"/>
    </font>
    <font>
      <sz val="9"/>
      <name val="Arial"/>
      <charset val="134"/>
    </font>
    <font>
      <u/>
      <sz val="8"/>
      <color indexed="12"/>
      <name val="Arial"/>
      <charset val="134"/>
    </font>
    <font>
      <sz val="7"/>
      <color indexed="55"/>
      <name val="Arial"/>
      <charset val="134"/>
    </font>
    <font>
      <sz val="10"/>
      <name val="Arial"/>
      <charset val="134"/>
      <scheme val="major"/>
    </font>
    <font>
      <sz val="10"/>
      <name val="Arial"/>
      <charset val="134"/>
      <scheme val="minor"/>
    </font>
    <font>
      <sz val="10"/>
      <name val="Arial"/>
      <charset val="134"/>
      <scheme val="major"/>
    </font>
    <font>
      <b/>
      <sz val="9"/>
      <name val="Arial"/>
      <charset val="134"/>
      <scheme val="major"/>
    </font>
    <font>
      <b/>
      <sz val="8"/>
      <name val="Arial"/>
      <charset val="134"/>
      <scheme val="major"/>
    </font>
    <font>
      <b/>
      <sz val="11"/>
      <name val="Arial"/>
      <charset val="134"/>
      <scheme val="minor"/>
    </font>
    <font>
      <sz val="9"/>
      <color rgb="FF000000"/>
      <name val="Arial"/>
      <charset val="134"/>
      <scheme val="minor"/>
    </font>
    <font>
      <sz val="11"/>
      <color indexed="8"/>
      <name val="Calibri"/>
      <charset val="134"/>
    </font>
    <font>
      <i/>
      <sz val="8"/>
      <color theme="0" tint="-0.34998626667073579"/>
      <name val="Arial"/>
      <charset val="134"/>
    </font>
    <font>
      <u/>
      <sz val="10"/>
      <color indexed="12"/>
      <name val="Arial"/>
      <charset val="134"/>
    </font>
    <font>
      <sz val="11"/>
      <name val="Arial"/>
      <charset val="134"/>
      <scheme val="minor"/>
    </font>
    <font>
      <sz val="14"/>
      <name val="Arial"/>
      <charset val="134"/>
      <scheme val="minor"/>
    </font>
    <font>
      <sz val="14"/>
      <color rgb="FF000000"/>
      <name val="Arial"/>
      <charset val="134"/>
      <scheme val="minor"/>
    </font>
    <font>
      <i/>
      <sz val="11"/>
      <name val="Arial"/>
      <charset val="134"/>
    </font>
    <font>
      <i/>
      <sz val="11"/>
      <color rgb="FF000000"/>
      <name val="Arial"/>
      <charset val="134"/>
    </font>
    <font>
      <b/>
      <sz val="11"/>
      <color rgb="FFFF0000"/>
      <name val="Arial"/>
      <charset val="134"/>
    </font>
    <font>
      <sz val="9"/>
      <name val="Tahoma"/>
      <charset val="134"/>
    </font>
    <font>
      <b/>
      <sz val="9"/>
      <name val="Tahoma"/>
      <charset val="134"/>
    </font>
    <font>
      <i/>
      <sz val="9"/>
      <name val="Tahoma"/>
      <charset val="134"/>
    </font>
    <font>
      <b/>
      <i/>
      <sz val="9"/>
      <name val="Tahoma"/>
      <charset val="134"/>
    </font>
    <font>
      <sz val="8"/>
      <name val="Tahoma"/>
      <charset val="134"/>
    </font>
  </fonts>
  <fills count="7">
    <fill>
      <patternFill patternType="none"/>
    </fill>
    <fill>
      <patternFill patternType="gray125"/>
    </fill>
    <fill>
      <patternFill patternType="solid">
        <fgColor indexed="22"/>
        <bgColor indexed="64"/>
      </patternFill>
    </fill>
    <fill>
      <patternFill patternType="solid">
        <fgColor theme="3" tint="0.79995117038483843"/>
        <bgColor indexed="64"/>
      </patternFill>
    </fill>
    <fill>
      <patternFill patternType="solid">
        <fgColor theme="0" tint="-0.14996795556505021"/>
        <bgColor indexed="64"/>
      </patternFill>
    </fill>
    <fill>
      <patternFill patternType="solid">
        <fgColor indexed="9"/>
        <bgColor indexed="64"/>
      </patternFill>
    </fill>
    <fill>
      <patternFill patternType="solid">
        <fgColor theme="3" tint="0.79995117038483843"/>
        <bgColor rgb="FFD6F4D9"/>
      </patternFill>
    </fill>
  </fills>
  <borders count="15">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style="thin">
        <color indexed="22"/>
      </top>
      <bottom style="thin">
        <color indexed="22"/>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right/>
      <top/>
      <bottom style="thin">
        <color indexed="22"/>
      </bottom>
      <diagonal/>
    </border>
    <border>
      <left/>
      <right/>
      <top style="thin">
        <color rgb="FFEFEFEF"/>
      </top>
      <bottom style="thin">
        <color rgb="FFEFEFEF"/>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diagonal/>
    </border>
    <border>
      <left style="thin">
        <color theme="0" tint="-0.24994659260841701"/>
      </left>
      <right style="medium">
        <color theme="0" tint="-0.24994659260841701"/>
      </right>
      <top/>
      <bottom style="medium">
        <color theme="0" tint="-0.34998626667073579"/>
      </bottom>
      <diagonal/>
    </border>
  </borders>
  <cellStyleXfs count="3">
    <xf numFmtId="0" fontId="0" fillId="0" borderId="0"/>
    <xf numFmtId="9" fontId="1" fillId="0" borderId="0" applyFont="0" applyFill="0" applyBorder="0" applyAlignment="0" applyProtection="0"/>
    <xf numFmtId="0" fontId="37" fillId="0" borderId="0" applyNumberFormat="0" applyFill="0" applyBorder="0" applyAlignment="0" applyProtection="0">
      <alignment vertical="top"/>
      <protection locked="0"/>
    </xf>
  </cellStyleXfs>
  <cellXfs count="114">
    <xf numFmtId="0" fontId="0" fillId="0" borderId="0" xfId="0"/>
    <xf numFmtId="0" fontId="1" fillId="0" borderId="0" xfId="0" applyFont="1"/>
    <xf numFmtId="0" fontId="2" fillId="0" borderId="0" xfId="0" applyFont="1" applyAlignment="1">
      <alignment horizontal="left" vertical="center"/>
    </xf>
    <xf numFmtId="0" fontId="3" fillId="0" borderId="0" xfId="0" applyFont="1" applyAlignment="1">
      <alignment horizontal="left" wrapText="1"/>
    </xf>
    <xf numFmtId="0" fontId="1" fillId="0" borderId="1" xfId="0" applyFont="1" applyBorder="1"/>
    <xf numFmtId="0" fontId="3" fillId="0" borderId="1" xfId="0" applyFont="1" applyBorder="1" applyAlignment="1">
      <alignment horizontal="left" wrapText="1"/>
    </xf>
    <xf numFmtId="0" fontId="0" fillId="0" borderId="1" xfId="0" applyBorder="1"/>
    <xf numFmtId="0" fontId="1" fillId="0" borderId="2" xfId="0" applyFont="1" applyBorder="1"/>
    <xf numFmtId="0" fontId="4" fillId="0" borderId="1" xfId="2" applyFont="1" applyBorder="1" applyAlignment="1" applyProtection="1">
      <alignment wrapText="1"/>
    </xf>
    <xf numFmtId="0" fontId="0" fillId="0" borderId="2" xfId="0" applyBorder="1"/>
    <xf numFmtId="0" fontId="3" fillId="0" borderId="2" xfId="0" applyFont="1" applyBorder="1" applyAlignment="1">
      <alignment horizontal="left" wrapText="1"/>
    </xf>
    <xf numFmtId="0" fontId="5" fillId="0" borderId="2" xfId="0" applyFont="1" applyBorder="1" applyAlignment="1">
      <alignment horizontal="left" wrapText="1"/>
    </xf>
    <xf numFmtId="0" fontId="6" fillId="0" borderId="2" xfId="2" applyFont="1" applyBorder="1" applyAlignment="1" applyProtection="1">
      <alignment horizontal="left" wrapText="1"/>
    </xf>
    <xf numFmtId="0" fontId="3" fillId="0" borderId="2" xfId="0" applyFont="1" applyBorder="1" applyAlignment="1">
      <alignment horizontal="left"/>
    </xf>
    <xf numFmtId="0" fontId="1" fillId="0" borderId="0" xfId="0" applyFont="1" applyAlignment="1">
      <alignment vertical="center"/>
    </xf>
    <xf numFmtId="0" fontId="7" fillId="0" borderId="0" xfId="0" applyFont="1" applyAlignment="1">
      <alignment horizontal="left" vertical="center"/>
    </xf>
    <xf numFmtId="0" fontId="4" fillId="0" borderId="0" xfId="2" applyFont="1" applyAlignment="1" applyProtection="1"/>
    <xf numFmtId="0" fontId="8" fillId="0" borderId="0" xfId="0" applyFont="1" applyAlignment="1">
      <alignment horizontal="right"/>
    </xf>
    <xf numFmtId="0" fontId="9" fillId="0" borderId="0" xfId="0" applyFont="1"/>
    <xf numFmtId="0" fontId="10" fillId="0" borderId="0" xfId="0" applyFont="1"/>
    <xf numFmtId="0" fontId="11" fillId="0" borderId="0" xfId="0" applyFont="1" applyAlignment="1">
      <alignment horizontal="left" wrapText="1"/>
    </xf>
    <xf numFmtId="0" fontId="11" fillId="0" borderId="0" xfId="0" applyFont="1" applyAlignment="1">
      <alignment wrapText="1"/>
    </xf>
    <xf numFmtId="0" fontId="12" fillId="0" borderId="0" xfId="0" applyFont="1" applyAlignment="1">
      <alignment vertical="center"/>
    </xf>
    <xf numFmtId="0" fontId="11" fillId="0" borderId="0" xfId="0" applyFont="1" applyAlignment="1">
      <alignment vertical="center" wrapText="1"/>
    </xf>
    <xf numFmtId="0" fontId="1" fillId="2" borderId="0" xfId="0" applyFont="1" applyFill="1" applyAlignment="1">
      <alignment horizontal="center" vertical="center"/>
    </xf>
    <xf numFmtId="0" fontId="12" fillId="0" borderId="0" xfId="0" applyFont="1"/>
    <xf numFmtId="0" fontId="1" fillId="3" borderId="0" xfId="0" applyFont="1" applyFill="1" applyAlignment="1">
      <alignment horizontal="center" vertical="center"/>
    </xf>
    <xf numFmtId="0" fontId="13" fillId="0" borderId="0" xfId="0" applyFont="1" applyAlignment="1">
      <alignment vertical="center" wrapText="1"/>
    </xf>
    <xf numFmtId="0" fontId="14" fillId="0" borderId="0" xfId="0" applyFont="1"/>
    <xf numFmtId="0" fontId="15" fillId="0" borderId="0" xfId="0" applyFont="1"/>
    <xf numFmtId="0" fontId="4" fillId="0" borderId="0" xfId="2" applyFont="1" applyFill="1" applyBorder="1" applyAlignment="1" applyProtection="1">
      <alignment vertical="center"/>
    </xf>
    <xf numFmtId="0" fontId="8" fillId="0" borderId="0" xfId="0" applyFont="1" applyAlignment="1">
      <alignment wrapText="1"/>
    </xf>
    <xf numFmtId="0" fontId="16" fillId="0" borderId="0" xfId="0" applyFont="1" applyAlignment="1">
      <alignment horizontal="right"/>
    </xf>
    <xf numFmtId="0" fontId="11" fillId="0" borderId="0" xfId="0" applyFont="1"/>
    <xf numFmtId="0" fontId="1" fillId="0" borderId="0" xfId="0" applyFont="1" applyAlignment="1">
      <alignment horizontal="left" wrapText="1" indent="1"/>
    </xf>
    <xf numFmtId="0" fontId="15" fillId="0" borderId="0" xfId="0" applyFont="1" applyAlignment="1">
      <alignment horizontal="right"/>
    </xf>
    <xf numFmtId="0" fontId="17" fillId="0" borderId="0" xfId="0" applyFont="1" applyAlignment="1">
      <alignment vertical="center" wrapText="1"/>
    </xf>
    <xf numFmtId="0" fontId="11" fillId="0" borderId="0" xfId="0" applyFont="1" applyAlignment="1">
      <alignment horizontal="left" vertical="center" wrapText="1"/>
    </xf>
    <xf numFmtId="0" fontId="11" fillId="0" borderId="0" xfId="0" applyFont="1" applyAlignment="1">
      <alignment horizontal="left" indent="1"/>
    </xf>
    <xf numFmtId="0" fontId="17" fillId="0" borderId="0" xfId="0" applyFont="1"/>
    <xf numFmtId="0" fontId="16" fillId="0" borderId="0" xfId="0" applyFont="1" applyAlignment="1">
      <alignment horizontal="left" wrapText="1"/>
    </xf>
    <xf numFmtId="0" fontId="18" fillId="0" borderId="0" xfId="0" applyFont="1" applyAlignment="1">
      <alignment horizontal="left" indent="1"/>
    </xf>
    <xf numFmtId="0" fontId="8" fillId="0" borderId="0" xfId="0" applyFont="1" applyAlignment="1">
      <alignment horizontal="left" vertical="center"/>
    </xf>
    <xf numFmtId="0" fontId="2" fillId="0" borderId="0" xfId="0" applyFont="1" applyAlignment="1">
      <alignment vertical="center"/>
    </xf>
    <xf numFmtId="0" fontId="19" fillId="0" borderId="0" xfId="2" applyFont="1" applyAlignment="1" applyProtection="1"/>
    <xf numFmtId="0" fontId="20" fillId="0" borderId="0" xfId="0" applyFont="1"/>
    <xf numFmtId="0" fontId="18" fillId="0" borderId="0" xfId="0" applyFont="1"/>
    <xf numFmtId="0" fontId="21" fillId="4" borderId="3" xfId="0" applyFont="1" applyFill="1" applyBorder="1" applyAlignment="1">
      <alignment vertical="center"/>
    </xf>
    <xf numFmtId="0" fontId="21" fillId="0" borderId="3" xfId="0" applyFont="1" applyBorder="1" applyAlignment="1">
      <alignment vertical="center"/>
    </xf>
    <xf numFmtId="0" fontId="22" fillId="0" borderId="0" xfId="0" applyFont="1" applyAlignment="1" applyProtection="1">
      <alignment vertical="center"/>
      <protection locked="0"/>
    </xf>
    <xf numFmtId="0" fontId="23" fillId="0" borderId="0" xfId="0" applyFont="1" applyAlignment="1" applyProtection="1">
      <alignment vertical="center"/>
      <protection locked="0"/>
    </xf>
    <xf numFmtId="0" fontId="24" fillId="0" borderId="0" xfId="0" applyFont="1" applyAlignment="1" applyProtection="1">
      <alignment vertical="center"/>
      <protection locked="0"/>
    </xf>
    <xf numFmtId="0" fontId="25" fillId="0" borderId="0" xfId="0" applyFont="1" applyProtection="1">
      <protection locked="0"/>
    </xf>
    <xf numFmtId="0" fontId="26" fillId="5" borderId="0" xfId="2" applyNumberFormat="1" applyFont="1" applyFill="1" applyAlignment="1" applyProtection="1">
      <alignment horizontal="right"/>
      <protection locked="0"/>
    </xf>
    <xf numFmtId="0" fontId="27" fillId="0" borderId="0" xfId="0" applyFont="1" applyProtection="1">
      <protection locked="0"/>
    </xf>
    <xf numFmtId="0" fontId="0" fillId="5" borderId="0" xfId="0" applyFill="1"/>
    <xf numFmtId="0" fontId="28" fillId="0" borderId="0" xfId="0" applyFont="1"/>
    <xf numFmtId="0" fontId="28" fillId="0" borderId="0" xfId="0" applyFont="1" applyAlignment="1">
      <alignment horizontal="right" vertical="center"/>
    </xf>
    <xf numFmtId="0" fontId="29" fillId="0" borderId="4" xfId="0" applyFont="1" applyBorder="1" applyAlignment="1" applyProtection="1">
      <alignment horizontal="center" vertical="center"/>
      <protection locked="0"/>
    </xf>
    <xf numFmtId="0" fontId="30" fillId="0" borderId="0" xfId="0" applyFont="1"/>
    <xf numFmtId="0" fontId="31" fillId="0" borderId="6" xfId="0" applyFont="1" applyBorder="1" applyAlignment="1">
      <alignment horizontal="left" vertical="center"/>
    </xf>
    <xf numFmtId="0" fontId="31" fillId="0" borderId="6" xfId="0" applyFont="1" applyBorder="1" applyAlignment="1">
      <alignment horizontal="center" vertical="center" wrapText="1"/>
    </xf>
    <xf numFmtId="0" fontId="32" fillId="0" borderId="6" xfId="0" applyFont="1" applyBorder="1" applyAlignment="1">
      <alignment horizontal="center" vertical="center" wrapText="1"/>
    </xf>
    <xf numFmtId="0" fontId="31" fillId="0" borderId="6" xfId="0" applyFont="1" applyBorder="1" applyAlignment="1">
      <alignment horizontal="center" vertical="center"/>
    </xf>
    <xf numFmtId="0" fontId="33" fillId="4" borderId="7" xfId="0" applyFont="1" applyFill="1" applyBorder="1" applyAlignment="1">
      <alignment horizontal="left" vertical="center"/>
    </xf>
    <xf numFmtId="0" fontId="33" fillId="4" borderId="7" xfId="0" applyFont="1" applyFill="1" applyBorder="1" applyAlignment="1">
      <alignment vertical="center"/>
    </xf>
    <xf numFmtId="0" fontId="21" fillId="4" borderId="7" xfId="0" applyFont="1" applyFill="1" applyBorder="1" applyAlignment="1">
      <alignment vertical="center"/>
    </xf>
    <xf numFmtId="0" fontId="21" fillId="4" borderId="7" xfId="0" applyFont="1" applyFill="1" applyBorder="1" applyAlignment="1">
      <alignment horizontal="center" vertical="center"/>
    </xf>
    <xf numFmtId="165" fontId="21" fillId="4" borderId="7" xfId="0" applyNumberFormat="1" applyFont="1" applyFill="1" applyBorder="1" applyAlignment="1">
      <alignment horizontal="right" vertical="center"/>
    </xf>
    <xf numFmtId="165" fontId="21" fillId="4" borderId="7" xfId="0" applyNumberFormat="1" applyFont="1" applyFill="1" applyBorder="1" applyAlignment="1">
      <alignment horizontal="center" vertical="center"/>
    </xf>
    <xf numFmtId="1" fontId="21" fillId="4" borderId="7" xfId="1" applyNumberFormat="1" applyFont="1" applyFill="1" applyBorder="1" applyAlignment="1" applyProtection="1">
      <alignment horizontal="center" vertical="center"/>
    </xf>
    <xf numFmtId="9" fontId="21" fillId="4" borderId="7" xfId="1" applyFont="1" applyFill="1" applyBorder="1" applyAlignment="1" applyProtection="1">
      <alignment horizontal="center" vertical="center"/>
    </xf>
    <xf numFmtId="0" fontId="21" fillId="0" borderId="3" xfId="0" applyFont="1" applyBorder="1" applyAlignment="1">
      <alignment horizontal="left" vertical="center"/>
    </xf>
    <xf numFmtId="0" fontId="21" fillId="0" borderId="3" xfId="0" applyFont="1" applyBorder="1" applyAlignment="1">
      <alignment vertical="center" wrapText="1"/>
    </xf>
    <xf numFmtId="0" fontId="34" fillId="0" borderId="8" xfId="0" applyFont="1" applyBorder="1" applyAlignment="1">
      <alignment horizontal="center" vertical="center"/>
    </xf>
    <xf numFmtId="165" fontId="34" fillId="6" borderId="8" xfId="0" applyNumberFormat="1" applyFont="1" applyFill="1" applyBorder="1" applyAlignment="1">
      <alignment horizontal="center" vertical="center"/>
    </xf>
    <xf numFmtId="165" fontId="34" fillId="0" borderId="8" xfId="0" applyNumberFormat="1" applyFont="1" applyBorder="1" applyAlignment="1">
      <alignment horizontal="center" vertical="center"/>
    </xf>
    <xf numFmtId="1" fontId="34" fillId="3" borderId="8" xfId="0" applyNumberFormat="1" applyFont="1" applyFill="1" applyBorder="1" applyAlignment="1">
      <alignment horizontal="center" vertical="center"/>
    </xf>
    <xf numFmtId="9" fontId="34" fillId="3" borderId="8" xfId="1" applyFont="1" applyFill="1" applyBorder="1" applyAlignment="1" applyProtection="1">
      <alignment horizontal="center" vertical="center"/>
    </xf>
    <xf numFmtId="0" fontId="33" fillId="4" borderId="3" xfId="0" applyFont="1" applyFill="1" applyBorder="1" applyAlignment="1">
      <alignment horizontal="left" vertical="center"/>
    </xf>
    <xf numFmtId="0" fontId="33" fillId="4" borderId="3" xfId="0" applyFont="1" applyFill="1" applyBorder="1" applyAlignment="1">
      <alignment vertical="center"/>
    </xf>
    <xf numFmtId="0" fontId="21" fillId="4" borderId="3" xfId="0" applyFont="1" applyFill="1" applyBorder="1" applyAlignment="1">
      <alignment horizontal="center" vertical="center"/>
    </xf>
    <xf numFmtId="165" fontId="21" fillId="4" borderId="3" xfId="0" applyNumberFormat="1" applyFont="1" applyFill="1" applyBorder="1" applyAlignment="1">
      <alignment horizontal="center" vertical="center"/>
    </xf>
    <xf numFmtId="1" fontId="21" fillId="4" borderId="3" xfId="1" applyNumberFormat="1" applyFont="1" applyFill="1" applyBorder="1" applyAlignment="1" applyProtection="1">
      <alignment horizontal="center" vertical="center"/>
    </xf>
    <xf numFmtId="9" fontId="21" fillId="4" borderId="3" xfId="1" applyFont="1" applyFill="1" applyBorder="1" applyAlignment="1" applyProtection="1">
      <alignment horizontal="center" vertical="center"/>
    </xf>
    <xf numFmtId="0" fontId="35" fillId="0" borderId="0" xfId="0" applyNumberFormat="1" applyFont="1" applyFill="1" applyBorder="1" applyAlignment="1" applyProtection="1">
      <alignment vertical="center" wrapText="1"/>
    </xf>
    <xf numFmtId="0" fontId="1" fillId="0" borderId="0" xfId="0" applyFont="1" applyAlignment="1">
      <alignment horizontal="right" vertical="center"/>
    </xf>
    <xf numFmtId="0" fontId="37" fillId="0" borderId="0" xfId="2" applyAlignment="1" applyProtection="1">
      <alignment horizontal="left"/>
    </xf>
    <xf numFmtId="167" fontId="8" fillId="0" borderId="9" xfId="0" applyNumberFormat="1" applyFont="1" applyBorder="1" applyAlignment="1">
      <alignment horizontal="center" vertical="center" shrinkToFit="1"/>
    </xf>
    <xf numFmtId="167" fontId="8" fillId="0" borderId="10" xfId="0" applyNumberFormat="1" applyFont="1" applyBorder="1" applyAlignment="1">
      <alignment horizontal="center" vertical="center" shrinkToFit="1"/>
    </xf>
    <xf numFmtId="0" fontId="21" fillId="0" borderId="11" xfId="0" applyFont="1" applyBorder="1" applyAlignment="1">
      <alignment horizontal="center" vertical="center" shrinkToFit="1"/>
    </xf>
    <xf numFmtId="0" fontId="21" fillId="0" borderId="12" xfId="0" applyFont="1" applyBorder="1" applyAlignment="1">
      <alignment horizontal="center" vertical="center" shrinkToFit="1"/>
    </xf>
    <xf numFmtId="1" fontId="21" fillId="4" borderId="7" xfId="0" applyNumberFormat="1" applyFont="1" applyFill="1" applyBorder="1" applyAlignment="1">
      <alignment horizontal="center" vertical="center"/>
    </xf>
    <xf numFmtId="1" fontId="39" fillId="4" borderId="7" xfId="0" applyNumberFormat="1" applyFont="1" applyFill="1" applyBorder="1" applyAlignment="1">
      <alignment horizontal="center" vertical="center"/>
    </xf>
    <xf numFmtId="0" fontId="21" fillId="4" borderId="7" xfId="0" applyFont="1" applyFill="1" applyBorder="1" applyAlignment="1">
      <alignment horizontal="left" vertical="center"/>
    </xf>
    <xf numFmtId="1" fontId="34" fillId="0" borderId="8" xfId="0" applyNumberFormat="1" applyFont="1" applyBorder="1" applyAlignment="1">
      <alignment horizontal="center" vertical="center"/>
    </xf>
    <xf numFmtId="1" fontId="40" fillId="0" borderId="8" xfId="0" applyNumberFormat="1" applyFont="1" applyBorder="1" applyAlignment="1">
      <alignment horizontal="center" vertical="center"/>
    </xf>
    <xf numFmtId="1" fontId="21" fillId="4" borderId="3" xfId="0" applyNumberFormat="1" applyFont="1" applyFill="1" applyBorder="1" applyAlignment="1">
      <alignment horizontal="center" vertical="center"/>
    </xf>
    <xf numFmtId="1" fontId="39" fillId="4" borderId="3" xfId="0" applyNumberFormat="1" applyFont="1" applyFill="1" applyBorder="1" applyAlignment="1">
      <alignment horizontal="center" vertical="center"/>
    </xf>
    <xf numFmtId="0" fontId="21" fillId="4" borderId="3" xfId="0" applyFont="1" applyFill="1" applyBorder="1" applyAlignment="1">
      <alignment horizontal="left" vertical="center"/>
    </xf>
    <xf numFmtId="167" fontId="8" fillId="0" borderId="13" xfId="0" applyNumberFormat="1" applyFont="1" applyBorder="1" applyAlignment="1">
      <alignment horizontal="center" vertical="center" shrinkToFit="1"/>
    </xf>
    <xf numFmtId="0" fontId="21" fillId="0" borderId="14" xfId="0" applyFont="1" applyBorder="1" applyAlignment="1">
      <alignment horizontal="center" vertical="center" shrinkToFit="1"/>
    </xf>
    <xf numFmtId="0" fontId="11" fillId="0" borderId="0" xfId="0" quotePrefix="1" applyFont="1" applyAlignment="1">
      <alignment horizontal="left" wrapText="1" indent="1"/>
    </xf>
    <xf numFmtId="0" fontId="11" fillId="0" borderId="0" xfId="0" quotePrefix="1" applyFont="1" applyAlignment="1">
      <alignment wrapText="1"/>
    </xf>
    <xf numFmtId="166" fontId="29" fillId="0" borderId="9" xfId="0" applyNumberFormat="1" applyFont="1" applyBorder="1" applyAlignment="1">
      <alignment horizontal="center" vertical="center"/>
    </xf>
    <xf numFmtId="166" fontId="29" fillId="0" borderId="10" xfId="0" applyNumberFormat="1" applyFont="1" applyBorder="1" applyAlignment="1">
      <alignment horizontal="center" vertical="center"/>
    </xf>
    <xf numFmtId="166" fontId="29" fillId="0" borderId="13" xfId="0" applyNumberFormat="1" applyFont="1" applyBorder="1" applyAlignment="1">
      <alignment horizontal="center" vertical="center"/>
    </xf>
    <xf numFmtId="164" fontId="29" fillId="0" borderId="5" xfId="0" applyNumberFormat="1" applyFont="1" applyBorder="1" applyAlignment="1" applyProtection="1">
      <alignment horizontal="center" vertical="center" shrinkToFit="1"/>
      <protection locked="0"/>
    </xf>
    <xf numFmtId="0" fontId="38" fillId="0" borderId="9" xfId="0" applyFont="1" applyBorder="1" applyAlignment="1">
      <alignment horizontal="center" vertical="center"/>
    </xf>
    <xf numFmtId="0" fontId="38" fillId="0" borderId="10" xfId="0" applyFont="1" applyBorder="1" applyAlignment="1">
      <alignment horizontal="center" vertical="center"/>
    </xf>
    <xf numFmtId="0" fontId="38" fillId="0" borderId="13" xfId="0" applyFont="1" applyBorder="1" applyAlignment="1">
      <alignment horizontal="center" vertical="center"/>
    </xf>
    <xf numFmtId="0" fontId="36" fillId="0" borderId="0" xfId="2" applyFont="1" applyBorder="1" applyAlignment="1" applyProtection="1">
      <alignment horizontal="left" vertical="center"/>
    </xf>
    <xf numFmtId="164" fontId="29" fillId="0" borderId="4" xfId="0" applyNumberFormat="1" applyFont="1" applyBorder="1" applyAlignment="1" applyProtection="1">
      <alignment horizontal="center" vertical="center" shrinkToFit="1"/>
      <protection locked="0"/>
    </xf>
    <xf numFmtId="0" fontId="9" fillId="0" borderId="0" xfId="0" applyFont="1" applyAlignment="1">
      <alignment horizontal="left"/>
    </xf>
  </cellXfs>
  <cellStyles count="3">
    <cellStyle name="Hyperlink" xfId="2" builtinId="8"/>
    <cellStyle name="Normal" xfId="0" builtinId="0"/>
    <cellStyle name="Percent" xfId="1" builtinId="5"/>
  </cellStyles>
  <dxfs count="71">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ont>
        <color theme="0"/>
      </font>
      <fill>
        <patternFill patternType="solid">
          <bgColor theme="5"/>
        </patternFill>
      </fill>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rgb="FF0070C0"/>
        </patternFill>
      </fill>
    </dxf>
    <dxf>
      <fill>
        <patternFill patternType="solid">
          <bgColor theme="0" tint="-0.499984740745262"/>
        </patternFill>
      </fill>
    </dxf>
    <dxf>
      <border>
        <left style="thin">
          <color rgb="FFC00000"/>
        </left>
        <right style="thin">
          <color rgb="FFC00000"/>
        </right>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809625</xdr:colOff>
      <xdr:row>5</xdr:row>
      <xdr:rowOff>142875</xdr:rowOff>
    </xdr:from>
    <xdr:to>
      <xdr:col>7</xdr:col>
      <xdr:colOff>400050</xdr:colOff>
      <xdr:row>10</xdr:row>
      <xdr:rowOff>80433</xdr:rowOff>
    </xdr:to>
    <xdr:sp macro="" textlink="">
      <xdr:nvSpPr>
        <xdr:cNvPr id="8236" name="Text Box 44" hidden="1"/>
        <xdr:cNvSpPr txBox="1">
          <a:spLocks noChangeArrowheads="1"/>
        </xdr:cNvSpPr>
      </xdr:nvSpPr>
      <xdr:spPr>
        <a:xfrm>
          <a:off x="4953000" y="1371600"/>
          <a:ext cx="3419475" cy="1223010"/>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Lst>
            </xdr:cNvPr>
            <xdr:cNvSpPr/>
          </xdr:nvSpPr>
          <xdr:spPr>
            <a:xfrm>
              <a:off x="0" y="0"/>
              <a:ext cx="0" cy="0"/>
            </a:xfrm>
            <a:prstGeom prst="rect">
              <a:avLst/>
            </a:prstGeom>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pageSetUpPr fitToPage="1"/>
  </sheetPr>
  <dimension ref="A1:BN93"/>
  <sheetViews>
    <sheetView showGridLines="0" tabSelected="1" workbookViewId="0">
      <pane ySplit="7" topLeftCell="A17" activePane="bottomLeft" state="frozen"/>
      <selection pane="bottomLeft" activeCell="B22" sqref="B22"/>
    </sheetView>
  </sheetViews>
  <sheetFormatPr defaultColWidth="9.140625" defaultRowHeight="12.75"/>
  <cols>
    <col min="1" max="1" width="6.85546875" customWidth="1"/>
    <col min="2" max="2" width="55.28515625" customWidth="1"/>
    <col min="3" max="3" width="13.42578125" customWidth="1"/>
    <col min="4" max="4" width="14" customWidth="1"/>
    <col min="5" max="6" width="12" customWidth="1"/>
    <col min="7" max="7" width="6" customWidth="1"/>
    <col min="8" max="8" width="6.7109375" customWidth="1"/>
    <col min="9" max="9" width="6.42578125" customWidth="1"/>
    <col min="10" max="10" width="1.85546875" customWidth="1"/>
    <col min="11" max="66" width="2.42578125" customWidth="1"/>
  </cols>
  <sheetData>
    <row r="1" spans="1:66" ht="30" customHeight="1">
      <c r="A1" s="49" t="s">
        <v>0</v>
      </c>
      <c r="B1" s="50"/>
      <c r="C1" s="50"/>
      <c r="D1" s="50"/>
      <c r="E1" s="50"/>
      <c r="F1" s="50"/>
      <c r="I1" s="86"/>
      <c r="K1" s="111"/>
      <c r="L1" s="111"/>
      <c r="M1" s="111"/>
      <c r="N1" s="111"/>
      <c r="O1" s="111"/>
      <c r="P1" s="111"/>
      <c r="Q1" s="111"/>
      <c r="R1" s="111"/>
      <c r="S1" s="111"/>
      <c r="T1" s="111"/>
      <c r="U1" s="111"/>
      <c r="V1" s="111"/>
      <c r="W1" s="111"/>
      <c r="X1" s="111"/>
      <c r="Y1" s="111"/>
      <c r="Z1" s="111"/>
      <c r="AA1" s="111"/>
      <c r="AB1" s="111"/>
      <c r="AC1" s="111"/>
      <c r="AD1" s="111"/>
      <c r="AE1" s="111"/>
    </row>
    <row r="2" spans="1:66" ht="18" customHeight="1">
      <c r="A2" s="51"/>
      <c r="B2" s="52"/>
      <c r="C2" s="52"/>
      <c r="D2" s="53"/>
      <c r="E2" s="54"/>
      <c r="F2" s="54"/>
      <c r="H2" s="55"/>
    </row>
    <row r="3" spans="1:66" ht="14.25">
      <c r="A3" s="51"/>
      <c r="B3" s="1"/>
      <c r="H3" s="55"/>
      <c r="K3" s="87"/>
      <c r="L3" s="87"/>
      <c r="M3" s="87"/>
      <c r="N3" s="87"/>
      <c r="O3" s="87"/>
      <c r="P3" s="87"/>
      <c r="Q3" s="87"/>
      <c r="R3" s="87"/>
      <c r="S3" s="87"/>
      <c r="T3" s="87"/>
      <c r="U3" s="87"/>
      <c r="V3" s="87"/>
      <c r="W3" s="87"/>
      <c r="X3" s="87"/>
      <c r="Y3" s="87"/>
      <c r="Z3" s="87"/>
      <c r="AA3" s="87"/>
    </row>
    <row r="4" spans="1:66" ht="17.25" customHeight="1">
      <c r="A4" s="56"/>
      <c r="B4" s="57" t="s">
        <v>1</v>
      </c>
      <c r="C4" s="112">
        <v>45986</v>
      </c>
      <c r="D4" s="112"/>
      <c r="E4" s="112"/>
      <c r="F4" s="56"/>
      <c r="G4" s="57" t="s">
        <v>2</v>
      </c>
      <c r="H4" s="58">
        <v>1</v>
      </c>
      <c r="I4" s="1"/>
      <c r="J4" s="59"/>
      <c r="K4" s="108" t="str">
        <f>"Week "&amp;(K6-($C$4-WEEKDAY($C$4,1)+2))/7+1</f>
        <v>Week 1</v>
      </c>
      <c r="L4" s="109"/>
      <c r="M4" s="109"/>
      <c r="N4" s="109"/>
      <c r="O4" s="109"/>
      <c r="P4" s="109"/>
      <c r="Q4" s="110"/>
      <c r="R4" s="108" t="str">
        <f>"Week "&amp;(R6-($C$4-WEEKDAY($C$4,1)+2))/7+1</f>
        <v>Week 2</v>
      </c>
      <c r="S4" s="109"/>
      <c r="T4" s="109"/>
      <c r="U4" s="109"/>
      <c r="V4" s="109"/>
      <c r="W4" s="109"/>
      <c r="X4" s="110"/>
      <c r="Y4" s="108" t="str">
        <f>"Week "&amp;(Y6-($C$4-WEEKDAY($C$4,1)+2))/7+1</f>
        <v>Week 3</v>
      </c>
      <c r="Z4" s="109"/>
      <c r="AA4" s="109"/>
      <c r="AB4" s="109"/>
      <c r="AC4" s="109"/>
      <c r="AD4" s="109"/>
      <c r="AE4" s="110"/>
      <c r="AF4" s="108" t="str">
        <f>"Week "&amp;(AF6-($C$4-WEEKDAY($C$4,1)+2))/7+1</f>
        <v>Week 4</v>
      </c>
      <c r="AG4" s="109"/>
      <c r="AH4" s="109"/>
      <c r="AI4" s="109"/>
      <c r="AJ4" s="109"/>
      <c r="AK4" s="109"/>
      <c r="AL4" s="110"/>
      <c r="AM4" s="108" t="str">
        <f>"Week "&amp;(AM6-($C$4-WEEKDAY($C$4,1)+2))/7+1</f>
        <v>Week 5</v>
      </c>
      <c r="AN4" s="109"/>
      <c r="AO4" s="109"/>
      <c r="AP4" s="109"/>
      <c r="AQ4" s="109"/>
      <c r="AR4" s="109"/>
      <c r="AS4" s="110"/>
      <c r="AT4" s="108" t="str">
        <f>"Week "&amp;(AT6-($C$4-WEEKDAY($C$4,1)+2))/7+1</f>
        <v>Week 6</v>
      </c>
      <c r="AU4" s="109"/>
      <c r="AV4" s="109"/>
      <c r="AW4" s="109"/>
      <c r="AX4" s="109"/>
      <c r="AY4" s="109"/>
      <c r="AZ4" s="110"/>
      <c r="BA4" s="108" t="str">
        <f>"Week "&amp;(BA6-($C$4-WEEKDAY($C$4,1)+2))/7+1</f>
        <v>Week 7</v>
      </c>
      <c r="BB4" s="109"/>
      <c r="BC4" s="109"/>
      <c r="BD4" s="109"/>
      <c r="BE4" s="109"/>
      <c r="BF4" s="109"/>
      <c r="BG4" s="110"/>
      <c r="BH4" s="108" t="str">
        <f>"Week "&amp;(BH6-($C$4-WEEKDAY($C$4,1)+2))/7+1</f>
        <v>Week 8</v>
      </c>
      <c r="BI4" s="109"/>
      <c r="BJ4" s="109"/>
      <c r="BK4" s="109"/>
      <c r="BL4" s="109"/>
      <c r="BM4" s="109"/>
      <c r="BN4" s="110"/>
    </row>
    <row r="5" spans="1:66" ht="17.25" customHeight="1">
      <c r="A5" s="56"/>
      <c r="B5" s="57" t="s">
        <v>3</v>
      </c>
      <c r="C5" s="107" t="s">
        <v>4</v>
      </c>
      <c r="D5" s="107"/>
      <c r="E5" s="107"/>
      <c r="F5" s="56"/>
      <c r="G5" s="56"/>
      <c r="H5" s="56"/>
      <c r="I5" s="56"/>
      <c r="J5" s="59"/>
      <c r="K5" s="104">
        <f>K6</f>
        <v>45985</v>
      </c>
      <c r="L5" s="105"/>
      <c r="M5" s="105"/>
      <c r="N5" s="105"/>
      <c r="O5" s="105"/>
      <c r="P5" s="105"/>
      <c r="Q5" s="106"/>
      <c r="R5" s="104">
        <f>R6</f>
        <v>45992</v>
      </c>
      <c r="S5" s="105"/>
      <c r="T5" s="105"/>
      <c r="U5" s="105"/>
      <c r="V5" s="105"/>
      <c r="W5" s="105"/>
      <c r="X5" s="106"/>
      <c r="Y5" s="104">
        <f>Y6</f>
        <v>45999</v>
      </c>
      <c r="Z5" s="105"/>
      <c r="AA5" s="105"/>
      <c r="AB5" s="105"/>
      <c r="AC5" s="105"/>
      <c r="AD5" s="105"/>
      <c r="AE5" s="106"/>
      <c r="AF5" s="104">
        <f>AF6</f>
        <v>46006</v>
      </c>
      <c r="AG5" s="105"/>
      <c r="AH5" s="105"/>
      <c r="AI5" s="105"/>
      <c r="AJ5" s="105"/>
      <c r="AK5" s="105"/>
      <c r="AL5" s="106"/>
      <c r="AM5" s="104">
        <f>AM6</f>
        <v>46013</v>
      </c>
      <c r="AN5" s="105"/>
      <c r="AO5" s="105"/>
      <c r="AP5" s="105"/>
      <c r="AQ5" s="105"/>
      <c r="AR5" s="105"/>
      <c r="AS5" s="106"/>
      <c r="AT5" s="104">
        <f>AT6</f>
        <v>46020</v>
      </c>
      <c r="AU5" s="105"/>
      <c r="AV5" s="105"/>
      <c r="AW5" s="105"/>
      <c r="AX5" s="105"/>
      <c r="AY5" s="105"/>
      <c r="AZ5" s="106"/>
      <c r="BA5" s="104">
        <f>BA6</f>
        <v>46027</v>
      </c>
      <c r="BB5" s="105"/>
      <c r="BC5" s="105"/>
      <c r="BD5" s="105"/>
      <c r="BE5" s="105"/>
      <c r="BF5" s="105"/>
      <c r="BG5" s="106"/>
      <c r="BH5" s="104">
        <f>BH6</f>
        <v>46034</v>
      </c>
      <c r="BI5" s="105"/>
      <c r="BJ5" s="105"/>
      <c r="BK5" s="105"/>
      <c r="BL5" s="105"/>
      <c r="BM5" s="105"/>
      <c r="BN5" s="106"/>
    </row>
    <row r="6" spans="1:66">
      <c r="A6" s="59"/>
      <c r="B6" s="59"/>
      <c r="C6" s="59"/>
      <c r="D6" s="59"/>
      <c r="E6" s="59"/>
      <c r="F6" s="59"/>
      <c r="G6" s="59"/>
      <c r="H6" s="59"/>
      <c r="I6" s="59"/>
      <c r="J6" s="59"/>
      <c r="K6" s="88">
        <f>C4-WEEKDAY(C4,1)+2+7*(H4-1)</f>
        <v>45985</v>
      </c>
      <c r="L6" s="89">
        <f t="shared" ref="L6:AQ6" si="0">K6+1</f>
        <v>45986</v>
      </c>
      <c r="M6" s="89">
        <f t="shared" si="0"/>
        <v>45987</v>
      </c>
      <c r="N6" s="89">
        <f t="shared" si="0"/>
        <v>45988</v>
      </c>
      <c r="O6" s="89">
        <f t="shared" si="0"/>
        <v>45989</v>
      </c>
      <c r="P6" s="89">
        <f t="shared" si="0"/>
        <v>45990</v>
      </c>
      <c r="Q6" s="100">
        <f t="shared" si="0"/>
        <v>45991</v>
      </c>
      <c r="R6" s="88">
        <f t="shared" si="0"/>
        <v>45992</v>
      </c>
      <c r="S6" s="89">
        <f t="shared" si="0"/>
        <v>45993</v>
      </c>
      <c r="T6" s="89">
        <f t="shared" si="0"/>
        <v>45994</v>
      </c>
      <c r="U6" s="89">
        <f t="shared" si="0"/>
        <v>45995</v>
      </c>
      <c r="V6" s="89">
        <f t="shared" si="0"/>
        <v>45996</v>
      </c>
      <c r="W6" s="89">
        <f t="shared" si="0"/>
        <v>45997</v>
      </c>
      <c r="X6" s="100">
        <f t="shared" si="0"/>
        <v>45998</v>
      </c>
      <c r="Y6" s="88">
        <f t="shared" si="0"/>
        <v>45999</v>
      </c>
      <c r="Z6" s="89">
        <f t="shared" si="0"/>
        <v>46000</v>
      </c>
      <c r="AA6" s="89">
        <f t="shared" si="0"/>
        <v>46001</v>
      </c>
      <c r="AB6" s="89">
        <f t="shared" si="0"/>
        <v>46002</v>
      </c>
      <c r="AC6" s="89">
        <f t="shared" si="0"/>
        <v>46003</v>
      </c>
      <c r="AD6" s="89">
        <f t="shared" si="0"/>
        <v>46004</v>
      </c>
      <c r="AE6" s="100">
        <f t="shared" si="0"/>
        <v>46005</v>
      </c>
      <c r="AF6" s="88">
        <f t="shared" si="0"/>
        <v>46006</v>
      </c>
      <c r="AG6" s="89">
        <f t="shared" si="0"/>
        <v>46007</v>
      </c>
      <c r="AH6" s="89">
        <f t="shared" si="0"/>
        <v>46008</v>
      </c>
      <c r="AI6" s="89">
        <f t="shared" si="0"/>
        <v>46009</v>
      </c>
      <c r="AJ6" s="89">
        <f t="shared" si="0"/>
        <v>46010</v>
      </c>
      <c r="AK6" s="89">
        <f t="shared" si="0"/>
        <v>46011</v>
      </c>
      <c r="AL6" s="100">
        <f t="shared" si="0"/>
        <v>46012</v>
      </c>
      <c r="AM6" s="88">
        <f t="shared" si="0"/>
        <v>46013</v>
      </c>
      <c r="AN6" s="89">
        <f t="shared" si="0"/>
        <v>46014</v>
      </c>
      <c r="AO6" s="89">
        <f t="shared" si="0"/>
        <v>46015</v>
      </c>
      <c r="AP6" s="89">
        <f t="shared" si="0"/>
        <v>46016</v>
      </c>
      <c r="AQ6" s="89">
        <f t="shared" si="0"/>
        <v>46017</v>
      </c>
      <c r="AR6" s="89">
        <f t="shared" ref="AR6:BN6" si="1">AQ6+1</f>
        <v>46018</v>
      </c>
      <c r="AS6" s="100">
        <f t="shared" si="1"/>
        <v>46019</v>
      </c>
      <c r="AT6" s="88">
        <f t="shared" si="1"/>
        <v>46020</v>
      </c>
      <c r="AU6" s="89">
        <f t="shared" si="1"/>
        <v>46021</v>
      </c>
      <c r="AV6" s="89">
        <f t="shared" si="1"/>
        <v>46022</v>
      </c>
      <c r="AW6" s="89">
        <f t="shared" si="1"/>
        <v>46023</v>
      </c>
      <c r="AX6" s="89">
        <f t="shared" si="1"/>
        <v>46024</v>
      </c>
      <c r="AY6" s="89">
        <f t="shared" si="1"/>
        <v>46025</v>
      </c>
      <c r="AZ6" s="100">
        <f t="shared" si="1"/>
        <v>46026</v>
      </c>
      <c r="BA6" s="88">
        <f t="shared" si="1"/>
        <v>46027</v>
      </c>
      <c r="BB6" s="89">
        <f t="shared" si="1"/>
        <v>46028</v>
      </c>
      <c r="BC6" s="89">
        <f t="shared" si="1"/>
        <v>46029</v>
      </c>
      <c r="BD6" s="89">
        <f t="shared" si="1"/>
        <v>46030</v>
      </c>
      <c r="BE6" s="89">
        <f t="shared" si="1"/>
        <v>46031</v>
      </c>
      <c r="BF6" s="89">
        <f t="shared" si="1"/>
        <v>46032</v>
      </c>
      <c r="BG6" s="100">
        <f t="shared" si="1"/>
        <v>46033</v>
      </c>
      <c r="BH6" s="88">
        <f t="shared" si="1"/>
        <v>46034</v>
      </c>
      <c r="BI6" s="89">
        <f t="shared" si="1"/>
        <v>46035</v>
      </c>
      <c r="BJ6" s="89">
        <f t="shared" si="1"/>
        <v>46036</v>
      </c>
      <c r="BK6" s="89">
        <f t="shared" si="1"/>
        <v>46037</v>
      </c>
      <c r="BL6" s="89">
        <f t="shared" si="1"/>
        <v>46038</v>
      </c>
      <c r="BM6" s="89">
        <f t="shared" si="1"/>
        <v>46039</v>
      </c>
      <c r="BN6" s="100">
        <f t="shared" si="1"/>
        <v>46040</v>
      </c>
    </row>
    <row r="7" spans="1:66" s="1" customFormat="1" ht="24">
      <c r="A7" s="60" t="s">
        <v>5</v>
      </c>
      <c r="B7" s="60" t="s">
        <v>6</v>
      </c>
      <c r="C7" s="61" t="s">
        <v>7</v>
      </c>
      <c r="D7" s="62" t="s">
        <v>8</v>
      </c>
      <c r="E7" s="63" t="s">
        <v>9</v>
      </c>
      <c r="F7" s="63" t="s">
        <v>10</v>
      </c>
      <c r="G7" s="61" t="s">
        <v>11</v>
      </c>
      <c r="H7" s="61" t="s">
        <v>12</v>
      </c>
      <c r="I7" s="61" t="s">
        <v>13</v>
      </c>
      <c r="J7" s="61"/>
      <c r="K7" s="90" t="str">
        <f t="shared" ref="K7:AP7" si="2">CHOOSE(WEEKDAY(K6,1),"S","M","T","W","T","F","S")</f>
        <v>M</v>
      </c>
      <c r="L7" s="91" t="str">
        <f t="shared" si="2"/>
        <v>T</v>
      </c>
      <c r="M7" s="91" t="str">
        <f t="shared" si="2"/>
        <v>W</v>
      </c>
      <c r="N7" s="91" t="str">
        <f t="shared" si="2"/>
        <v>T</v>
      </c>
      <c r="O7" s="91" t="str">
        <f t="shared" si="2"/>
        <v>F</v>
      </c>
      <c r="P7" s="91" t="str">
        <f t="shared" si="2"/>
        <v>S</v>
      </c>
      <c r="Q7" s="101" t="str">
        <f t="shared" si="2"/>
        <v>S</v>
      </c>
      <c r="R7" s="90" t="str">
        <f t="shared" si="2"/>
        <v>M</v>
      </c>
      <c r="S7" s="91" t="str">
        <f t="shared" si="2"/>
        <v>T</v>
      </c>
      <c r="T7" s="91" t="str">
        <f t="shared" si="2"/>
        <v>W</v>
      </c>
      <c r="U7" s="91" t="str">
        <f t="shared" si="2"/>
        <v>T</v>
      </c>
      <c r="V7" s="91" t="str">
        <f t="shared" si="2"/>
        <v>F</v>
      </c>
      <c r="W7" s="91" t="str">
        <f t="shared" si="2"/>
        <v>S</v>
      </c>
      <c r="X7" s="101" t="str">
        <f t="shared" si="2"/>
        <v>S</v>
      </c>
      <c r="Y7" s="90" t="str">
        <f t="shared" si="2"/>
        <v>M</v>
      </c>
      <c r="Z7" s="91" t="str">
        <f t="shared" si="2"/>
        <v>T</v>
      </c>
      <c r="AA7" s="91" t="str">
        <f t="shared" si="2"/>
        <v>W</v>
      </c>
      <c r="AB7" s="91" t="str">
        <f t="shared" si="2"/>
        <v>T</v>
      </c>
      <c r="AC7" s="91" t="str">
        <f t="shared" si="2"/>
        <v>F</v>
      </c>
      <c r="AD7" s="91" t="str">
        <f t="shared" si="2"/>
        <v>S</v>
      </c>
      <c r="AE7" s="101" t="str">
        <f t="shared" si="2"/>
        <v>S</v>
      </c>
      <c r="AF7" s="90" t="str">
        <f t="shared" si="2"/>
        <v>M</v>
      </c>
      <c r="AG7" s="91" t="str">
        <f t="shared" si="2"/>
        <v>T</v>
      </c>
      <c r="AH7" s="91" t="str">
        <f t="shared" si="2"/>
        <v>W</v>
      </c>
      <c r="AI7" s="91" t="str">
        <f t="shared" si="2"/>
        <v>T</v>
      </c>
      <c r="AJ7" s="91" t="str">
        <f t="shared" si="2"/>
        <v>F</v>
      </c>
      <c r="AK7" s="91" t="str">
        <f t="shared" si="2"/>
        <v>S</v>
      </c>
      <c r="AL7" s="101" t="str">
        <f t="shared" si="2"/>
        <v>S</v>
      </c>
      <c r="AM7" s="90" t="str">
        <f t="shared" si="2"/>
        <v>M</v>
      </c>
      <c r="AN7" s="91" t="str">
        <f t="shared" si="2"/>
        <v>T</v>
      </c>
      <c r="AO7" s="91" t="str">
        <f t="shared" si="2"/>
        <v>W</v>
      </c>
      <c r="AP7" s="91" t="str">
        <f t="shared" si="2"/>
        <v>T</v>
      </c>
      <c r="AQ7" s="91" t="str">
        <f t="shared" ref="AQ7:BN7" si="3">CHOOSE(WEEKDAY(AQ6,1),"S","M","T","W","T","F","S")</f>
        <v>F</v>
      </c>
      <c r="AR7" s="91" t="str">
        <f t="shared" si="3"/>
        <v>S</v>
      </c>
      <c r="AS7" s="101" t="str">
        <f t="shared" si="3"/>
        <v>S</v>
      </c>
      <c r="AT7" s="90" t="str">
        <f t="shared" si="3"/>
        <v>M</v>
      </c>
      <c r="AU7" s="91" t="str">
        <f t="shared" si="3"/>
        <v>T</v>
      </c>
      <c r="AV7" s="91" t="str">
        <f t="shared" si="3"/>
        <v>W</v>
      </c>
      <c r="AW7" s="91" t="str">
        <f t="shared" si="3"/>
        <v>T</v>
      </c>
      <c r="AX7" s="91" t="str">
        <f t="shared" si="3"/>
        <v>F</v>
      </c>
      <c r="AY7" s="91" t="str">
        <f t="shared" si="3"/>
        <v>S</v>
      </c>
      <c r="AZ7" s="101" t="str">
        <f t="shared" si="3"/>
        <v>S</v>
      </c>
      <c r="BA7" s="90" t="str">
        <f t="shared" si="3"/>
        <v>M</v>
      </c>
      <c r="BB7" s="91" t="str">
        <f t="shared" si="3"/>
        <v>T</v>
      </c>
      <c r="BC7" s="91" t="str">
        <f t="shared" si="3"/>
        <v>W</v>
      </c>
      <c r="BD7" s="91" t="str">
        <f t="shared" si="3"/>
        <v>T</v>
      </c>
      <c r="BE7" s="91" t="str">
        <f t="shared" si="3"/>
        <v>F</v>
      </c>
      <c r="BF7" s="91" t="str">
        <f t="shared" si="3"/>
        <v>S</v>
      </c>
      <c r="BG7" s="101" t="str">
        <f t="shared" si="3"/>
        <v>S</v>
      </c>
      <c r="BH7" s="90" t="str">
        <f t="shared" si="3"/>
        <v>M</v>
      </c>
      <c r="BI7" s="91" t="str">
        <f t="shared" si="3"/>
        <v>T</v>
      </c>
      <c r="BJ7" s="91" t="str">
        <f t="shared" si="3"/>
        <v>W</v>
      </c>
      <c r="BK7" s="91" t="str">
        <f t="shared" si="3"/>
        <v>T</v>
      </c>
      <c r="BL7" s="91" t="str">
        <f t="shared" si="3"/>
        <v>F</v>
      </c>
      <c r="BM7" s="91" t="str">
        <f t="shared" si="3"/>
        <v>S</v>
      </c>
      <c r="BN7" s="101" t="str">
        <f t="shared" si="3"/>
        <v>S</v>
      </c>
    </row>
    <row r="8" spans="1:66" s="47" customFormat="1" ht="18">
      <c r="A8" s="64" t="str">
        <f>IF(ISERROR(VALUE(SUBSTITUTE(prevWBS,".",""))),"1",IF(ISERROR(FIND("`",SUBSTITUTE(prevWBS,".","`",1))),TEXT(VALUE(prevWBS)+1,"#"),TEXT(VALUE(LEFT(prevWBS,FIND("`",SUBSTITUTE(prevWBS,".","`",1))-1))+1,"#")))</f>
        <v>1</v>
      </c>
      <c r="B8" s="65" t="s">
        <v>178</v>
      </c>
      <c r="C8" s="66"/>
      <c r="D8" s="67"/>
      <c r="E8" s="68"/>
      <c r="F8" s="69" t="str">
        <f t="shared" ref="F8:F21" si="4">IF(ISBLANK(E8)," - ",IF(G8=0,E8,E8+G8-1))</f>
        <v xml:space="preserve"> - </v>
      </c>
      <c r="G8" s="70"/>
      <c r="H8" s="71"/>
      <c r="I8" s="92" t="str">
        <f t="shared" ref="I8:I59" si="5">IF(OR(F8=0,E8=0)," - ",NETWORKDAYS(E8,F8))</f>
        <v xml:space="preserve"> - </v>
      </c>
      <c r="J8" s="93"/>
      <c r="K8" s="94"/>
      <c r="L8" s="94"/>
      <c r="M8" s="94"/>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94"/>
      <c r="BC8" s="94"/>
      <c r="BD8" s="94"/>
      <c r="BE8" s="94"/>
      <c r="BF8" s="94"/>
      <c r="BG8" s="94"/>
      <c r="BH8" s="94"/>
      <c r="BI8" s="94"/>
      <c r="BJ8" s="94"/>
      <c r="BK8" s="94"/>
      <c r="BL8" s="94"/>
      <c r="BM8" s="94"/>
      <c r="BN8" s="94"/>
    </row>
    <row r="9" spans="1:66" s="48" customFormat="1" ht="18">
      <c r="A9" s="72" t="str">
        <f t="shared" ref="A9:A20" si="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73" t="s">
        <v>177</v>
      </c>
      <c r="C9" s="48" t="s">
        <v>14</v>
      </c>
      <c r="D9" s="74"/>
      <c r="E9" s="75">
        <v>45987</v>
      </c>
      <c r="F9" s="76">
        <f t="shared" si="4"/>
        <v>45987</v>
      </c>
      <c r="G9" s="77">
        <v>1</v>
      </c>
      <c r="H9" s="78">
        <v>1</v>
      </c>
      <c r="I9" s="95">
        <f t="shared" si="5"/>
        <v>1</v>
      </c>
      <c r="J9" s="96"/>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row>
    <row r="10" spans="1:66" s="48" customFormat="1" ht="18">
      <c r="A10" s="72" t="str">
        <f t="shared" si="6"/>
        <v>1.2</v>
      </c>
      <c r="B10" s="73" t="s">
        <v>179</v>
      </c>
      <c r="C10" s="48" t="s">
        <v>14</v>
      </c>
      <c r="D10" s="74"/>
      <c r="E10" s="75">
        <v>45988</v>
      </c>
      <c r="F10" s="76">
        <f t="shared" si="4"/>
        <v>46054</v>
      </c>
      <c r="G10" s="77">
        <v>67</v>
      </c>
      <c r="H10" s="78">
        <v>0.3</v>
      </c>
      <c r="I10" s="95">
        <f t="shared" si="5"/>
        <v>47</v>
      </c>
      <c r="J10" s="96"/>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row>
    <row r="11" spans="1:66" s="48" customFormat="1" ht="18">
      <c r="A11" s="72" t="str">
        <f t="shared" si="6"/>
        <v>1.3</v>
      </c>
      <c r="B11" s="73" t="s">
        <v>180</v>
      </c>
      <c r="C11" s="48" t="s">
        <v>14</v>
      </c>
      <c r="D11" s="74"/>
      <c r="E11" s="75">
        <v>45995</v>
      </c>
      <c r="F11" s="76">
        <f t="shared" si="4"/>
        <v>46001</v>
      </c>
      <c r="G11" s="77">
        <v>7</v>
      </c>
      <c r="H11" s="78">
        <v>1</v>
      </c>
      <c r="I11" s="95">
        <f t="shared" ref="I11" si="7">IF(OR(F11=0,E11=0)," - ",NETWORKDAYS(E11,F11))</f>
        <v>5</v>
      </c>
      <c r="J11" s="96"/>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row>
    <row r="12" spans="1:66" s="48" customFormat="1" ht="18">
      <c r="A12" s="72" t="str">
        <f t="shared" si="6"/>
        <v>1.4</v>
      </c>
      <c r="B12" s="73" t="s">
        <v>182</v>
      </c>
      <c r="C12" s="48" t="s">
        <v>20</v>
      </c>
      <c r="D12" s="74"/>
      <c r="E12" s="75">
        <v>46009</v>
      </c>
      <c r="F12" s="76">
        <f t="shared" si="4"/>
        <v>46014</v>
      </c>
      <c r="G12" s="77">
        <v>6</v>
      </c>
      <c r="H12" s="78">
        <v>0</v>
      </c>
      <c r="I12" s="95">
        <f t="shared" ref="I12:I20" si="8">IF(OR(F12=0,E12=0)," - ",NETWORKDAYS(E12,F12))</f>
        <v>4</v>
      </c>
      <c r="J12" s="96"/>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row>
    <row r="13" spans="1:66" s="48" customFormat="1" ht="18">
      <c r="A13" s="72" t="str">
        <f t="shared" si="6"/>
        <v>1.5</v>
      </c>
      <c r="B13" s="73" t="s">
        <v>181</v>
      </c>
      <c r="C13" s="48" t="s">
        <v>14</v>
      </c>
      <c r="D13" s="74"/>
      <c r="E13" s="75">
        <v>46015</v>
      </c>
      <c r="F13" s="76">
        <f t="shared" si="4"/>
        <v>46028</v>
      </c>
      <c r="G13" s="77">
        <v>14</v>
      </c>
      <c r="H13" s="78">
        <v>0</v>
      </c>
      <c r="I13" s="95">
        <f t="shared" si="8"/>
        <v>10</v>
      </c>
      <c r="J13" s="96"/>
      <c r="K13" s="72"/>
      <c r="L13" s="72"/>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row>
    <row r="14" spans="1:66" s="48" customFormat="1" ht="18">
      <c r="A14" s="72" t="str">
        <f t="shared" si="6"/>
        <v>1.6</v>
      </c>
      <c r="B14" s="73" t="s">
        <v>183</v>
      </c>
      <c r="C14" s="48" t="s">
        <v>20</v>
      </c>
      <c r="D14" s="74"/>
      <c r="E14" s="75">
        <v>46013</v>
      </c>
      <c r="F14" s="76">
        <f t="shared" si="4"/>
        <v>46021</v>
      </c>
      <c r="G14" s="77">
        <v>9</v>
      </c>
      <c r="H14" s="78">
        <v>0</v>
      </c>
      <c r="I14" s="95">
        <f t="shared" si="8"/>
        <v>7</v>
      </c>
      <c r="J14" s="96"/>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row>
    <row r="15" spans="1:66" s="48" customFormat="1" ht="24">
      <c r="A15" s="72" t="str">
        <f t="shared" si="6"/>
        <v>1.7</v>
      </c>
      <c r="B15" s="73" t="s">
        <v>184</v>
      </c>
      <c r="C15" s="48" t="s">
        <v>22</v>
      </c>
      <c r="D15" s="74"/>
      <c r="E15" s="75">
        <v>46013</v>
      </c>
      <c r="F15" s="76">
        <f t="shared" si="4"/>
        <v>46021</v>
      </c>
      <c r="G15" s="77">
        <v>9</v>
      </c>
      <c r="H15" s="78">
        <v>0</v>
      </c>
      <c r="I15" s="95">
        <f t="shared" si="8"/>
        <v>7</v>
      </c>
      <c r="J15" s="96"/>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row>
    <row r="16" spans="1:66" s="48" customFormat="1" ht="18">
      <c r="A16" s="72" t="str">
        <f t="shared" si="6"/>
        <v>1.8</v>
      </c>
      <c r="B16" s="73" t="s">
        <v>185</v>
      </c>
      <c r="C16" s="48" t="s">
        <v>22</v>
      </c>
      <c r="D16" s="74"/>
      <c r="E16" s="75">
        <v>46022</v>
      </c>
      <c r="F16" s="76">
        <f t="shared" si="4"/>
        <v>46029</v>
      </c>
      <c r="G16" s="77">
        <v>8</v>
      </c>
      <c r="H16" s="78">
        <v>0</v>
      </c>
      <c r="I16" s="95">
        <f t="shared" si="8"/>
        <v>6</v>
      </c>
      <c r="J16" s="96"/>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row>
    <row r="17" spans="1:66" s="48" customFormat="1" ht="18">
      <c r="A17" s="72" t="str">
        <f t="shared" si="6"/>
        <v>1.9</v>
      </c>
      <c r="B17" s="73" t="s">
        <v>186</v>
      </c>
      <c r="C17" s="48" t="s">
        <v>20</v>
      </c>
      <c r="D17" s="74"/>
      <c r="E17" s="75">
        <v>46022</v>
      </c>
      <c r="F17" s="76">
        <f t="shared" si="4"/>
        <v>46029</v>
      </c>
      <c r="G17" s="77">
        <v>8</v>
      </c>
      <c r="H17" s="78">
        <v>0</v>
      </c>
      <c r="I17" s="95">
        <f t="shared" si="8"/>
        <v>6</v>
      </c>
      <c r="J17" s="96"/>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row>
    <row r="18" spans="1:66" s="48" customFormat="1" ht="18">
      <c r="A18" s="72" t="str">
        <f t="shared" si="6"/>
        <v>1.10</v>
      </c>
      <c r="B18" s="73" t="s">
        <v>187</v>
      </c>
      <c r="C18" s="48" t="s">
        <v>22</v>
      </c>
      <c r="D18" s="74"/>
      <c r="E18" s="75">
        <v>46235</v>
      </c>
      <c r="F18" s="76">
        <f t="shared" si="4"/>
        <v>46242</v>
      </c>
      <c r="G18" s="77">
        <v>8</v>
      </c>
      <c r="H18" s="78">
        <v>0</v>
      </c>
      <c r="I18" s="95">
        <f t="shared" si="8"/>
        <v>5</v>
      </c>
      <c r="J18" s="96"/>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c r="BM18" s="72"/>
      <c r="BN18" s="72"/>
    </row>
    <row r="19" spans="1:66" s="48" customFormat="1" ht="18">
      <c r="A19" s="72" t="str">
        <f t="shared" si="6"/>
        <v>1.11</v>
      </c>
      <c r="B19" s="73" t="s">
        <v>188</v>
      </c>
      <c r="C19" s="48" t="s">
        <v>20</v>
      </c>
      <c r="D19" s="74"/>
      <c r="E19" s="75">
        <v>46235</v>
      </c>
      <c r="F19" s="76">
        <f t="shared" si="4"/>
        <v>46242</v>
      </c>
      <c r="G19" s="77">
        <v>8</v>
      </c>
      <c r="H19" s="78">
        <v>0</v>
      </c>
      <c r="I19" s="95">
        <f t="shared" si="8"/>
        <v>5</v>
      </c>
      <c r="J19" s="96"/>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row>
    <row r="20" spans="1:66" s="48" customFormat="1" ht="18">
      <c r="A20" s="72" t="str">
        <f t="shared" si="6"/>
        <v>1.12</v>
      </c>
      <c r="B20" s="73" t="s">
        <v>189</v>
      </c>
      <c r="C20" s="48" t="s">
        <v>22</v>
      </c>
      <c r="D20" s="74"/>
      <c r="E20" s="75">
        <v>46243</v>
      </c>
      <c r="F20" s="76">
        <f t="shared" si="4"/>
        <v>46250</v>
      </c>
      <c r="G20" s="77">
        <v>8</v>
      </c>
      <c r="H20" s="78">
        <v>0</v>
      </c>
      <c r="I20" s="95">
        <f t="shared" si="8"/>
        <v>5</v>
      </c>
      <c r="J20" s="96"/>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row>
    <row r="21" spans="1:66" s="47" customFormat="1" ht="18">
      <c r="A21" s="64" t="str">
        <f>IF(ISERROR(VALUE(SUBSTITUTE(prevWBS,".",""))),"1",IF(ISERROR(FIND("`",SUBSTITUTE(prevWBS,".","`",1))),TEXT(VALUE(prevWBS)+1,"#"),TEXT(VALUE(LEFT(prevWBS,FIND("`",SUBSTITUTE(prevWBS,".","`",1))-1))+1,"#")))</f>
        <v>2</v>
      </c>
      <c r="B21" s="65" t="s">
        <v>190</v>
      </c>
      <c r="C21" s="66"/>
      <c r="D21" s="67"/>
      <c r="E21" s="68"/>
      <c r="F21" s="69" t="str">
        <f t="shared" si="4"/>
        <v xml:space="preserve"> - </v>
      </c>
      <c r="G21" s="70"/>
      <c r="H21" s="71"/>
      <c r="I21" s="92" t="str">
        <f t="shared" ref="I21" si="9">IF(OR(F21=0,E21=0)," - ",NETWORKDAYS(E21,F21))</f>
        <v xml:space="preserve"> - </v>
      </c>
      <c r="J21" s="93"/>
      <c r="K21" s="94"/>
      <c r="L21" s="94"/>
      <c r="M21" s="94"/>
      <c r="N21" s="94"/>
      <c r="O21" s="94"/>
      <c r="P21" s="94"/>
      <c r="Q21" s="94"/>
      <c r="R21" s="94"/>
      <c r="S21" s="94"/>
      <c r="T21" s="94"/>
      <c r="U21" s="94"/>
      <c r="V21" s="94"/>
      <c r="W21" s="94"/>
      <c r="X21" s="94"/>
      <c r="Y21" s="94"/>
      <c r="Z21" s="94"/>
      <c r="AA21" s="94"/>
      <c r="AB21" s="94"/>
      <c r="AC21" s="94"/>
      <c r="AD21" s="94"/>
      <c r="AE21" s="94"/>
      <c r="AF21" s="94"/>
      <c r="AG21" s="94"/>
      <c r="AH21" s="94"/>
      <c r="AI21" s="94"/>
      <c r="AJ21" s="94"/>
      <c r="AK21" s="94"/>
      <c r="AL21" s="94"/>
      <c r="AM21" s="94"/>
      <c r="AN21" s="94"/>
      <c r="AO21" s="94"/>
      <c r="AP21" s="94"/>
      <c r="AQ21" s="94"/>
      <c r="AR21" s="94"/>
      <c r="AS21" s="94"/>
      <c r="AT21" s="94"/>
      <c r="AU21" s="94"/>
      <c r="AV21" s="94"/>
      <c r="AW21" s="94"/>
      <c r="AX21" s="94"/>
      <c r="AY21" s="94"/>
      <c r="AZ21" s="94"/>
      <c r="BA21" s="94"/>
      <c r="BB21" s="94"/>
      <c r="BC21" s="94"/>
      <c r="BD21" s="94"/>
      <c r="BE21" s="94"/>
      <c r="BF21" s="94"/>
      <c r="BG21" s="94"/>
      <c r="BH21" s="94"/>
      <c r="BI21" s="94"/>
      <c r="BJ21" s="94"/>
      <c r="BK21" s="94"/>
      <c r="BL21" s="94"/>
      <c r="BM21" s="94"/>
      <c r="BN21" s="94"/>
    </row>
    <row r="22" spans="1:66" s="48" customFormat="1" ht="18">
      <c r="A22" s="72"/>
      <c r="B22" s="73"/>
      <c r="D22" s="74"/>
      <c r="E22" s="75"/>
      <c r="F22" s="76"/>
      <c r="G22" s="77"/>
      <c r="H22" s="78"/>
      <c r="I22" s="95"/>
      <c r="J22" s="96"/>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row>
    <row r="23" spans="1:66" s="48" customFormat="1" ht="18">
      <c r="A23" s="72"/>
      <c r="B23" s="73"/>
      <c r="D23" s="74"/>
      <c r="E23" s="75"/>
      <c r="F23" s="76"/>
      <c r="G23" s="77"/>
      <c r="H23" s="78"/>
      <c r="I23" s="95"/>
      <c r="J23" s="96"/>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c r="BM23" s="72"/>
      <c r="BN23" s="72"/>
    </row>
    <row r="24" spans="1:66" s="48" customFormat="1" ht="18">
      <c r="A24" s="72"/>
      <c r="B24" s="73"/>
      <c r="D24" s="74"/>
      <c r="E24" s="75"/>
      <c r="F24" s="76"/>
      <c r="G24" s="77"/>
      <c r="H24" s="78"/>
      <c r="I24" s="95"/>
      <c r="J24" s="96"/>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c r="BM24" s="72"/>
      <c r="BN24" s="72"/>
    </row>
    <row r="25" spans="1:66" s="48" customFormat="1" ht="18">
      <c r="A25" s="72"/>
      <c r="B25" s="73"/>
      <c r="D25" s="74"/>
      <c r="E25" s="75"/>
      <c r="F25" s="76"/>
      <c r="G25" s="77"/>
      <c r="H25" s="78"/>
      <c r="I25" s="95"/>
      <c r="J25" s="96"/>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c r="BM25" s="72"/>
      <c r="BN25" s="72"/>
    </row>
    <row r="26" spans="1:66" s="48" customFormat="1" ht="18">
      <c r="A26" s="72"/>
      <c r="B26" s="73"/>
      <c r="D26" s="74"/>
      <c r="E26" s="75"/>
      <c r="F26" s="76"/>
      <c r="G26" s="77"/>
      <c r="H26" s="78"/>
      <c r="I26" s="95"/>
      <c r="J26" s="96"/>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row>
    <row r="27" spans="1:66" s="48" customFormat="1" ht="18">
      <c r="A27" s="72"/>
      <c r="B27" s="73"/>
      <c r="D27" s="74"/>
      <c r="E27" s="75"/>
      <c r="F27" s="76"/>
      <c r="G27" s="77"/>
      <c r="H27" s="78"/>
      <c r="I27" s="95"/>
      <c r="J27" s="96"/>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row>
    <row r="28" spans="1:66" s="48" customFormat="1" ht="18">
      <c r="A28" s="72"/>
      <c r="B28" s="73"/>
      <c r="D28" s="74"/>
      <c r="E28" s="75"/>
      <c r="F28" s="76"/>
      <c r="G28" s="77"/>
      <c r="H28" s="78"/>
      <c r="I28" s="95"/>
      <c r="J28" s="96"/>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row>
    <row r="29" spans="1:66" s="48" customFormat="1" ht="18">
      <c r="A29" s="72"/>
      <c r="B29" s="73"/>
      <c r="D29" s="74"/>
      <c r="E29" s="75"/>
      <c r="F29" s="76"/>
      <c r="G29" s="77"/>
      <c r="H29" s="78"/>
      <c r="I29" s="95"/>
      <c r="J29" s="96"/>
      <c r="K29" s="72"/>
      <c r="L29" s="72"/>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72"/>
      <c r="AM29" s="72"/>
      <c r="AN29" s="72"/>
      <c r="AO29" s="72"/>
      <c r="AP29" s="72"/>
      <c r="AQ29" s="72"/>
      <c r="AR29" s="72"/>
      <c r="AS29" s="72"/>
      <c r="AT29" s="72"/>
      <c r="AU29" s="72"/>
      <c r="AV29" s="72"/>
      <c r="AW29" s="72"/>
      <c r="AX29" s="72"/>
      <c r="AY29" s="72"/>
      <c r="AZ29" s="72"/>
      <c r="BA29" s="72"/>
      <c r="BB29" s="72"/>
      <c r="BC29" s="72"/>
      <c r="BD29" s="72"/>
      <c r="BE29" s="72"/>
      <c r="BF29" s="72"/>
      <c r="BG29" s="72"/>
      <c r="BH29" s="72"/>
      <c r="BI29" s="72"/>
      <c r="BJ29" s="72"/>
      <c r="BK29" s="72"/>
      <c r="BL29" s="72"/>
      <c r="BM29" s="72"/>
      <c r="BN29" s="72"/>
    </row>
    <row r="30" spans="1:66" s="48" customFormat="1" ht="18">
      <c r="A30" s="72"/>
      <c r="B30" s="73"/>
      <c r="D30" s="74"/>
      <c r="E30" s="75"/>
      <c r="F30" s="76"/>
      <c r="G30" s="77"/>
      <c r="H30" s="78"/>
      <c r="I30" s="95"/>
      <c r="J30" s="96"/>
      <c r="K30" s="72"/>
      <c r="L30" s="72"/>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72"/>
      <c r="AM30" s="72"/>
      <c r="AN30" s="72"/>
      <c r="AO30" s="72"/>
      <c r="AP30" s="72"/>
      <c r="AQ30" s="72"/>
      <c r="AR30" s="72"/>
      <c r="AS30" s="72"/>
      <c r="AT30" s="72"/>
      <c r="AU30" s="72"/>
      <c r="AV30" s="72"/>
      <c r="AW30" s="72"/>
      <c r="AX30" s="72"/>
      <c r="AY30" s="72"/>
      <c r="AZ30" s="72"/>
      <c r="BA30" s="72"/>
      <c r="BB30" s="72"/>
      <c r="BC30" s="72"/>
      <c r="BD30" s="72"/>
      <c r="BE30" s="72"/>
      <c r="BF30" s="72"/>
      <c r="BG30" s="72"/>
      <c r="BH30" s="72"/>
      <c r="BI30" s="72"/>
      <c r="BJ30" s="72"/>
      <c r="BK30" s="72"/>
      <c r="BL30" s="72"/>
      <c r="BM30" s="72"/>
      <c r="BN30" s="72"/>
    </row>
    <row r="31" spans="1:66" s="48" customFormat="1" ht="18">
      <c r="A31" s="72"/>
      <c r="B31" s="73"/>
      <c r="D31" s="74"/>
      <c r="E31" s="75"/>
      <c r="F31" s="76"/>
      <c r="G31" s="77"/>
      <c r="H31" s="78"/>
      <c r="I31" s="95"/>
      <c r="J31" s="96"/>
      <c r="K31" s="72"/>
      <c r="L31" s="72"/>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72"/>
      <c r="AM31" s="72"/>
      <c r="AN31" s="72"/>
      <c r="AO31" s="72"/>
      <c r="AP31" s="72"/>
      <c r="AQ31" s="72"/>
      <c r="AR31" s="72"/>
      <c r="AS31" s="72"/>
      <c r="AT31" s="72"/>
      <c r="AU31" s="72"/>
      <c r="AV31" s="72"/>
      <c r="AW31" s="72"/>
      <c r="AX31" s="72"/>
      <c r="AY31" s="72"/>
      <c r="AZ31" s="72"/>
      <c r="BA31" s="72"/>
      <c r="BB31" s="72"/>
      <c r="BC31" s="72"/>
      <c r="BD31" s="72"/>
      <c r="BE31" s="72"/>
      <c r="BF31" s="72"/>
      <c r="BG31" s="72"/>
      <c r="BH31" s="72"/>
      <c r="BI31" s="72"/>
      <c r="BJ31" s="72"/>
      <c r="BK31" s="72"/>
      <c r="BL31" s="72"/>
      <c r="BM31" s="72"/>
      <c r="BN31" s="72"/>
    </row>
    <row r="32" spans="1:66" s="48" customFormat="1" ht="18">
      <c r="A32" s="72"/>
      <c r="B32" s="73"/>
      <c r="D32" s="74"/>
      <c r="E32" s="75"/>
      <c r="F32" s="76"/>
      <c r="G32" s="77"/>
      <c r="H32" s="78"/>
      <c r="I32" s="95"/>
      <c r="J32" s="96"/>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row>
    <row r="33" spans="1:66" s="48" customFormat="1" ht="18">
      <c r="A33" s="72"/>
      <c r="B33" s="73"/>
      <c r="D33" s="74"/>
      <c r="E33" s="75"/>
      <c r="F33" s="76"/>
      <c r="G33" s="77"/>
      <c r="H33" s="78"/>
      <c r="I33" s="95"/>
      <c r="J33" s="96"/>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row>
    <row r="34" spans="1:66" s="48" customFormat="1" ht="18">
      <c r="A34" s="72"/>
      <c r="B34" s="73"/>
      <c r="D34" s="74"/>
      <c r="E34" s="75"/>
      <c r="F34" s="76"/>
      <c r="G34" s="77"/>
      <c r="H34" s="78"/>
      <c r="I34" s="95"/>
      <c r="J34" s="96"/>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row>
    <row r="35" spans="1:66" s="48" customFormat="1" ht="18">
      <c r="A35" s="72"/>
      <c r="B35" s="73"/>
      <c r="D35" s="74"/>
      <c r="E35" s="75"/>
      <c r="F35" s="76"/>
      <c r="G35" s="77"/>
      <c r="H35" s="78"/>
      <c r="I35" s="95"/>
      <c r="J35" s="96"/>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row>
    <row r="36" spans="1:66" s="48" customFormat="1" ht="18">
      <c r="A36" s="72"/>
      <c r="B36" s="73"/>
      <c r="D36" s="74"/>
      <c r="E36" s="75"/>
      <c r="F36" s="76"/>
      <c r="G36" s="77"/>
      <c r="H36" s="78"/>
      <c r="I36" s="95"/>
      <c r="J36" s="96"/>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row>
    <row r="37" spans="1:66" s="48" customFormat="1" ht="18">
      <c r="A37" s="72"/>
      <c r="B37" s="73"/>
      <c r="D37" s="74"/>
      <c r="E37" s="75"/>
      <c r="F37" s="76"/>
      <c r="G37" s="77"/>
      <c r="H37" s="78"/>
      <c r="I37" s="95"/>
      <c r="J37" s="96"/>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row>
    <row r="38" spans="1:66" s="48" customFormat="1" ht="18">
      <c r="A38" s="72"/>
      <c r="B38" s="73"/>
      <c r="D38" s="74"/>
      <c r="E38" s="75"/>
      <c r="F38" s="76"/>
      <c r="G38" s="77"/>
      <c r="H38" s="78"/>
      <c r="I38" s="95"/>
      <c r="J38" s="96"/>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row>
    <row r="39" spans="1:66" s="48" customFormat="1" ht="18">
      <c r="A39" s="72"/>
      <c r="B39" s="73"/>
      <c r="D39" s="74"/>
      <c r="E39" s="75"/>
      <c r="F39" s="76"/>
      <c r="G39" s="77"/>
      <c r="H39" s="78"/>
      <c r="I39" s="95"/>
      <c r="J39" s="96"/>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row>
    <row r="40" spans="1:66" s="48" customFormat="1" ht="18">
      <c r="A40" s="72"/>
      <c r="B40" s="73"/>
      <c r="D40" s="74"/>
      <c r="E40" s="75"/>
      <c r="F40" s="76"/>
      <c r="G40" s="77"/>
      <c r="H40" s="78"/>
      <c r="I40" s="95"/>
      <c r="J40" s="96"/>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row>
    <row r="41" spans="1:66" s="48" customFormat="1" ht="18">
      <c r="A41" s="72"/>
      <c r="B41" s="73"/>
      <c r="D41" s="74"/>
      <c r="E41" s="75"/>
      <c r="F41" s="76"/>
      <c r="G41" s="77"/>
      <c r="H41" s="78"/>
      <c r="I41" s="95"/>
      <c r="J41" s="96"/>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row>
    <row r="42" spans="1:66" s="48" customFormat="1" ht="18">
      <c r="A42" s="72"/>
      <c r="B42" s="73"/>
      <c r="D42" s="74"/>
      <c r="E42" s="75"/>
      <c r="F42" s="76"/>
      <c r="G42" s="77"/>
      <c r="H42" s="78"/>
      <c r="I42" s="95"/>
      <c r="J42" s="96"/>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row>
    <row r="43" spans="1:66" s="48" customFormat="1" ht="18">
      <c r="A43" s="72"/>
      <c r="B43" s="73"/>
      <c r="D43" s="74"/>
      <c r="E43" s="75"/>
      <c r="F43" s="76"/>
      <c r="G43" s="77"/>
      <c r="H43" s="78"/>
      <c r="I43" s="95"/>
      <c r="J43" s="96"/>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row>
    <row r="44" spans="1:66" s="48" customFormat="1" ht="18">
      <c r="A44" s="72"/>
      <c r="B44" s="73"/>
      <c r="D44" s="74"/>
      <c r="E44" s="75"/>
      <c r="F44" s="76"/>
      <c r="G44" s="77"/>
      <c r="H44" s="78"/>
      <c r="I44" s="95"/>
      <c r="J44" s="96"/>
      <c r="K44" s="72"/>
      <c r="L44" s="72"/>
      <c r="M44" s="72"/>
      <c r="N44" s="72"/>
      <c r="O44" s="72"/>
      <c r="P44" s="72"/>
      <c r="Q44" s="72"/>
      <c r="R44" s="72"/>
      <c r="S44" s="72"/>
      <c r="T44" s="72"/>
      <c r="U44" s="72"/>
      <c r="V44" s="72"/>
      <c r="W44" s="72"/>
      <c r="X44" s="72"/>
      <c r="Y44" s="72"/>
      <c r="Z44" s="72"/>
      <c r="AA44" s="72"/>
      <c r="AB44" s="72"/>
      <c r="AC44" s="72"/>
      <c r="AD44" s="72"/>
      <c r="AE44" s="72"/>
      <c r="AF44" s="72"/>
      <c r="AG44" s="72"/>
      <c r="AH44" s="72"/>
      <c r="AI44" s="72"/>
      <c r="AJ44" s="72"/>
      <c r="AK44" s="72"/>
      <c r="AL44" s="72"/>
      <c r="AM44" s="72"/>
      <c r="AN44" s="72"/>
      <c r="AO44" s="72"/>
      <c r="AP44" s="72"/>
      <c r="AQ44" s="72"/>
      <c r="AR44" s="72"/>
      <c r="AS44" s="72"/>
      <c r="AT44" s="72"/>
      <c r="AU44" s="72"/>
      <c r="AV44" s="72"/>
      <c r="AW44" s="72"/>
      <c r="AX44" s="72"/>
      <c r="AY44" s="72"/>
      <c r="AZ44" s="72"/>
      <c r="BA44" s="72"/>
      <c r="BB44" s="72"/>
      <c r="BC44" s="72"/>
      <c r="BD44" s="72"/>
      <c r="BE44" s="72"/>
      <c r="BF44" s="72"/>
      <c r="BG44" s="72"/>
      <c r="BH44" s="72"/>
      <c r="BI44" s="72"/>
      <c r="BJ44" s="72"/>
      <c r="BK44" s="72"/>
      <c r="BL44" s="72"/>
      <c r="BM44" s="72"/>
      <c r="BN44" s="72"/>
    </row>
    <row r="45" spans="1:66" s="48" customFormat="1" ht="18">
      <c r="A45" s="72"/>
      <c r="B45" s="73"/>
      <c r="D45" s="74"/>
      <c r="E45" s="75"/>
      <c r="F45" s="76"/>
      <c r="G45" s="77"/>
      <c r="H45" s="78"/>
      <c r="I45" s="95"/>
      <c r="J45" s="96"/>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72"/>
      <c r="BH45" s="72"/>
      <c r="BI45" s="72"/>
      <c r="BJ45" s="72"/>
      <c r="BK45" s="72"/>
      <c r="BL45" s="72"/>
      <c r="BM45" s="72"/>
      <c r="BN45" s="72"/>
    </row>
    <row r="46" spans="1:66" s="48" customFormat="1" ht="18">
      <c r="A46" s="72"/>
      <c r="B46" s="73"/>
      <c r="D46" s="74"/>
      <c r="E46" s="75"/>
      <c r="F46" s="76"/>
      <c r="G46" s="77"/>
      <c r="H46" s="78"/>
      <c r="I46" s="95"/>
      <c r="J46" s="96"/>
      <c r="K46" s="72"/>
      <c r="L46" s="72"/>
      <c r="M46" s="72"/>
      <c r="N46" s="72"/>
      <c r="O46" s="72"/>
      <c r="P46" s="72"/>
      <c r="Q46" s="72"/>
      <c r="R46" s="72"/>
      <c r="S46" s="72"/>
      <c r="T46" s="72"/>
      <c r="U46" s="72"/>
      <c r="V46" s="72"/>
      <c r="W46" s="72"/>
      <c r="X46" s="72"/>
      <c r="Y46" s="72"/>
      <c r="Z46" s="72"/>
      <c r="AA46" s="72"/>
      <c r="AB46" s="72"/>
      <c r="AC46" s="72"/>
      <c r="AD46" s="72"/>
      <c r="AE46" s="72"/>
      <c r="AF46" s="72"/>
      <c r="AG46" s="72"/>
      <c r="AH46" s="72"/>
      <c r="AI46" s="72"/>
      <c r="AJ46" s="72"/>
      <c r="AK46" s="72"/>
      <c r="AL46" s="72"/>
      <c r="AM46" s="72"/>
      <c r="AN46" s="72"/>
      <c r="AO46" s="72"/>
      <c r="AP46" s="72"/>
      <c r="AQ46" s="72"/>
      <c r="AR46" s="72"/>
      <c r="AS46" s="72"/>
      <c r="AT46" s="72"/>
      <c r="AU46" s="72"/>
      <c r="AV46" s="72"/>
      <c r="AW46" s="72"/>
      <c r="AX46" s="72"/>
      <c r="AY46" s="72"/>
      <c r="AZ46" s="72"/>
      <c r="BA46" s="72"/>
      <c r="BB46" s="72"/>
      <c r="BC46" s="72"/>
      <c r="BD46" s="72"/>
      <c r="BE46" s="72"/>
      <c r="BF46" s="72"/>
      <c r="BG46" s="72"/>
      <c r="BH46" s="72"/>
      <c r="BI46" s="72"/>
      <c r="BJ46" s="72"/>
      <c r="BK46" s="72"/>
      <c r="BL46" s="72"/>
      <c r="BM46" s="72"/>
      <c r="BN46" s="72"/>
    </row>
    <row r="47" spans="1:66" s="48" customFormat="1" ht="18">
      <c r="A47" s="72"/>
      <c r="B47" s="73"/>
      <c r="D47" s="74"/>
      <c r="E47" s="75"/>
      <c r="F47" s="76"/>
      <c r="G47" s="77"/>
      <c r="H47" s="78"/>
      <c r="I47" s="95"/>
      <c r="J47" s="96"/>
      <c r="K47" s="72"/>
      <c r="L47" s="72"/>
      <c r="M47" s="72"/>
      <c r="N47" s="72"/>
      <c r="O47" s="72"/>
      <c r="P47" s="72"/>
      <c r="Q47" s="72"/>
      <c r="R47" s="72"/>
      <c r="S47" s="72"/>
      <c r="T47" s="72"/>
      <c r="U47" s="72"/>
      <c r="V47" s="72"/>
      <c r="W47" s="72"/>
      <c r="X47" s="72"/>
      <c r="Y47" s="72"/>
      <c r="Z47" s="72"/>
      <c r="AA47" s="72"/>
      <c r="AB47" s="72"/>
      <c r="AC47" s="72"/>
      <c r="AD47" s="72"/>
      <c r="AE47" s="72"/>
      <c r="AF47" s="72"/>
      <c r="AG47" s="72"/>
      <c r="AH47" s="72"/>
      <c r="AI47" s="72"/>
      <c r="AJ47" s="72"/>
      <c r="AK47" s="72"/>
      <c r="AL47" s="72"/>
      <c r="AM47" s="72"/>
      <c r="AN47" s="72"/>
      <c r="AO47" s="72"/>
      <c r="AP47" s="72"/>
      <c r="AQ47" s="72"/>
      <c r="AR47" s="72"/>
      <c r="AS47" s="72"/>
      <c r="AT47" s="72"/>
      <c r="AU47" s="72"/>
      <c r="AV47" s="72"/>
      <c r="AW47" s="72"/>
      <c r="AX47" s="72"/>
      <c r="AY47" s="72"/>
      <c r="AZ47" s="72"/>
      <c r="BA47" s="72"/>
      <c r="BB47" s="72"/>
      <c r="BC47" s="72"/>
      <c r="BD47" s="72"/>
      <c r="BE47" s="72"/>
      <c r="BF47" s="72"/>
      <c r="BG47" s="72"/>
      <c r="BH47" s="72"/>
      <c r="BI47" s="72"/>
      <c r="BJ47" s="72"/>
      <c r="BK47" s="72"/>
      <c r="BL47" s="72"/>
      <c r="BM47" s="72"/>
      <c r="BN47" s="72"/>
    </row>
    <row r="48" spans="1:66" s="48" customFormat="1" ht="18">
      <c r="A48" s="72"/>
      <c r="B48" s="73"/>
      <c r="D48" s="74"/>
      <c r="E48" s="75"/>
      <c r="F48" s="76"/>
      <c r="G48" s="77"/>
      <c r="H48" s="78"/>
      <c r="I48" s="95"/>
      <c r="J48" s="96"/>
      <c r="K48" s="72"/>
      <c r="L48" s="72"/>
      <c r="M48" s="72"/>
      <c r="N48" s="72"/>
      <c r="O48" s="72"/>
      <c r="P48" s="72"/>
      <c r="Q48" s="72"/>
      <c r="R48" s="72"/>
      <c r="S48" s="72"/>
      <c r="T48" s="72"/>
      <c r="U48" s="72"/>
      <c r="V48" s="72"/>
      <c r="W48" s="72"/>
      <c r="X48" s="72"/>
      <c r="Y48" s="72"/>
      <c r="Z48" s="72"/>
      <c r="AA48" s="72"/>
      <c r="AB48" s="72"/>
      <c r="AC48" s="72"/>
      <c r="AD48" s="72"/>
      <c r="AE48" s="72"/>
      <c r="AF48" s="72"/>
      <c r="AG48" s="72"/>
      <c r="AH48" s="72"/>
      <c r="AI48" s="72"/>
      <c r="AJ48" s="72"/>
      <c r="AK48" s="72"/>
      <c r="AL48" s="72"/>
      <c r="AM48" s="72"/>
      <c r="AN48" s="72"/>
      <c r="AO48" s="72"/>
      <c r="AP48" s="72"/>
      <c r="AQ48" s="72"/>
      <c r="AR48" s="72"/>
      <c r="AS48" s="72"/>
      <c r="AT48" s="72"/>
      <c r="AU48" s="72"/>
      <c r="AV48" s="72"/>
      <c r="AW48" s="72"/>
      <c r="AX48" s="72"/>
      <c r="AY48" s="72"/>
      <c r="AZ48" s="72"/>
      <c r="BA48" s="72"/>
      <c r="BB48" s="72"/>
      <c r="BC48" s="72"/>
      <c r="BD48" s="72"/>
      <c r="BE48" s="72"/>
      <c r="BF48" s="72"/>
      <c r="BG48" s="72"/>
      <c r="BH48" s="72"/>
      <c r="BI48" s="72"/>
      <c r="BJ48" s="72"/>
      <c r="BK48" s="72"/>
      <c r="BL48" s="72"/>
      <c r="BM48" s="72"/>
      <c r="BN48" s="72"/>
    </row>
    <row r="49" spans="1:66" s="48" customFormat="1" ht="18">
      <c r="A49" s="72"/>
      <c r="B49" s="73"/>
      <c r="D49" s="74"/>
      <c r="E49" s="75"/>
      <c r="F49" s="76"/>
      <c r="G49" s="77"/>
      <c r="H49" s="78"/>
      <c r="I49" s="95"/>
      <c r="J49" s="96"/>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M49" s="72"/>
      <c r="AN49" s="72"/>
      <c r="AO49" s="72"/>
      <c r="AP49" s="72"/>
      <c r="AQ49" s="72"/>
      <c r="AR49" s="72"/>
      <c r="AS49" s="72"/>
      <c r="AT49" s="72"/>
      <c r="AU49" s="72"/>
      <c r="AV49" s="72"/>
      <c r="AW49" s="72"/>
      <c r="AX49" s="72"/>
      <c r="AY49" s="72"/>
      <c r="AZ49" s="72"/>
      <c r="BA49" s="72"/>
      <c r="BB49" s="72"/>
      <c r="BC49" s="72"/>
      <c r="BD49" s="72"/>
      <c r="BE49" s="72"/>
      <c r="BF49" s="72"/>
      <c r="BG49" s="72"/>
      <c r="BH49" s="72"/>
      <c r="BI49" s="72"/>
      <c r="BJ49" s="72"/>
      <c r="BK49" s="72"/>
      <c r="BL49" s="72"/>
      <c r="BM49" s="72"/>
      <c r="BN49" s="72"/>
    </row>
    <row r="50" spans="1:66" s="48" customFormat="1" ht="18">
      <c r="A50" s="72"/>
      <c r="B50" s="73"/>
      <c r="D50" s="74"/>
      <c r="E50" s="75"/>
      <c r="F50" s="76"/>
      <c r="G50" s="77"/>
      <c r="H50" s="78"/>
      <c r="I50" s="95"/>
      <c r="J50" s="96"/>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c r="AV50" s="72"/>
      <c r="AW50" s="72"/>
      <c r="AX50" s="72"/>
      <c r="AY50" s="72"/>
      <c r="AZ50" s="72"/>
      <c r="BA50" s="72"/>
      <c r="BB50" s="72"/>
      <c r="BC50" s="72"/>
      <c r="BD50" s="72"/>
      <c r="BE50" s="72"/>
      <c r="BF50" s="72"/>
      <c r="BG50" s="72"/>
      <c r="BH50" s="72"/>
      <c r="BI50" s="72"/>
      <c r="BJ50" s="72"/>
      <c r="BK50" s="72"/>
      <c r="BL50" s="72"/>
      <c r="BM50" s="72"/>
      <c r="BN50" s="72"/>
    </row>
    <row r="51" spans="1:66" s="48" customFormat="1" ht="18">
      <c r="A51" s="72"/>
      <c r="B51" s="73"/>
      <c r="D51" s="74"/>
      <c r="E51" s="75"/>
      <c r="F51" s="76"/>
      <c r="G51" s="77"/>
      <c r="H51" s="78"/>
      <c r="I51" s="95"/>
      <c r="J51" s="96"/>
      <c r="K51" s="72"/>
      <c r="L51" s="72"/>
      <c r="M51" s="72"/>
      <c r="N51" s="72"/>
      <c r="O51" s="72"/>
      <c r="P51" s="72"/>
      <c r="Q51" s="72"/>
      <c r="R51" s="72"/>
      <c r="S51" s="72"/>
      <c r="T51" s="72"/>
      <c r="U51" s="72"/>
      <c r="V51" s="72"/>
      <c r="W51" s="72"/>
      <c r="X51" s="72"/>
      <c r="Y51" s="72"/>
      <c r="Z51" s="72"/>
      <c r="AA51" s="72"/>
      <c r="AB51" s="72"/>
      <c r="AC51" s="72"/>
      <c r="AD51" s="72"/>
      <c r="AE51" s="72"/>
      <c r="AF51" s="72"/>
      <c r="AG51" s="72"/>
      <c r="AH51" s="72"/>
      <c r="AI51" s="72"/>
      <c r="AJ51" s="72"/>
      <c r="AK51" s="72"/>
      <c r="AL51" s="72"/>
      <c r="AM51" s="72"/>
      <c r="AN51" s="72"/>
      <c r="AO51" s="72"/>
      <c r="AP51" s="72"/>
      <c r="AQ51" s="72"/>
      <c r="AR51" s="72"/>
      <c r="AS51" s="72"/>
      <c r="AT51" s="72"/>
      <c r="AU51" s="72"/>
      <c r="AV51" s="72"/>
      <c r="AW51" s="72"/>
      <c r="AX51" s="72"/>
      <c r="AY51" s="72"/>
      <c r="AZ51" s="72"/>
      <c r="BA51" s="72"/>
      <c r="BB51" s="72"/>
      <c r="BC51" s="72"/>
      <c r="BD51" s="72"/>
      <c r="BE51" s="72"/>
      <c r="BF51" s="72"/>
      <c r="BG51" s="72"/>
      <c r="BH51" s="72"/>
      <c r="BI51" s="72"/>
      <c r="BJ51" s="72"/>
      <c r="BK51" s="72"/>
      <c r="BL51" s="72"/>
      <c r="BM51" s="72"/>
      <c r="BN51" s="72"/>
    </row>
    <row r="52" spans="1:66" s="48" customFormat="1" ht="18">
      <c r="A52" s="72"/>
      <c r="B52" s="73"/>
      <c r="D52" s="74"/>
      <c r="E52" s="75"/>
      <c r="F52" s="76"/>
      <c r="G52" s="77"/>
      <c r="H52" s="78"/>
      <c r="I52" s="95"/>
      <c r="J52" s="96"/>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c r="BM52" s="72"/>
      <c r="BN52" s="72"/>
    </row>
    <row r="53" spans="1:66" s="48" customFormat="1" ht="18">
      <c r="A53" s="72"/>
      <c r="B53" s="73"/>
      <c r="D53" s="74"/>
      <c r="E53" s="75"/>
      <c r="F53" s="76"/>
      <c r="G53" s="77"/>
      <c r="H53" s="78"/>
      <c r="I53" s="95"/>
      <c r="J53" s="96"/>
      <c r="K53" s="72"/>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2"/>
      <c r="AW53" s="72"/>
      <c r="AX53" s="72"/>
      <c r="AY53" s="72"/>
      <c r="AZ53" s="72"/>
      <c r="BA53" s="72"/>
      <c r="BB53" s="72"/>
      <c r="BC53" s="72"/>
      <c r="BD53" s="72"/>
      <c r="BE53" s="72"/>
      <c r="BF53" s="72"/>
      <c r="BG53" s="72"/>
      <c r="BH53" s="72"/>
      <c r="BI53" s="72"/>
      <c r="BJ53" s="72"/>
      <c r="BK53" s="72"/>
      <c r="BL53" s="72"/>
      <c r="BM53" s="72"/>
      <c r="BN53" s="72"/>
    </row>
    <row r="54" spans="1:66" s="47" customFormat="1" ht="18" hidden="1">
      <c r="A54" s="79" t="str">
        <f>IF(ISERROR(VALUE(SUBSTITUTE(prevWBS,".",""))),"1",IF(ISERROR(FIND("`",SUBSTITUTE(prevWBS,".","`",1))),TEXT(VALUE(prevWBS)+1,"#"),TEXT(VALUE(LEFT(prevWBS,FIND("`",SUBSTITUTE(prevWBS,".","`",1))-1))+1,"#")))</f>
        <v>1</v>
      </c>
      <c r="B54" s="80" t="s">
        <v>16</v>
      </c>
      <c r="D54" s="81"/>
      <c r="E54" s="82"/>
      <c r="F54" s="82" t="str">
        <f t="shared" ref="F54:F59" si="10">IF(ISBLANK(E54)," - ",IF(G54=0,E54,E54+G54-1))</f>
        <v xml:space="preserve"> - </v>
      </c>
      <c r="G54" s="83"/>
      <c r="H54" s="84"/>
      <c r="I54" s="97" t="str">
        <f t="shared" si="5"/>
        <v xml:space="preserve"> - </v>
      </c>
      <c r="J54" s="98"/>
      <c r="K54" s="99"/>
      <c r="L54" s="99"/>
      <c r="M54" s="99"/>
      <c r="N54" s="99"/>
      <c r="O54" s="99"/>
      <c r="P54" s="99"/>
      <c r="Q54" s="99"/>
      <c r="R54" s="99"/>
      <c r="S54" s="99"/>
      <c r="T54" s="99"/>
      <c r="U54" s="99"/>
      <c r="V54" s="99"/>
      <c r="W54" s="99"/>
      <c r="X54" s="99"/>
      <c r="Y54" s="99"/>
      <c r="Z54" s="99"/>
      <c r="AA54" s="99"/>
      <c r="AB54" s="99"/>
      <c r="AC54" s="99"/>
      <c r="AD54" s="99"/>
      <c r="AE54" s="99"/>
      <c r="AF54" s="99"/>
      <c r="AG54" s="99"/>
      <c r="AH54" s="99"/>
      <c r="AI54" s="99"/>
      <c r="AJ54" s="99"/>
      <c r="AK54" s="99"/>
      <c r="AL54" s="99"/>
      <c r="AM54" s="99"/>
      <c r="AN54" s="99"/>
      <c r="AO54" s="99"/>
      <c r="AP54" s="99"/>
      <c r="AQ54" s="99"/>
      <c r="AR54" s="99"/>
      <c r="AS54" s="99"/>
      <c r="AT54" s="99"/>
      <c r="AU54" s="99"/>
      <c r="AV54" s="99"/>
      <c r="AW54" s="99"/>
      <c r="AX54" s="99"/>
      <c r="AY54" s="99"/>
      <c r="AZ54" s="99"/>
      <c r="BA54" s="99"/>
      <c r="BB54" s="99"/>
      <c r="BC54" s="99"/>
      <c r="BD54" s="99"/>
      <c r="BE54" s="99"/>
      <c r="BF54" s="99"/>
      <c r="BG54" s="99"/>
      <c r="BH54" s="99"/>
      <c r="BI54" s="99"/>
      <c r="BJ54" s="99"/>
      <c r="BK54" s="99"/>
      <c r="BL54" s="99"/>
      <c r="BM54" s="99"/>
      <c r="BN54" s="99"/>
    </row>
    <row r="55" spans="1:66" s="48" customFormat="1" ht="18" hidden="1">
      <c r="A55" s="72" t="str">
        <f t="shared" ref="A55:A93" si="1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55" s="73" t="s">
        <v>17</v>
      </c>
      <c r="C55" s="48" t="s">
        <v>18</v>
      </c>
      <c r="D55" s="74"/>
      <c r="E55" s="75">
        <v>46057</v>
      </c>
      <c r="F55" s="76">
        <f t="shared" si="10"/>
        <v>46063</v>
      </c>
      <c r="G55" s="77">
        <v>7</v>
      </c>
      <c r="H55" s="78">
        <v>0</v>
      </c>
      <c r="I55" s="95">
        <f t="shared" si="5"/>
        <v>5</v>
      </c>
      <c r="J55" s="96"/>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row>
    <row r="56" spans="1:66" s="48" customFormat="1" ht="18" hidden="1">
      <c r="A56" s="72" t="str">
        <f t="shared" si="11"/>
        <v>1.2</v>
      </c>
      <c r="B56" s="73" t="s">
        <v>19</v>
      </c>
      <c r="C56" s="48" t="s">
        <v>20</v>
      </c>
      <c r="D56" s="74"/>
      <c r="E56" s="75">
        <v>46064</v>
      </c>
      <c r="F56" s="76">
        <f t="shared" si="10"/>
        <v>46070</v>
      </c>
      <c r="G56" s="77">
        <v>7</v>
      </c>
      <c r="H56" s="78">
        <v>0</v>
      </c>
      <c r="I56" s="95">
        <f t="shared" si="5"/>
        <v>5</v>
      </c>
      <c r="J56" s="96"/>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row>
    <row r="57" spans="1:66" s="48" customFormat="1" ht="44.25" hidden="1" customHeight="1">
      <c r="A57" s="72" t="str">
        <f t="shared" si="11"/>
        <v>1.3</v>
      </c>
      <c r="B57" s="73" t="s">
        <v>21</v>
      </c>
      <c r="C57" s="48" t="s">
        <v>22</v>
      </c>
      <c r="D57" s="74"/>
      <c r="E57" s="75">
        <v>46064</v>
      </c>
      <c r="F57" s="76">
        <f t="shared" si="10"/>
        <v>46070</v>
      </c>
      <c r="G57" s="77">
        <v>7</v>
      </c>
      <c r="H57" s="78">
        <v>0</v>
      </c>
      <c r="I57" s="95">
        <f t="shared" si="5"/>
        <v>5</v>
      </c>
      <c r="J57" s="96"/>
      <c r="K57" s="72"/>
      <c r="L57" s="72"/>
      <c r="M57" s="72"/>
      <c r="N57" s="72"/>
      <c r="O57" s="72"/>
      <c r="P57" s="72"/>
      <c r="Q57" s="72"/>
      <c r="R57" s="72"/>
      <c r="S57" s="72"/>
      <c r="T57" s="72"/>
      <c r="U57" s="72"/>
      <c r="V57" s="72"/>
      <c r="W57" s="72"/>
      <c r="X57" s="72"/>
      <c r="Y57" s="72"/>
      <c r="Z57" s="72"/>
      <c r="AA57" s="72"/>
      <c r="AB57" s="72"/>
      <c r="AC57" s="72"/>
      <c r="AD57" s="72"/>
      <c r="AE57" s="72"/>
      <c r="AF57" s="72"/>
      <c r="AG57" s="72"/>
      <c r="AH57" s="72"/>
      <c r="AI57" s="72"/>
      <c r="AJ57" s="72"/>
      <c r="AK57" s="72"/>
      <c r="AL57" s="72"/>
      <c r="AM57" s="72"/>
      <c r="AN57" s="72"/>
      <c r="AO57" s="72"/>
      <c r="AP57" s="72"/>
      <c r="AQ57" s="72"/>
      <c r="AR57" s="72"/>
      <c r="AS57" s="72"/>
      <c r="AT57" s="72"/>
      <c r="AU57" s="72"/>
      <c r="AV57" s="72"/>
      <c r="AW57" s="72"/>
      <c r="AX57" s="72"/>
      <c r="AY57" s="72"/>
      <c r="AZ57" s="72"/>
      <c r="BA57" s="72"/>
      <c r="BB57" s="72"/>
      <c r="BC57" s="72"/>
      <c r="BD57" s="72"/>
      <c r="BE57" s="72"/>
      <c r="BF57" s="72"/>
      <c r="BG57" s="72"/>
      <c r="BH57" s="72"/>
      <c r="BI57" s="72"/>
      <c r="BJ57" s="72"/>
      <c r="BK57" s="72"/>
      <c r="BL57" s="72"/>
      <c r="BM57" s="72"/>
      <c r="BN57" s="72"/>
    </row>
    <row r="58" spans="1:66" s="48" customFormat="1" ht="18" hidden="1">
      <c r="A58" s="72" t="str">
        <f t="shared" si="11"/>
        <v>1.4</v>
      </c>
      <c r="B58" s="73" t="s">
        <v>23</v>
      </c>
      <c r="C58" s="48" t="s">
        <v>20</v>
      </c>
      <c r="D58" s="74"/>
      <c r="E58" s="75">
        <v>46071</v>
      </c>
      <c r="F58" s="76">
        <f t="shared" si="10"/>
        <v>46077</v>
      </c>
      <c r="G58" s="77">
        <v>7</v>
      </c>
      <c r="H58" s="78">
        <v>0</v>
      </c>
      <c r="I58" s="95">
        <f t="shared" si="5"/>
        <v>5</v>
      </c>
      <c r="J58" s="96"/>
      <c r="K58" s="72"/>
      <c r="L58" s="72"/>
      <c r="M58" s="72"/>
      <c r="N58" s="72"/>
      <c r="O58" s="72"/>
      <c r="P58" s="72"/>
      <c r="Q58" s="72"/>
      <c r="R58" s="72"/>
      <c r="S58" s="72"/>
      <c r="T58" s="72"/>
      <c r="U58" s="72"/>
      <c r="V58" s="72"/>
      <c r="W58" s="72"/>
      <c r="X58" s="72"/>
      <c r="Y58" s="72"/>
      <c r="Z58" s="72"/>
      <c r="AA58" s="72"/>
      <c r="AB58" s="72"/>
      <c r="AC58" s="72"/>
      <c r="AD58" s="72"/>
      <c r="AE58" s="72"/>
      <c r="AF58" s="72"/>
      <c r="AG58" s="72"/>
      <c r="AH58" s="72"/>
      <c r="AI58" s="72"/>
      <c r="AJ58" s="72"/>
      <c r="AK58" s="72"/>
      <c r="AL58" s="72"/>
      <c r="AM58" s="72"/>
      <c r="AN58" s="72"/>
      <c r="AO58" s="72"/>
      <c r="AP58" s="72"/>
      <c r="AQ58" s="72"/>
      <c r="AR58" s="72"/>
      <c r="AS58" s="72"/>
      <c r="AT58" s="72"/>
      <c r="AU58" s="72"/>
      <c r="AV58" s="72"/>
      <c r="AW58" s="72"/>
      <c r="AX58" s="72"/>
      <c r="AY58" s="72"/>
      <c r="AZ58" s="72"/>
      <c r="BA58" s="72"/>
      <c r="BB58" s="72"/>
      <c r="BC58" s="72"/>
      <c r="BD58" s="72"/>
      <c r="BE58" s="72"/>
      <c r="BF58" s="72"/>
      <c r="BG58" s="72"/>
      <c r="BH58" s="72"/>
      <c r="BI58" s="72"/>
      <c r="BJ58" s="72"/>
      <c r="BK58" s="72"/>
      <c r="BL58" s="72"/>
      <c r="BM58" s="72"/>
      <c r="BN58" s="72"/>
    </row>
    <row r="59" spans="1:66" s="48" customFormat="1" ht="18" hidden="1">
      <c r="A59" s="72" t="str">
        <f t="shared" si="11"/>
        <v>1.5</v>
      </c>
      <c r="B59" s="73" t="s">
        <v>24</v>
      </c>
      <c r="C59" s="48" t="s">
        <v>22</v>
      </c>
      <c r="D59" s="74"/>
      <c r="E59" s="75">
        <v>46071</v>
      </c>
      <c r="F59" s="76">
        <f t="shared" si="10"/>
        <v>46077</v>
      </c>
      <c r="G59" s="77">
        <v>7</v>
      </c>
      <c r="H59" s="78">
        <v>0</v>
      </c>
      <c r="I59" s="95">
        <f t="shared" si="5"/>
        <v>5</v>
      </c>
      <c r="J59" s="96"/>
      <c r="K59" s="72"/>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2"/>
      <c r="AW59" s="72"/>
      <c r="AX59" s="72"/>
      <c r="AY59" s="72"/>
      <c r="AZ59" s="72"/>
      <c r="BA59" s="72"/>
      <c r="BB59" s="72"/>
      <c r="BC59" s="72"/>
      <c r="BD59" s="72"/>
      <c r="BE59" s="72"/>
      <c r="BF59" s="72"/>
      <c r="BG59" s="72"/>
      <c r="BH59" s="72"/>
      <c r="BI59" s="72"/>
      <c r="BJ59" s="72"/>
      <c r="BK59" s="72"/>
      <c r="BL59" s="72"/>
      <c r="BM59" s="72"/>
      <c r="BN59" s="72"/>
    </row>
    <row r="60" spans="1:66" s="48" customFormat="1" ht="18" hidden="1">
      <c r="A60" s="72" t="str">
        <f t="shared" si="11"/>
        <v>1.6</v>
      </c>
      <c r="B60" s="73" t="s">
        <v>25</v>
      </c>
      <c r="C60" s="48" t="s">
        <v>20</v>
      </c>
      <c r="D60" s="74"/>
      <c r="E60" s="75">
        <v>46078</v>
      </c>
      <c r="F60" s="76">
        <f t="shared" ref="F60:F74" si="12">IF(ISBLANK(E60)," - ",IF(G60=0,E60,E60+G60-1))</f>
        <v>46084</v>
      </c>
      <c r="G60" s="77">
        <v>7</v>
      </c>
      <c r="H60" s="78">
        <v>0</v>
      </c>
      <c r="I60" s="95">
        <f t="shared" ref="I60:I74" si="13">IF(OR(F60=0,E60=0)," - ",NETWORKDAYS(E60,F60))</f>
        <v>5</v>
      </c>
      <c r="J60" s="96"/>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c r="AM60" s="72"/>
      <c r="AN60" s="72"/>
      <c r="AO60" s="72"/>
      <c r="AP60" s="72"/>
      <c r="AQ60" s="72"/>
      <c r="AR60" s="72"/>
      <c r="AS60" s="72"/>
      <c r="AT60" s="72"/>
      <c r="AU60" s="72"/>
      <c r="AV60" s="72"/>
      <c r="AW60" s="72"/>
      <c r="AX60" s="72"/>
      <c r="AY60" s="72"/>
      <c r="AZ60" s="72"/>
      <c r="BA60" s="72"/>
      <c r="BB60" s="72"/>
      <c r="BC60" s="72"/>
      <c r="BD60" s="72"/>
      <c r="BE60" s="72"/>
      <c r="BF60" s="72"/>
      <c r="BG60" s="72"/>
      <c r="BH60" s="72"/>
      <c r="BI60" s="72"/>
      <c r="BJ60" s="72"/>
      <c r="BK60" s="72"/>
      <c r="BL60" s="72"/>
      <c r="BM60" s="72"/>
      <c r="BN60" s="72"/>
    </row>
    <row r="61" spans="1:66" s="48" customFormat="1" ht="18" hidden="1">
      <c r="A61" s="72" t="str">
        <f t="shared" si="11"/>
        <v>1.7</v>
      </c>
      <c r="B61" s="73" t="s">
        <v>26</v>
      </c>
      <c r="C61" s="48" t="s">
        <v>22</v>
      </c>
      <c r="D61" s="74"/>
      <c r="E61" s="75">
        <v>46078</v>
      </c>
      <c r="F61" s="76">
        <f t="shared" si="12"/>
        <v>46084</v>
      </c>
      <c r="G61" s="77">
        <v>7</v>
      </c>
      <c r="H61" s="78">
        <v>0</v>
      </c>
      <c r="I61" s="95">
        <f t="shared" si="13"/>
        <v>5</v>
      </c>
      <c r="J61" s="96"/>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row>
    <row r="62" spans="1:66" s="48" customFormat="1" ht="18" hidden="1">
      <c r="A62" s="72" t="str">
        <f t="shared" si="11"/>
        <v>1.8</v>
      </c>
      <c r="B62" s="73" t="s">
        <v>27</v>
      </c>
      <c r="C62" s="48" t="s">
        <v>28</v>
      </c>
      <c r="D62" s="74"/>
      <c r="E62" s="75">
        <v>46057</v>
      </c>
      <c r="F62" s="76">
        <f t="shared" si="12"/>
        <v>46063</v>
      </c>
      <c r="G62" s="77">
        <v>7</v>
      </c>
      <c r="H62" s="78">
        <v>0</v>
      </c>
      <c r="I62" s="95">
        <f t="shared" si="13"/>
        <v>5</v>
      </c>
      <c r="J62" s="96"/>
      <c r="K62" s="72"/>
      <c r="L62" s="72"/>
      <c r="M62" s="72"/>
      <c r="N62" s="72"/>
      <c r="O62" s="72"/>
      <c r="P62" s="72"/>
      <c r="Q62" s="72"/>
      <c r="R62" s="72"/>
      <c r="S62" s="72"/>
      <c r="T62" s="72"/>
      <c r="U62" s="72"/>
      <c r="V62" s="72"/>
      <c r="W62" s="72"/>
      <c r="X62" s="72"/>
      <c r="Y62" s="72"/>
      <c r="Z62" s="72"/>
      <c r="AA62" s="72"/>
      <c r="AB62" s="72"/>
      <c r="AC62" s="72"/>
      <c r="AD62" s="72"/>
      <c r="AE62" s="72"/>
      <c r="AF62" s="72"/>
      <c r="AG62" s="72"/>
      <c r="AH62" s="72"/>
      <c r="AI62" s="72"/>
      <c r="AJ62" s="72"/>
      <c r="AK62" s="72"/>
      <c r="AL62" s="72"/>
      <c r="AM62" s="72"/>
      <c r="AN62" s="72"/>
      <c r="AO62" s="72"/>
      <c r="AP62" s="72"/>
      <c r="AQ62" s="72"/>
      <c r="AR62" s="72"/>
      <c r="AS62" s="72"/>
      <c r="AT62" s="72"/>
      <c r="AU62" s="72"/>
      <c r="AV62" s="72"/>
      <c r="AW62" s="72"/>
      <c r="AX62" s="72"/>
      <c r="AY62" s="72"/>
      <c r="AZ62" s="72"/>
      <c r="BA62" s="72"/>
      <c r="BB62" s="72"/>
      <c r="BC62" s="72"/>
      <c r="BD62" s="72"/>
      <c r="BE62" s="72"/>
      <c r="BF62" s="72"/>
      <c r="BG62" s="72"/>
      <c r="BH62" s="72"/>
      <c r="BI62" s="72"/>
      <c r="BJ62" s="72"/>
      <c r="BK62" s="72"/>
      <c r="BL62" s="72"/>
      <c r="BM62" s="72"/>
      <c r="BN62" s="72"/>
    </row>
    <row r="63" spans="1:66" s="48" customFormat="1" ht="18" hidden="1">
      <c r="A63" s="72" t="str">
        <f t="shared" si="11"/>
        <v>1.9</v>
      </c>
      <c r="B63" s="73" t="s">
        <v>29</v>
      </c>
      <c r="C63" s="48" t="s">
        <v>20</v>
      </c>
      <c r="D63" s="74"/>
      <c r="E63" s="75">
        <v>46085</v>
      </c>
      <c r="F63" s="76">
        <f t="shared" si="12"/>
        <v>46091</v>
      </c>
      <c r="G63" s="77">
        <v>7</v>
      </c>
      <c r="H63" s="78">
        <v>0</v>
      </c>
      <c r="I63" s="95">
        <f t="shared" si="13"/>
        <v>5</v>
      </c>
      <c r="J63" s="96"/>
      <c r="K63" s="72"/>
      <c r="L63" s="72"/>
      <c r="M63" s="72"/>
      <c r="N63" s="72"/>
      <c r="O63" s="72"/>
      <c r="P63" s="72"/>
      <c r="Q63" s="72"/>
      <c r="R63" s="72"/>
      <c r="S63" s="72"/>
      <c r="T63" s="72"/>
      <c r="U63" s="72"/>
      <c r="V63" s="72"/>
      <c r="W63" s="72"/>
      <c r="X63" s="72"/>
      <c r="Y63" s="72"/>
      <c r="Z63" s="72"/>
      <c r="AA63" s="72"/>
      <c r="AB63" s="72"/>
      <c r="AC63" s="72"/>
      <c r="AD63" s="72"/>
      <c r="AE63" s="72"/>
      <c r="AF63" s="72"/>
      <c r="AG63" s="72"/>
      <c r="AH63" s="72"/>
      <c r="AI63" s="72"/>
      <c r="AJ63" s="72"/>
      <c r="AK63" s="72"/>
      <c r="AL63" s="72"/>
      <c r="AM63" s="72"/>
      <c r="AN63" s="72"/>
      <c r="AO63" s="72"/>
      <c r="AP63" s="72"/>
      <c r="AQ63" s="72"/>
      <c r="AR63" s="72"/>
      <c r="AS63" s="72"/>
      <c r="AT63" s="72"/>
      <c r="AU63" s="72"/>
      <c r="AV63" s="72"/>
      <c r="AW63" s="72"/>
      <c r="AX63" s="72"/>
      <c r="AY63" s="72"/>
      <c r="AZ63" s="72"/>
      <c r="BA63" s="72"/>
      <c r="BB63" s="72"/>
      <c r="BC63" s="72"/>
      <c r="BD63" s="72"/>
      <c r="BE63" s="72"/>
      <c r="BF63" s="72"/>
      <c r="BG63" s="72"/>
      <c r="BH63" s="72"/>
      <c r="BI63" s="72"/>
      <c r="BJ63" s="72"/>
      <c r="BK63" s="72"/>
      <c r="BL63" s="72"/>
      <c r="BM63" s="72"/>
      <c r="BN63" s="72"/>
    </row>
    <row r="64" spans="1:66" s="48" customFormat="1" ht="18" hidden="1">
      <c r="A64" s="72" t="str">
        <f t="shared" si="11"/>
        <v>1.10</v>
      </c>
      <c r="B64" s="73" t="s">
        <v>30</v>
      </c>
      <c r="C64" s="48" t="s">
        <v>22</v>
      </c>
      <c r="D64" s="74"/>
      <c r="E64" s="75">
        <v>46085</v>
      </c>
      <c r="F64" s="76">
        <f t="shared" si="12"/>
        <v>46091</v>
      </c>
      <c r="G64" s="77">
        <v>7</v>
      </c>
      <c r="H64" s="78">
        <v>0</v>
      </c>
      <c r="I64" s="95">
        <f t="shared" si="13"/>
        <v>5</v>
      </c>
      <c r="J64" s="96"/>
      <c r="K64" s="72"/>
      <c r="L64" s="72"/>
      <c r="M64" s="72"/>
      <c r="N64" s="72"/>
      <c r="O64" s="72"/>
      <c r="P64" s="72"/>
      <c r="Q64" s="72"/>
      <c r="R64" s="72"/>
      <c r="S64" s="72"/>
      <c r="T64" s="72"/>
      <c r="U64" s="72"/>
      <c r="V64" s="72"/>
      <c r="W64" s="72"/>
      <c r="X64" s="72"/>
      <c r="Y64" s="72"/>
      <c r="Z64" s="72"/>
      <c r="AA64" s="72"/>
      <c r="AB64" s="72"/>
      <c r="AC64" s="72"/>
      <c r="AD64" s="72"/>
      <c r="AE64" s="72"/>
      <c r="AF64" s="72"/>
      <c r="AG64" s="72"/>
      <c r="AH64" s="72"/>
      <c r="AI64" s="72"/>
      <c r="AJ64" s="72"/>
      <c r="AK64" s="72"/>
      <c r="AL64" s="72"/>
      <c r="AM64" s="72"/>
      <c r="AN64" s="72"/>
      <c r="AO64" s="72"/>
      <c r="AP64" s="72"/>
      <c r="AQ64" s="72"/>
      <c r="AR64" s="72"/>
      <c r="AS64" s="72"/>
      <c r="AT64" s="72"/>
      <c r="AU64" s="72"/>
      <c r="AV64" s="72"/>
      <c r="AW64" s="72"/>
      <c r="AX64" s="72"/>
      <c r="AY64" s="72"/>
      <c r="AZ64" s="72"/>
      <c r="BA64" s="72"/>
      <c r="BB64" s="72"/>
      <c r="BC64" s="72"/>
      <c r="BD64" s="72"/>
      <c r="BE64" s="72"/>
      <c r="BF64" s="72"/>
      <c r="BG64" s="72"/>
      <c r="BH64" s="72"/>
      <c r="BI64" s="72"/>
      <c r="BJ64" s="72"/>
      <c r="BK64" s="72"/>
      <c r="BL64" s="72"/>
      <c r="BM64" s="72"/>
      <c r="BN64" s="72"/>
    </row>
    <row r="65" spans="1:66" s="48" customFormat="1" ht="18" hidden="1">
      <c r="A65" s="72" t="str">
        <f t="shared" si="11"/>
        <v>1.11</v>
      </c>
      <c r="B65" s="73" t="s">
        <v>31</v>
      </c>
      <c r="C65" s="48" t="s">
        <v>22</v>
      </c>
      <c r="D65" s="74"/>
      <c r="E65" s="75">
        <v>46092</v>
      </c>
      <c r="F65" s="76">
        <f t="shared" si="12"/>
        <v>46098</v>
      </c>
      <c r="G65" s="77">
        <v>7</v>
      </c>
      <c r="H65" s="78">
        <v>0</v>
      </c>
      <c r="I65" s="95">
        <f t="shared" si="13"/>
        <v>5</v>
      </c>
      <c r="J65" s="96"/>
      <c r="K65" s="72"/>
      <c r="L65" s="72"/>
      <c r="M65" s="72"/>
      <c r="N65" s="72"/>
      <c r="O65" s="72"/>
      <c r="P65" s="72"/>
      <c r="Q65" s="72"/>
      <c r="R65" s="72"/>
      <c r="S65" s="72"/>
      <c r="T65" s="72"/>
      <c r="U65" s="72"/>
      <c r="V65" s="72"/>
      <c r="W65" s="72"/>
      <c r="X65" s="72"/>
      <c r="Y65" s="72"/>
      <c r="Z65" s="72"/>
      <c r="AA65" s="72"/>
      <c r="AB65" s="72"/>
      <c r="AC65" s="72"/>
      <c r="AD65" s="72"/>
      <c r="AE65" s="72"/>
      <c r="AF65" s="72"/>
      <c r="AG65" s="72"/>
      <c r="AH65" s="72"/>
      <c r="AI65" s="72"/>
      <c r="AJ65" s="72"/>
      <c r="AK65" s="72"/>
      <c r="AL65" s="72"/>
      <c r="AM65" s="72"/>
      <c r="AN65" s="72"/>
      <c r="AO65" s="72"/>
      <c r="AP65" s="72"/>
      <c r="AQ65" s="72"/>
      <c r="AR65" s="72"/>
      <c r="AS65" s="72"/>
      <c r="AT65" s="72"/>
      <c r="AU65" s="72"/>
      <c r="AV65" s="72"/>
      <c r="AW65" s="72"/>
      <c r="AX65" s="72"/>
      <c r="AY65" s="72"/>
      <c r="AZ65" s="72"/>
      <c r="BA65" s="72"/>
      <c r="BB65" s="72"/>
      <c r="BC65" s="72"/>
      <c r="BD65" s="72"/>
      <c r="BE65" s="72"/>
      <c r="BF65" s="72"/>
      <c r="BG65" s="72"/>
      <c r="BH65" s="72"/>
      <c r="BI65" s="72"/>
      <c r="BJ65" s="72"/>
      <c r="BK65" s="72"/>
      <c r="BL65" s="72"/>
      <c r="BM65" s="72"/>
      <c r="BN65" s="72"/>
    </row>
    <row r="66" spans="1:66" s="48" customFormat="1" ht="18" hidden="1">
      <c r="A66" s="72" t="str">
        <f t="shared" si="11"/>
        <v>1.12</v>
      </c>
      <c r="B66" s="73" t="s">
        <v>32</v>
      </c>
      <c r="C66" s="48" t="s">
        <v>20</v>
      </c>
      <c r="D66" s="74"/>
      <c r="E66" s="75">
        <v>46092</v>
      </c>
      <c r="F66" s="76">
        <f t="shared" si="12"/>
        <v>46098</v>
      </c>
      <c r="G66" s="77">
        <v>7</v>
      </c>
      <c r="H66" s="78">
        <v>0</v>
      </c>
      <c r="I66" s="95">
        <f t="shared" si="13"/>
        <v>5</v>
      </c>
      <c r="J66" s="96"/>
      <c r="K66" s="72"/>
      <c r="L66" s="72"/>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2"/>
      <c r="AZ66" s="72"/>
      <c r="BA66" s="72"/>
      <c r="BB66" s="72"/>
      <c r="BC66" s="72"/>
      <c r="BD66" s="72"/>
      <c r="BE66" s="72"/>
      <c r="BF66" s="72"/>
      <c r="BG66" s="72"/>
      <c r="BH66" s="72"/>
      <c r="BI66" s="72"/>
      <c r="BJ66" s="72"/>
      <c r="BK66" s="72"/>
      <c r="BL66" s="72"/>
      <c r="BM66" s="72"/>
      <c r="BN66" s="72"/>
    </row>
    <row r="67" spans="1:66" s="48" customFormat="1" ht="18" hidden="1">
      <c r="A67" s="72" t="str">
        <f t="shared" si="11"/>
        <v>1.13</v>
      </c>
      <c r="B67" s="73" t="s">
        <v>33</v>
      </c>
      <c r="C67" s="48" t="s">
        <v>22</v>
      </c>
      <c r="D67" s="74"/>
      <c r="E67" s="75">
        <v>46099</v>
      </c>
      <c r="F67" s="76">
        <f t="shared" si="12"/>
        <v>46105</v>
      </c>
      <c r="G67" s="77">
        <v>7</v>
      </c>
      <c r="H67" s="78">
        <v>0</v>
      </c>
      <c r="I67" s="95">
        <f t="shared" si="13"/>
        <v>5</v>
      </c>
      <c r="J67" s="96"/>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2"/>
      <c r="BA67" s="72"/>
      <c r="BB67" s="72"/>
      <c r="BC67" s="72"/>
      <c r="BD67" s="72"/>
      <c r="BE67" s="72"/>
      <c r="BF67" s="72"/>
      <c r="BG67" s="72"/>
      <c r="BH67" s="72"/>
      <c r="BI67" s="72"/>
      <c r="BJ67" s="72"/>
      <c r="BK67" s="72"/>
      <c r="BL67" s="72"/>
      <c r="BM67" s="72"/>
      <c r="BN67" s="72"/>
    </row>
    <row r="68" spans="1:66" s="48" customFormat="1" ht="18" hidden="1">
      <c r="A68" s="72" t="str">
        <f t="shared" si="11"/>
        <v>1.14</v>
      </c>
      <c r="B68" s="73" t="s">
        <v>34</v>
      </c>
      <c r="C68" s="48" t="s">
        <v>22</v>
      </c>
      <c r="D68" s="74"/>
      <c r="E68" s="75">
        <v>46106</v>
      </c>
      <c r="F68" s="76">
        <f t="shared" ref="F68" si="14">IF(ISBLANK(E68)," - ",IF(G68=0,E68,E68+G68-1))</f>
        <v>46112</v>
      </c>
      <c r="G68" s="77">
        <v>7</v>
      </c>
      <c r="H68" s="78">
        <v>0</v>
      </c>
      <c r="I68" s="95">
        <f t="shared" ref="I68" si="15">IF(OR(F68=0,E68=0)," - ",NETWORKDAYS(E68,F68))</f>
        <v>5</v>
      </c>
      <c r="J68" s="96"/>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72"/>
      <c r="BH68" s="72"/>
      <c r="BI68" s="72"/>
      <c r="BJ68" s="72"/>
      <c r="BK68" s="72"/>
      <c r="BL68" s="72"/>
      <c r="BM68" s="72"/>
      <c r="BN68" s="72"/>
    </row>
    <row r="69" spans="1:66" s="48" customFormat="1" ht="18" hidden="1">
      <c r="A69" s="72" t="str">
        <f t="shared" si="11"/>
        <v>1.15</v>
      </c>
      <c r="B69" s="73" t="s">
        <v>35</v>
      </c>
      <c r="C69" s="48" t="s">
        <v>22</v>
      </c>
      <c r="D69" s="74"/>
      <c r="E69" s="75">
        <v>46106</v>
      </c>
      <c r="F69" s="76">
        <f t="shared" ref="F69" si="16">IF(ISBLANK(E69)," - ",IF(G69=0,E69,E69+G69-1))</f>
        <v>46112</v>
      </c>
      <c r="G69" s="77">
        <v>7</v>
      </c>
      <c r="H69" s="78">
        <v>0</v>
      </c>
      <c r="I69" s="95">
        <f t="shared" ref="I69" si="17">IF(OR(F69=0,E69=0)," - ",NETWORKDAYS(E69,F69))</f>
        <v>5</v>
      </c>
      <c r="J69" s="96"/>
      <c r="K69" s="72"/>
      <c r="L69" s="72"/>
      <c r="M69" s="72"/>
      <c r="N69" s="72"/>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2"/>
      <c r="AZ69" s="72"/>
      <c r="BA69" s="72"/>
      <c r="BB69" s="72"/>
      <c r="BC69" s="72"/>
      <c r="BD69" s="72"/>
      <c r="BE69" s="72"/>
      <c r="BF69" s="72"/>
      <c r="BG69" s="72"/>
      <c r="BH69" s="72"/>
      <c r="BI69" s="72"/>
      <c r="BJ69" s="72"/>
      <c r="BK69" s="72"/>
      <c r="BL69" s="72"/>
      <c r="BM69" s="72"/>
      <c r="BN69" s="72"/>
    </row>
    <row r="70" spans="1:66" s="48" customFormat="1" ht="18" hidden="1">
      <c r="A70" s="72" t="str">
        <f t="shared" si="11"/>
        <v>1.16</v>
      </c>
      <c r="B70" s="73" t="s">
        <v>36</v>
      </c>
      <c r="C70" s="48" t="s">
        <v>22</v>
      </c>
      <c r="D70" s="74"/>
      <c r="E70" s="75">
        <v>46113</v>
      </c>
      <c r="F70" s="76">
        <f t="shared" si="12"/>
        <v>46119</v>
      </c>
      <c r="G70" s="77">
        <v>7</v>
      </c>
      <c r="H70" s="78">
        <v>0</v>
      </c>
      <c r="I70" s="95">
        <f t="shared" si="13"/>
        <v>5</v>
      </c>
      <c r="J70" s="96"/>
      <c r="K70" s="72"/>
      <c r="L70" s="72"/>
      <c r="M70" s="72"/>
      <c r="N70" s="72"/>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2"/>
      <c r="AZ70" s="72"/>
      <c r="BA70" s="72"/>
      <c r="BB70" s="72"/>
      <c r="BC70" s="72"/>
      <c r="BD70" s="72"/>
      <c r="BE70" s="72"/>
      <c r="BF70" s="72"/>
      <c r="BG70" s="72"/>
      <c r="BH70" s="72"/>
      <c r="BI70" s="72"/>
      <c r="BJ70" s="72"/>
      <c r="BK70" s="72"/>
      <c r="BL70" s="72"/>
      <c r="BM70" s="72"/>
      <c r="BN70" s="72"/>
    </row>
    <row r="71" spans="1:66" s="48" customFormat="1" ht="18" hidden="1">
      <c r="A71" s="72" t="str">
        <f t="shared" si="11"/>
        <v>1.17</v>
      </c>
      <c r="B71" s="73" t="s">
        <v>37</v>
      </c>
      <c r="C71" s="48" t="s">
        <v>20</v>
      </c>
      <c r="D71" s="74"/>
      <c r="E71" s="75">
        <v>46113</v>
      </c>
      <c r="F71" s="76">
        <f t="shared" si="12"/>
        <v>46119</v>
      </c>
      <c r="G71" s="77">
        <v>7</v>
      </c>
      <c r="H71" s="78">
        <v>0</v>
      </c>
      <c r="I71" s="95">
        <f t="shared" si="13"/>
        <v>5</v>
      </c>
      <c r="J71" s="96"/>
      <c r="K71" s="72"/>
      <c r="L71" s="72"/>
      <c r="M71" s="72"/>
      <c r="N71" s="72"/>
      <c r="O71" s="72"/>
      <c r="P71" s="72"/>
      <c r="Q71" s="72"/>
      <c r="R71" s="72"/>
      <c r="S71" s="72"/>
      <c r="T71" s="72"/>
      <c r="U71" s="72"/>
      <c r="V71" s="72"/>
      <c r="W71" s="72"/>
      <c r="X71" s="72"/>
      <c r="Y71" s="72"/>
      <c r="Z71" s="72"/>
      <c r="AA71" s="72"/>
      <c r="AB71" s="72"/>
      <c r="AC71" s="72"/>
      <c r="AD71" s="72"/>
      <c r="AE71" s="72"/>
      <c r="AF71" s="72"/>
      <c r="AG71" s="72"/>
      <c r="AH71" s="72"/>
      <c r="AI71" s="72"/>
      <c r="AJ71" s="72"/>
      <c r="AK71" s="72"/>
      <c r="AL71" s="72"/>
      <c r="AM71" s="72"/>
      <c r="AN71" s="72"/>
      <c r="AO71" s="72"/>
      <c r="AP71" s="72"/>
      <c r="AQ71" s="72"/>
      <c r="AR71" s="72"/>
      <c r="AS71" s="72"/>
      <c r="AT71" s="72"/>
      <c r="AU71" s="72"/>
      <c r="AV71" s="72"/>
      <c r="AW71" s="72"/>
      <c r="AX71" s="72"/>
      <c r="AY71" s="72"/>
      <c r="AZ71" s="72"/>
      <c r="BA71" s="72"/>
      <c r="BB71" s="72"/>
      <c r="BC71" s="72"/>
      <c r="BD71" s="72"/>
      <c r="BE71" s="72"/>
      <c r="BF71" s="72"/>
      <c r="BG71" s="72"/>
      <c r="BH71" s="72"/>
      <c r="BI71" s="72"/>
      <c r="BJ71" s="72"/>
      <c r="BK71" s="72"/>
      <c r="BL71" s="72"/>
      <c r="BM71" s="72"/>
      <c r="BN71" s="72"/>
    </row>
    <row r="72" spans="1:66" s="48" customFormat="1" ht="18" hidden="1">
      <c r="A72" s="72" t="str">
        <f t="shared" si="11"/>
        <v>1.18</v>
      </c>
      <c r="B72" s="73" t="s">
        <v>38</v>
      </c>
      <c r="C72" s="48" t="s">
        <v>22</v>
      </c>
      <c r="D72" s="74"/>
      <c r="E72" s="75">
        <v>46120</v>
      </c>
      <c r="F72" s="76">
        <f t="shared" si="12"/>
        <v>46126</v>
      </c>
      <c r="G72" s="77">
        <v>7</v>
      </c>
      <c r="H72" s="78">
        <v>0</v>
      </c>
      <c r="I72" s="95">
        <f t="shared" si="13"/>
        <v>5</v>
      </c>
      <c r="J72" s="96"/>
      <c r="K72" s="72"/>
      <c r="L72" s="72"/>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c r="BA72" s="72"/>
      <c r="BB72" s="72"/>
      <c r="BC72" s="72"/>
      <c r="BD72" s="72"/>
      <c r="BE72" s="72"/>
      <c r="BF72" s="72"/>
      <c r="BG72" s="72"/>
      <c r="BH72" s="72"/>
      <c r="BI72" s="72"/>
      <c r="BJ72" s="72"/>
      <c r="BK72" s="72"/>
      <c r="BL72" s="72"/>
      <c r="BM72" s="72"/>
      <c r="BN72" s="72"/>
    </row>
    <row r="73" spans="1:66" s="48" customFormat="1" ht="18" hidden="1">
      <c r="A73" s="72" t="str">
        <f t="shared" si="11"/>
        <v>1.19</v>
      </c>
      <c r="B73" s="73" t="s">
        <v>39</v>
      </c>
      <c r="C73" s="48" t="s">
        <v>20</v>
      </c>
      <c r="D73" s="74"/>
      <c r="E73" s="75">
        <v>46120</v>
      </c>
      <c r="F73" s="76">
        <f t="shared" si="12"/>
        <v>46126</v>
      </c>
      <c r="G73" s="77">
        <v>7</v>
      </c>
      <c r="H73" s="78">
        <v>0</v>
      </c>
      <c r="I73" s="95">
        <f t="shared" si="13"/>
        <v>5</v>
      </c>
      <c r="J73" s="96"/>
      <c r="K73" s="72"/>
      <c r="L73" s="72"/>
      <c r="M73" s="72"/>
      <c r="N73" s="72"/>
      <c r="O73" s="72"/>
      <c r="P73" s="72"/>
      <c r="Q73" s="72"/>
      <c r="R73" s="72"/>
      <c r="S73" s="72"/>
      <c r="T73" s="72"/>
      <c r="U73" s="72"/>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c r="AW73" s="72"/>
      <c r="AX73" s="72"/>
      <c r="AY73" s="72"/>
      <c r="AZ73" s="72"/>
      <c r="BA73" s="72"/>
      <c r="BB73" s="72"/>
      <c r="BC73" s="72"/>
      <c r="BD73" s="72"/>
      <c r="BE73" s="72"/>
      <c r="BF73" s="72"/>
      <c r="BG73" s="72"/>
      <c r="BH73" s="72"/>
      <c r="BI73" s="72"/>
      <c r="BJ73" s="72"/>
      <c r="BK73" s="72"/>
      <c r="BL73" s="72"/>
      <c r="BM73" s="72"/>
      <c r="BN73" s="72"/>
    </row>
    <row r="74" spans="1:66" s="48" customFormat="1" ht="18" hidden="1">
      <c r="A74" s="72" t="str">
        <f t="shared" si="11"/>
        <v>1.20</v>
      </c>
      <c r="B74" s="73" t="s">
        <v>40</v>
      </c>
      <c r="C74" s="48" t="s">
        <v>22</v>
      </c>
      <c r="D74" s="74"/>
      <c r="E74" s="75">
        <v>46127</v>
      </c>
      <c r="F74" s="76">
        <f t="shared" si="12"/>
        <v>46133</v>
      </c>
      <c r="G74" s="77">
        <v>7</v>
      </c>
      <c r="H74" s="78">
        <v>0</v>
      </c>
      <c r="I74" s="95">
        <f t="shared" si="13"/>
        <v>5</v>
      </c>
      <c r="J74" s="96"/>
      <c r="K74" s="72"/>
      <c r="L74" s="72"/>
      <c r="M74" s="72"/>
      <c r="N74" s="72"/>
      <c r="O74" s="72"/>
      <c r="P74" s="72"/>
      <c r="Q74" s="72"/>
      <c r="R74" s="72"/>
      <c r="S74" s="72"/>
      <c r="T74" s="72"/>
      <c r="U74" s="72"/>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72"/>
      <c r="AZ74" s="72"/>
      <c r="BA74" s="72"/>
      <c r="BB74" s="72"/>
      <c r="BC74" s="72"/>
      <c r="BD74" s="72"/>
      <c r="BE74" s="72"/>
      <c r="BF74" s="72"/>
      <c r="BG74" s="72"/>
      <c r="BH74" s="72"/>
      <c r="BI74" s="72"/>
      <c r="BJ74" s="72"/>
      <c r="BK74" s="72"/>
      <c r="BL74" s="72"/>
      <c r="BM74" s="72"/>
      <c r="BN74" s="72"/>
    </row>
    <row r="75" spans="1:66" s="48" customFormat="1" ht="18" hidden="1">
      <c r="A75" s="72" t="str">
        <f t="shared" si="11"/>
        <v>1.21</v>
      </c>
      <c r="B75" s="73" t="s">
        <v>41</v>
      </c>
      <c r="C75" s="48" t="s">
        <v>20</v>
      </c>
      <c r="D75" s="74"/>
      <c r="E75" s="75">
        <v>46127</v>
      </c>
      <c r="F75" s="76">
        <f t="shared" ref="F75:F85" si="18">IF(ISBLANK(E75)," - ",IF(G75=0,E75,E75+G75-1))</f>
        <v>46133</v>
      </c>
      <c r="G75" s="77">
        <v>7</v>
      </c>
      <c r="H75" s="78">
        <v>0</v>
      </c>
      <c r="I75" s="95">
        <f t="shared" ref="I75:I83" si="19">IF(OR(F75=0,E75=0)," - ",NETWORKDAYS(E75,F75))</f>
        <v>5</v>
      </c>
      <c r="J75" s="96"/>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2"/>
      <c r="BC75" s="72"/>
      <c r="BD75" s="72"/>
      <c r="BE75" s="72"/>
      <c r="BF75" s="72"/>
      <c r="BG75" s="72"/>
      <c r="BH75" s="72"/>
      <c r="BI75" s="72"/>
      <c r="BJ75" s="72"/>
      <c r="BK75" s="72"/>
      <c r="BL75" s="72"/>
      <c r="BM75" s="72"/>
      <c r="BN75" s="72"/>
    </row>
    <row r="76" spans="1:66" s="48" customFormat="1" ht="18" hidden="1">
      <c r="A76" s="72" t="str">
        <f t="shared" si="11"/>
        <v>1.22</v>
      </c>
      <c r="B76" s="73" t="s">
        <v>42</v>
      </c>
      <c r="C76" s="48" t="s">
        <v>22</v>
      </c>
      <c r="D76" s="74"/>
      <c r="E76" s="75">
        <v>46134</v>
      </c>
      <c r="F76" s="76">
        <f t="shared" si="18"/>
        <v>46140</v>
      </c>
      <c r="G76" s="77">
        <v>7</v>
      </c>
      <c r="H76" s="78">
        <v>0</v>
      </c>
      <c r="I76" s="95">
        <f t="shared" si="19"/>
        <v>5</v>
      </c>
      <c r="J76" s="96"/>
      <c r="K76" s="72"/>
      <c r="L76" s="72"/>
      <c r="M76" s="72"/>
      <c r="N76" s="72"/>
      <c r="O76" s="72"/>
      <c r="P76" s="72"/>
      <c r="Q76" s="72"/>
      <c r="R76" s="72"/>
      <c r="S76" s="72"/>
      <c r="T76" s="72"/>
      <c r="U76" s="72"/>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72"/>
      <c r="AZ76" s="72"/>
      <c r="BA76" s="72"/>
      <c r="BB76" s="72"/>
      <c r="BC76" s="72"/>
      <c r="BD76" s="72"/>
      <c r="BE76" s="72"/>
      <c r="BF76" s="72"/>
      <c r="BG76" s="72"/>
      <c r="BH76" s="72"/>
      <c r="BI76" s="72"/>
      <c r="BJ76" s="72"/>
      <c r="BK76" s="72"/>
      <c r="BL76" s="72"/>
      <c r="BM76" s="72"/>
      <c r="BN76" s="72"/>
    </row>
    <row r="77" spans="1:66" s="48" customFormat="1" ht="18" hidden="1">
      <c r="A77" s="72" t="str">
        <f t="shared" si="11"/>
        <v>1.23</v>
      </c>
      <c r="B77" s="73" t="s">
        <v>43</v>
      </c>
      <c r="C77" s="48" t="s">
        <v>20</v>
      </c>
      <c r="D77" s="74"/>
      <c r="E77" s="75">
        <v>46134</v>
      </c>
      <c r="F77" s="76">
        <f t="shared" ref="F77:F78" si="20">IF(ISBLANK(E77)," - ",IF(G77=0,E77,E77+G77-1))</f>
        <v>46140</v>
      </c>
      <c r="G77" s="77">
        <v>7</v>
      </c>
      <c r="H77" s="78">
        <v>0</v>
      </c>
      <c r="I77" s="95">
        <f t="shared" ref="I77:I78" si="21">IF(OR(F77=0,E77=0)," - ",NETWORKDAYS(E77,F77))</f>
        <v>5</v>
      </c>
      <c r="J77" s="96"/>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c r="BA77" s="72"/>
      <c r="BB77" s="72"/>
      <c r="BC77" s="72"/>
      <c r="BD77" s="72"/>
      <c r="BE77" s="72"/>
      <c r="BF77" s="72"/>
      <c r="BG77" s="72"/>
      <c r="BH77" s="72"/>
      <c r="BI77" s="72"/>
      <c r="BJ77" s="72"/>
      <c r="BK77" s="72"/>
      <c r="BL77" s="72"/>
      <c r="BM77" s="72"/>
      <c r="BN77" s="72"/>
    </row>
    <row r="78" spans="1:66" s="48" customFormat="1" ht="18" hidden="1">
      <c r="A78" s="72" t="str">
        <f t="shared" si="11"/>
        <v>1.24</v>
      </c>
      <c r="B78" s="73" t="s">
        <v>44</v>
      </c>
      <c r="C78" s="48" t="s">
        <v>22</v>
      </c>
      <c r="D78" s="74"/>
      <c r="E78" s="75">
        <v>46141</v>
      </c>
      <c r="F78" s="76">
        <f t="shared" si="20"/>
        <v>46147</v>
      </c>
      <c r="G78" s="77">
        <v>7</v>
      </c>
      <c r="H78" s="78">
        <v>0</v>
      </c>
      <c r="I78" s="95">
        <f t="shared" si="21"/>
        <v>5</v>
      </c>
      <c r="J78" s="96"/>
      <c r="K78" s="72"/>
      <c r="L78" s="72"/>
      <c r="M78" s="72"/>
      <c r="N78" s="72"/>
      <c r="O78" s="72"/>
      <c r="P78" s="72"/>
      <c r="Q78" s="72"/>
      <c r="R78" s="72"/>
      <c r="S78" s="72"/>
      <c r="T78" s="72"/>
      <c r="U78" s="72"/>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c r="AW78" s="72"/>
      <c r="AX78" s="72"/>
      <c r="AY78" s="72"/>
      <c r="AZ78" s="72"/>
      <c r="BA78" s="72"/>
      <c r="BB78" s="72"/>
      <c r="BC78" s="72"/>
      <c r="BD78" s="72"/>
      <c r="BE78" s="72"/>
      <c r="BF78" s="72"/>
      <c r="BG78" s="72"/>
      <c r="BH78" s="72"/>
      <c r="BI78" s="72"/>
      <c r="BJ78" s="72"/>
      <c r="BK78" s="72"/>
      <c r="BL78" s="72"/>
      <c r="BM78" s="72"/>
      <c r="BN78" s="72"/>
    </row>
    <row r="79" spans="1:66" s="48" customFormat="1" ht="18" hidden="1">
      <c r="A79" s="72" t="str">
        <f t="shared" si="11"/>
        <v>1.25</v>
      </c>
      <c r="B79" s="73" t="s">
        <v>45</v>
      </c>
      <c r="C79" s="48" t="s">
        <v>22</v>
      </c>
      <c r="D79" s="74"/>
      <c r="E79" s="75">
        <v>46141</v>
      </c>
      <c r="F79" s="76">
        <f t="shared" ref="F79:F81" si="22">IF(ISBLANK(E79)," - ",IF(G79=0,E79,E79+G79-1))</f>
        <v>46147</v>
      </c>
      <c r="G79" s="77">
        <v>7</v>
      </c>
      <c r="H79" s="78">
        <v>0</v>
      </c>
      <c r="I79" s="95">
        <f t="shared" ref="I79:I81" si="23">IF(OR(F79=0,E79=0)," - ",NETWORKDAYS(E79,F79))</f>
        <v>5</v>
      </c>
      <c r="J79" s="96"/>
      <c r="K79" s="72"/>
      <c r="L79" s="72"/>
      <c r="M79" s="72"/>
      <c r="N79" s="72"/>
      <c r="O79" s="72"/>
      <c r="P79" s="72"/>
      <c r="Q79" s="72"/>
      <c r="R79" s="72"/>
      <c r="S79" s="72"/>
      <c r="T79" s="72"/>
      <c r="U79" s="72"/>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72"/>
      <c r="BH79" s="72"/>
      <c r="BI79" s="72"/>
      <c r="BJ79" s="72"/>
      <c r="BK79" s="72"/>
      <c r="BL79" s="72"/>
      <c r="BM79" s="72"/>
      <c r="BN79" s="72"/>
    </row>
    <row r="80" spans="1:66" s="48" customFormat="1" ht="18" hidden="1">
      <c r="A80" s="72" t="str">
        <f t="shared" si="11"/>
        <v>1.26</v>
      </c>
      <c r="B80" s="73" t="s">
        <v>46</v>
      </c>
      <c r="C80" s="48" t="s">
        <v>22</v>
      </c>
      <c r="D80" s="74"/>
      <c r="E80" s="75">
        <v>46148</v>
      </c>
      <c r="F80" s="76">
        <f t="shared" si="22"/>
        <v>46154</v>
      </c>
      <c r="G80" s="77">
        <v>7</v>
      </c>
      <c r="H80" s="78">
        <v>0</v>
      </c>
      <c r="I80" s="95">
        <f t="shared" si="23"/>
        <v>5</v>
      </c>
      <c r="J80" s="96"/>
      <c r="K80" s="72"/>
      <c r="L80" s="72"/>
      <c r="M80" s="72"/>
      <c r="N80" s="72"/>
      <c r="O80" s="72"/>
      <c r="P80" s="72"/>
      <c r="Q80" s="72"/>
      <c r="R80" s="72"/>
      <c r="S80" s="72"/>
      <c r="T80" s="72"/>
      <c r="U80" s="72"/>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72"/>
      <c r="AZ80" s="72"/>
      <c r="BA80" s="72"/>
      <c r="BB80" s="72"/>
      <c r="BC80" s="72"/>
      <c r="BD80" s="72"/>
      <c r="BE80" s="72"/>
      <c r="BF80" s="72"/>
      <c r="BG80" s="72"/>
      <c r="BH80" s="72"/>
      <c r="BI80" s="72"/>
      <c r="BJ80" s="72"/>
      <c r="BK80" s="72"/>
      <c r="BL80" s="72"/>
      <c r="BM80" s="72"/>
      <c r="BN80" s="72"/>
    </row>
    <row r="81" spans="1:66" s="48" customFormat="1" ht="18" hidden="1">
      <c r="A81" s="72" t="str">
        <f t="shared" si="11"/>
        <v>1.27</v>
      </c>
      <c r="B81" s="73" t="s">
        <v>47</v>
      </c>
      <c r="C81" s="48" t="s">
        <v>22</v>
      </c>
      <c r="D81" s="74"/>
      <c r="E81" s="75">
        <v>46148</v>
      </c>
      <c r="F81" s="76">
        <f t="shared" si="22"/>
        <v>46154</v>
      </c>
      <c r="G81" s="77">
        <v>7</v>
      </c>
      <c r="H81" s="78">
        <v>0</v>
      </c>
      <c r="I81" s="95">
        <f t="shared" si="23"/>
        <v>5</v>
      </c>
      <c r="J81" s="96"/>
      <c r="K81" s="72"/>
      <c r="L81" s="72"/>
      <c r="M81" s="72"/>
      <c r="N81" s="72"/>
      <c r="O81" s="72"/>
      <c r="P81" s="72"/>
      <c r="Q81" s="72"/>
      <c r="R81" s="72"/>
      <c r="S81" s="72"/>
      <c r="T81" s="72"/>
      <c r="U81" s="72"/>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c r="AW81" s="72"/>
      <c r="AX81" s="72"/>
      <c r="AY81" s="72"/>
      <c r="AZ81" s="72"/>
      <c r="BA81" s="72"/>
      <c r="BB81" s="72"/>
      <c r="BC81" s="72"/>
      <c r="BD81" s="72"/>
      <c r="BE81" s="72"/>
      <c r="BF81" s="72"/>
      <c r="BG81" s="72"/>
      <c r="BH81" s="72"/>
      <c r="BI81" s="72"/>
      <c r="BJ81" s="72"/>
      <c r="BK81" s="72"/>
      <c r="BL81" s="72"/>
      <c r="BM81" s="72"/>
      <c r="BN81" s="72"/>
    </row>
    <row r="82" spans="1:66" s="47" customFormat="1" ht="18" hidden="1">
      <c r="A82" s="79" t="str">
        <f>IF(ISERROR(VALUE(SUBSTITUTE(prevWBS,".",""))),"1",IF(ISERROR(FIND("`",SUBSTITUTE(prevWBS,".","`",1))),TEXT(VALUE(prevWBS)+1,"#"),TEXT(VALUE(LEFT(prevWBS,FIND("`",SUBSTITUTE(prevWBS,".","`",1))-1))+1,"#")))</f>
        <v>2</v>
      </c>
      <c r="B82" s="80" t="s">
        <v>48</v>
      </c>
      <c r="D82" s="81"/>
      <c r="E82" s="82"/>
      <c r="F82" s="82" t="str">
        <f t="shared" si="18"/>
        <v xml:space="preserve"> - </v>
      </c>
      <c r="G82" s="83"/>
      <c r="H82" s="84"/>
      <c r="I82" s="97" t="str">
        <f t="shared" si="19"/>
        <v xml:space="preserve"> - </v>
      </c>
      <c r="J82" s="98"/>
      <c r="K82" s="99"/>
      <c r="L82" s="99"/>
      <c r="M82" s="99"/>
      <c r="N82" s="99"/>
      <c r="O82" s="99"/>
      <c r="P82" s="99"/>
      <c r="Q82" s="99"/>
      <c r="R82" s="99"/>
      <c r="S82" s="99"/>
      <c r="T82" s="99"/>
      <c r="U82" s="99"/>
      <c r="V82" s="99"/>
      <c r="W82" s="99"/>
      <c r="X82" s="99"/>
      <c r="Y82" s="99"/>
      <c r="Z82" s="99"/>
      <c r="AA82" s="99"/>
      <c r="AB82" s="99"/>
      <c r="AC82" s="99"/>
      <c r="AD82" s="99"/>
      <c r="AE82" s="99"/>
      <c r="AF82" s="99"/>
      <c r="AG82" s="99"/>
      <c r="AH82" s="99"/>
      <c r="AI82" s="99"/>
      <c r="AJ82" s="99"/>
      <c r="AK82" s="99"/>
      <c r="AL82" s="99"/>
      <c r="AM82" s="99"/>
      <c r="AN82" s="99"/>
      <c r="AO82" s="99"/>
      <c r="AP82" s="99"/>
      <c r="AQ82" s="99"/>
      <c r="AR82" s="99"/>
      <c r="AS82" s="99"/>
      <c r="AT82" s="99"/>
      <c r="AU82" s="99"/>
      <c r="AV82" s="99"/>
      <c r="AW82" s="99"/>
      <c r="AX82" s="99"/>
      <c r="AY82" s="99"/>
      <c r="AZ82" s="99"/>
      <c r="BA82" s="99"/>
      <c r="BB82" s="99"/>
      <c r="BC82" s="99"/>
      <c r="BD82" s="99"/>
      <c r="BE82" s="99"/>
      <c r="BF82" s="99"/>
      <c r="BG82" s="99"/>
      <c r="BH82" s="99"/>
      <c r="BI82" s="99"/>
      <c r="BJ82" s="99"/>
      <c r="BK82" s="99"/>
      <c r="BL82" s="99"/>
      <c r="BM82" s="99"/>
      <c r="BN82" s="99"/>
    </row>
    <row r="83" spans="1:66" s="48" customFormat="1" ht="18" hidden="1">
      <c r="A83" s="72" t="str">
        <f t="shared" si="11"/>
        <v>2.1</v>
      </c>
      <c r="B83" s="85" t="s">
        <v>49</v>
      </c>
      <c r="C83" s="48" t="s">
        <v>28</v>
      </c>
      <c r="D83" s="74"/>
      <c r="E83" s="75">
        <v>46034</v>
      </c>
      <c r="F83" s="76">
        <f t="shared" si="18"/>
        <v>46038</v>
      </c>
      <c r="G83" s="77">
        <v>5</v>
      </c>
      <c r="H83" s="78">
        <v>0</v>
      </c>
      <c r="I83" s="95">
        <f t="shared" si="19"/>
        <v>5</v>
      </c>
      <c r="J83" s="96"/>
      <c r="K83" s="72"/>
      <c r="L83" s="72"/>
      <c r="M83" s="72"/>
      <c r="N83" s="72"/>
      <c r="O83" s="72"/>
      <c r="P83" s="72"/>
      <c r="Q83" s="72"/>
      <c r="R83" s="72"/>
      <c r="S83" s="72"/>
      <c r="T83" s="72"/>
      <c r="U83" s="72"/>
      <c r="V83" s="72"/>
      <c r="W83" s="72"/>
      <c r="X83" s="72"/>
      <c r="Y83" s="72"/>
      <c r="Z83" s="72"/>
      <c r="AA83" s="72"/>
      <c r="AB83" s="72"/>
      <c r="AC83" s="72"/>
      <c r="AD83" s="72"/>
      <c r="AE83" s="72"/>
      <c r="AF83" s="72"/>
      <c r="AG83" s="72"/>
      <c r="AH83" s="72"/>
      <c r="AI83" s="72"/>
      <c r="AJ83" s="72"/>
      <c r="AK83" s="72"/>
      <c r="AL83" s="72"/>
      <c r="AM83" s="72"/>
      <c r="AN83" s="72"/>
      <c r="AO83" s="72"/>
      <c r="AP83" s="72"/>
      <c r="AQ83" s="72"/>
      <c r="AR83" s="72"/>
      <c r="AS83" s="72"/>
      <c r="AT83" s="72"/>
      <c r="AU83" s="72"/>
      <c r="AV83" s="72"/>
      <c r="AW83" s="72"/>
      <c r="AX83" s="72"/>
      <c r="AY83" s="72"/>
      <c r="AZ83" s="72"/>
      <c r="BA83" s="72"/>
      <c r="BB83" s="72"/>
      <c r="BC83" s="72"/>
      <c r="BD83" s="72"/>
      <c r="BE83" s="72"/>
      <c r="BF83" s="72"/>
      <c r="BG83" s="72"/>
      <c r="BH83" s="72"/>
      <c r="BI83" s="72"/>
      <c r="BJ83" s="72"/>
      <c r="BK83" s="72"/>
      <c r="BL83" s="72"/>
      <c r="BM83" s="72"/>
      <c r="BN83" s="72"/>
    </row>
    <row r="84" spans="1:66" s="48" customFormat="1" ht="18" hidden="1">
      <c r="A84" s="72" t="str">
        <f t="shared" si="11"/>
        <v>2.2</v>
      </c>
      <c r="B84" s="85" t="s">
        <v>50</v>
      </c>
      <c r="C84" s="48" t="s">
        <v>15</v>
      </c>
      <c r="D84" s="74"/>
      <c r="E84" s="75">
        <v>46023</v>
      </c>
      <c r="F84" s="76">
        <f t="shared" si="18"/>
        <v>46032</v>
      </c>
      <c r="G84" s="77">
        <v>10</v>
      </c>
      <c r="H84" s="78">
        <v>0</v>
      </c>
      <c r="I84" s="95">
        <v>6</v>
      </c>
      <c r="J84" s="96"/>
      <c r="K84" s="72"/>
      <c r="L84" s="72"/>
      <c r="M84" s="72"/>
      <c r="N84" s="72"/>
      <c r="O84" s="72"/>
      <c r="P84" s="72"/>
      <c r="Q84" s="72"/>
      <c r="R84" s="72"/>
      <c r="S84" s="72"/>
      <c r="T84" s="72"/>
      <c r="U84" s="72"/>
      <c r="V84" s="72"/>
      <c r="W84" s="72"/>
      <c r="X84" s="72"/>
      <c r="Y84" s="72"/>
      <c r="Z84" s="72"/>
      <c r="AA84" s="72"/>
      <c r="AB84" s="72"/>
      <c r="AC84" s="72"/>
      <c r="AD84" s="72"/>
      <c r="AE84" s="72"/>
      <c r="AF84" s="72"/>
      <c r="AG84" s="72"/>
      <c r="AH84" s="72"/>
      <c r="AI84" s="72"/>
      <c r="AJ84" s="72"/>
      <c r="AK84" s="72"/>
      <c r="AL84" s="72"/>
      <c r="AM84" s="72"/>
      <c r="AN84" s="72"/>
      <c r="AO84" s="72"/>
      <c r="AP84" s="72"/>
      <c r="AQ84" s="72"/>
      <c r="AR84" s="72"/>
      <c r="AS84" s="72"/>
      <c r="AT84" s="72"/>
      <c r="AU84" s="72"/>
      <c r="AV84" s="72"/>
      <c r="AW84" s="72"/>
      <c r="AX84" s="72"/>
      <c r="AY84" s="72"/>
      <c r="AZ84" s="72"/>
      <c r="BA84" s="72"/>
      <c r="BB84" s="72"/>
      <c r="BC84" s="72"/>
      <c r="BD84" s="72"/>
      <c r="BE84" s="72"/>
      <c r="BF84" s="72"/>
      <c r="BG84" s="72"/>
      <c r="BH84" s="72"/>
      <c r="BI84" s="72"/>
      <c r="BJ84" s="72"/>
      <c r="BK84" s="72"/>
      <c r="BL84" s="72"/>
      <c r="BM84" s="72"/>
      <c r="BN84" s="72"/>
    </row>
    <row r="85" spans="1:66" s="48" customFormat="1" ht="45" hidden="1" customHeight="1">
      <c r="A85" s="72" t="str">
        <f t="shared" si="11"/>
        <v>2.3</v>
      </c>
      <c r="B85" s="85" t="s">
        <v>51</v>
      </c>
      <c r="C85" s="48" t="s">
        <v>18</v>
      </c>
      <c r="D85" s="74"/>
      <c r="E85" s="75">
        <v>46034</v>
      </c>
      <c r="F85" s="76">
        <f t="shared" si="18"/>
        <v>46038</v>
      </c>
      <c r="G85" s="77">
        <v>5</v>
      </c>
      <c r="H85" s="78">
        <v>0</v>
      </c>
      <c r="I85" s="95">
        <v>5</v>
      </c>
      <c r="J85" s="96"/>
      <c r="K85" s="72"/>
      <c r="L85" s="72"/>
      <c r="M85" s="72"/>
      <c r="N85" s="72"/>
      <c r="O85" s="72"/>
      <c r="P85" s="72"/>
      <c r="Q85" s="72"/>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c r="AR85" s="72"/>
      <c r="AS85" s="72"/>
      <c r="AT85" s="72"/>
      <c r="AU85" s="72"/>
      <c r="AV85" s="72"/>
      <c r="AW85" s="72"/>
      <c r="AX85" s="72"/>
      <c r="AY85" s="72"/>
      <c r="AZ85" s="72"/>
      <c r="BA85" s="72"/>
      <c r="BB85" s="72"/>
      <c r="BC85" s="72"/>
      <c r="BD85" s="72"/>
      <c r="BE85" s="72"/>
      <c r="BF85" s="72"/>
      <c r="BG85" s="72"/>
      <c r="BH85" s="72"/>
      <c r="BI85" s="72"/>
      <c r="BJ85" s="72"/>
      <c r="BK85" s="72"/>
      <c r="BL85" s="72"/>
      <c r="BM85" s="72"/>
      <c r="BN85" s="72"/>
    </row>
    <row r="86" spans="1:66" s="47" customFormat="1" ht="18" hidden="1">
      <c r="A86" s="79" t="str">
        <f>IF(ISERROR(VALUE(SUBSTITUTE(prevWBS,".",""))),"1",IF(ISERROR(FIND("`",SUBSTITUTE(prevWBS,".","`",1))),TEXT(VALUE(prevWBS)+1,"#"),TEXT(VALUE(LEFT(prevWBS,FIND("`",SUBSTITUTE(prevWBS,".","`",1))-1))+1,"#")))</f>
        <v>3</v>
      </c>
      <c r="B86" s="80" t="s">
        <v>52</v>
      </c>
      <c r="D86" s="81"/>
      <c r="E86" s="82"/>
      <c r="F86" s="82" t="str">
        <f t="shared" ref="F86:F91" si="24">IF(ISBLANK(E86)," - ",IF(G86=0,E86,E86+G86-1))</f>
        <v xml:space="preserve"> - </v>
      </c>
      <c r="G86" s="83"/>
      <c r="H86" s="84"/>
      <c r="I86" s="97" t="str">
        <f t="shared" ref="I86" si="25">IF(OR(F86=0,E86=0)," - ",NETWORKDAYS(E86,F86))</f>
        <v xml:space="preserve"> - </v>
      </c>
      <c r="J86" s="98"/>
      <c r="K86" s="99"/>
      <c r="L86" s="99"/>
      <c r="M86" s="99"/>
      <c r="N86" s="99"/>
      <c r="O86" s="99"/>
      <c r="P86" s="99"/>
      <c r="Q86" s="99"/>
      <c r="R86" s="99"/>
      <c r="S86" s="99"/>
      <c r="T86" s="99"/>
      <c r="U86" s="99"/>
      <c r="V86" s="99"/>
      <c r="W86" s="99"/>
      <c r="X86" s="99"/>
      <c r="Y86" s="99"/>
      <c r="Z86" s="99"/>
      <c r="AA86" s="99"/>
      <c r="AB86" s="99"/>
      <c r="AC86" s="99"/>
      <c r="AD86" s="99"/>
      <c r="AE86" s="99"/>
      <c r="AF86" s="99"/>
      <c r="AG86" s="99"/>
      <c r="AH86" s="99"/>
      <c r="AI86" s="99"/>
      <c r="AJ86" s="99"/>
      <c r="AK86" s="99"/>
      <c r="AL86" s="99"/>
      <c r="AM86" s="99"/>
      <c r="AN86" s="99"/>
      <c r="AO86" s="99"/>
      <c r="AP86" s="99"/>
      <c r="AQ86" s="99"/>
      <c r="AR86" s="99"/>
      <c r="AS86" s="99"/>
      <c r="AT86" s="99"/>
      <c r="AU86" s="99"/>
      <c r="AV86" s="99"/>
      <c r="AW86" s="99"/>
      <c r="AX86" s="99"/>
      <c r="AY86" s="99"/>
      <c r="AZ86" s="99"/>
      <c r="BA86" s="99"/>
      <c r="BB86" s="99"/>
      <c r="BC86" s="99"/>
      <c r="BD86" s="99"/>
      <c r="BE86" s="99"/>
      <c r="BF86" s="99"/>
      <c r="BG86" s="99"/>
      <c r="BH86" s="99"/>
      <c r="BI86" s="99"/>
      <c r="BJ86" s="99"/>
      <c r="BK86" s="99"/>
      <c r="BL86" s="99"/>
      <c r="BM86" s="99"/>
      <c r="BN86" s="99"/>
    </row>
    <row r="87" spans="1:66" s="48" customFormat="1" ht="18" hidden="1">
      <c r="A87" s="72" t="str">
        <f t="shared" si="11"/>
        <v>3.1</v>
      </c>
      <c r="B87" s="85" t="s">
        <v>53</v>
      </c>
      <c r="C87" s="48" t="s">
        <v>28</v>
      </c>
      <c r="D87" s="74"/>
      <c r="E87" s="75">
        <v>46041</v>
      </c>
      <c r="F87" s="76">
        <f t="shared" si="24"/>
        <v>46044</v>
      </c>
      <c r="G87" s="77">
        <v>4</v>
      </c>
      <c r="H87" s="78">
        <v>0</v>
      </c>
      <c r="I87" s="95">
        <v>4</v>
      </c>
      <c r="J87" s="96"/>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2"/>
      <c r="AZ87" s="72"/>
      <c r="BA87" s="72"/>
      <c r="BB87" s="72"/>
      <c r="BC87" s="72"/>
      <c r="BD87" s="72"/>
      <c r="BE87" s="72"/>
      <c r="BF87" s="72"/>
      <c r="BG87" s="72"/>
      <c r="BH87" s="72"/>
      <c r="BI87" s="72"/>
      <c r="BJ87" s="72"/>
      <c r="BK87" s="72"/>
      <c r="BL87" s="72"/>
      <c r="BM87" s="72"/>
      <c r="BN87" s="72"/>
    </row>
    <row r="88" spans="1:66" s="48" customFormat="1" ht="18" hidden="1">
      <c r="A88" s="72" t="str">
        <f t="shared" si="11"/>
        <v>3.2</v>
      </c>
      <c r="B88" s="85" t="s">
        <v>54</v>
      </c>
      <c r="C88" s="48" t="s">
        <v>18</v>
      </c>
      <c r="D88" s="74"/>
      <c r="E88" s="75">
        <v>46041</v>
      </c>
      <c r="F88" s="76">
        <f t="shared" si="24"/>
        <v>46044</v>
      </c>
      <c r="G88" s="77">
        <v>4</v>
      </c>
      <c r="H88" s="78">
        <v>0</v>
      </c>
      <c r="I88" s="95">
        <v>4</v>
      </c>
      <c r="J88" s="96"/>
      <c r="K88" s="72"/>
      <c r="L88" s="72"/>
      <c r="M88" s="72"/>
      <c r="N88" s="72"/>
      <c r="O88" s="72"/>
      <c r="P88" s="72"/>
      <c r="Q88" s="72"/>
      <c r="R88" s="72"/>
      <c r="S88" s="72"/>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c r="AT88" s="72"/>
      <c r="AU88" s="72"/>
      <c r="AV88" s="72"/>
      <c r="AW88" s="72"/>
      <c r="AX88" s="72"/>
      <c r="AY88" s="72"/>
      <c r="AZ88" s="72"/>
      <c r="BA88" s="72"/>
      <c r="BB88" s="72"/>
      <c r="BC88" s="72"/>
      <c r="BD88" s="72"/>
      <c r="BE88" s="72"/>
      <c r="BF88" s="72"/>
      <c r="BG88" s="72"/>
      <c r="BH88" s="72"/>
      <c r="BI88" s="72"/>
      <c r="BJ88" s="72"/>
      <c r="BK88" s="72"/>
      <c r="BL88" s="72"/>
      <c r="BM88" s="72"/>
      <c r="BN88" s="72"/>
    </row>
    <row r="89" spans="1:66" s="48" customFormat="1" ht="18" hidden="1">
      <c r="A89" s="72" t="str">
        <f t="shared" si="11"/>
        <v>3.3</v>
      </c>
      <c r="B89" s="85" t="s">
        <v>55</v>
      </c>
      <c r="C89" s="48" t="s">
        <v>20</v>
      </c>
      <c r="D89" s="74"/>
      <c r="E89" s="75">
        <v>46045</v>
      </c>
      <c r="F89" s="76">
        <f t="shared" si="24"/>
        <v>46050</v>
      </c>
      <c r="G89" s="77">
        <v>6</v>
      </c>
      <c r="H89" s="78">
        <v>0</v>
      </c>
      <c r="I89" s="95">
        <v>4</v>
      </c>
      <c r="J89" s="96"/>
      <c r="K89" s="72"/>
      <c r="L89" s="72"/>
      <c r="M89" s="72"/>
      <c r="N89" s="72"/>
      <c r="O89" s="72"/>
      <c r="P89" s="72"/>
      <c r="Q89" s="72"/>
      <c r="R89" s="72"/>
      <c r="S89" s="72"/>
      <c r="T89" s="72"/>
      <c r="U89" s="72"/>
      <c r="V89" s="72"/>
      <c r="W89" s="72"/>
      <c r="X89" s="72"/>
      <c r="Y89" s="72"/>
      <c r="Z89" s="72"/>
      <c r="AA89" s="72"/>
      <c r="AB89" s="72"/>
      <c r="AC89" s="72"/>
      <c r="AD89" s="72"/>
      <c r="AE89" s="72"/>
      <c r="AF89" s="72"/>
      <c r="AG89" s="72"/>
      <c r="AH89" s="72"/>
      <c r="AI89" s="72"/>
      <c r="AJ89" s="72"/>
      <c r="AK89" s="72"/>
      <c r="AL89" s="72"/>
      <c r="AM89" s="72"/>
      <c r="AN89" s="72"/>
      <c r="AO89" s="72"/>
      <c r="AP89" s="72"/>
      <c r="AQ89" s="72"/>
      <c r="AR89" s="72"/>
      <c r="AS89" s="72"/>
      <c r="AT89" s="72"/>
      <c r="AU89" s="72"/>
      <c r="AV89" s="72"/>
      <c r="AW89" s="72"/>
      <c r="AX89" s="72"/>
      <c r="AY89" s="72"/>
      <c r="AZ89" s="72"/>
      <c r="BA89" s="72"/>
      <c r="BB89" s="72"/>
      <c r="BC89" s="72"/>
      <c r="BD89" s="72"/>
      <c r="BE89" s="72"/>
      <c r="BF89" s="72"/>
      <c r="BG89" s="72"/>
      <c r="BH89" s="72"/>
      <c r="BI89" s="72"/>
      <c r="BJ89" s="72"/>
      <c r="BK89" s="72"/>
      <c r="BL89" s="72"/>
      <c r="BM89" s="72"/>
      <c r="BN89" s="72"/>
    </row>
    <row r="90" spans="1:66" s="48" customFormat="1" ht="18" hidden="1">
      <c r="A90" s="72" t="str">
        <f t="shared" si="11"/>
        <v>3.4</v>
      </c>
      <c r="B90" s="85" t="s">
        <v>56</v>
      </c>
      <c r="C90" s="48" t="s">
        <v>20</v>
      </c>
      <c r="D90" s="74"/>
      <c r="E90" s="75">
        <v>46051</v>
      </c>
      <c r="F90" s="76">
        <f t="shared" si="24"/>
        <v>46056</v>
      </c>
      <c r="G90" s="77">
        <v>6</v>
      </c>
      <c r="H90" s="78">
        <v>0</v>
      </c>
      <c r="I90" s="95">
        <v>4</v>
      </c>
      <c r="J90" s="96"/>
      <c r="K90" s="72"/>
      <c r="L90" s="72"/>
      <c r="M90" s="72"/>
      <c r="N90" s="72"/>
      <c r="O90" s="72"/>
      <c r="P90" s="72"/>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72"/>
      <c r="BH90" s="72"/>
      <c r="BI90" s="72"/>
      <c r="BJ90" s="72"/>
      <c r="BK90" s="72"/>
      <c r="BL90" s="72"/>
      <c r="BM90" s="72"/>
      <c r="BN90" s="72"/>
    </row>
    <row r="91" spans="1:66" s="48" customFormat="1" ht="18" hidden="1">
      <c r="A91" s="72" t="str">
        <f t="shared" si="11"/>
        <v>3.5</v>
      </c>
      <c r="B91" s="85" t="s">
        <v>57</v>
      </c>
      <c r="C91" s="48" t="s">
        <v>22</v>
      </c>
      <c r="D91" s="74"/>
      <c r="E91" s="75">
        <v>46045</v>
      </c>
      <c r="F91" s="76">
        <f t="shared" si="24"/>
        <v>46050</v>
      </c>
      <c r="G91" s="77">
        <v>6</v>
      </c>
      <c r="H91" s="78">
        <v>0</v>
      </c>
      <c r="I91" s="95">
        <v>4</v>
      </c>
      <c r="J91" s="96"/>
      <c r="K91" s="72"/>
      <c r="L91" s="72"/>
      <c r="M91" s="72"/>
      <c r="N91" s="72"/>
      <c r="O91" s="72"/>
      <c r="P91" s="72"/>
      <c r="Q91" s="72"/>
      <c r="R91" s="72"/>
      <c r="S91" s="72"/>
      <c r="T91" s="72"/>
      <c r="U91" s="72"/>
      <c r="V91" s="72"/>
      <c r="W91" s="72"/>
      <c r="X91" s="72"/>
      <c r="Y91" s="72"/>
      <c r="Z91" s="72"/>
      <c r="AA91" s="72"/>
      <c r="AB91" s="72"/>
      <c r="AC91" s="72"/>
      <c r="AD91" s="72"/>
      <c r="AE91" s="72"/>
      <c r="AF91" s="72"/>
      <c r="AG91" s="72"/>
      <c r="AH91" s="72"/>
      <c r="AI91" s="72"/>
      <c r="AJ91" s="72"/>
      <c r="AK91" s="72"/>
      <c r="AL91" s="72"/>
      <c r="AM91" s="72"/>
      <c r="AN91" s="72"/>
      <c r="AO91" s="72"/>
      <c r="AP91" s="72"/>
      <c r="AQ91" s="72"/>
      <c r="AR91" s="72"/>
      <c r="AS91" s="72"/>
      <c r="AT91" s="72"/>
      <c r="AU91" s="72"/>
      <c r="AV91" s="72"/>
      <c r="AW91" s="72"/>
      <c r="AX91" s="72"/>
      <c r="AY91" s="72"/>
      <c r="AZ91" s="72"/>
      <c r="BA91" s="72"/>
      <c r="BB91" s="72"/>
      <c r="BC91" s="72"/>
      <c r="BD91" s="72"/>
      <c r="BE91" s="72"/>
      <c r="BF91" s="72"/>
      <c r="BG91" s="72"/>
      <c r="BH91" s="72"/>
      <c r="BI91" s="72"/>
      <c r="BJ91" s="72"/>
      <c r="BK91" s="72"/>
      <c r="BL91" s="72"/>
      <c r="BM91" s="72"/>
      <c r="BN91" s="72"/>
    </row>
    <row r="92" spans="1:66" s="47" customFormat="1" ht="18" hidden="1">
      <c r="A92" s="79" t="str">
        <f>IF(ISERROR(VALUE(SUBSTITUTE(prevWBS,".",""))),"1",IF(ISERROR(FIND("`",SUBSTITUTE(prevWBS,".","`",1))),TEXT(VALUE(prevWBS)+1,"#"),TEXT(VALUE(LEFT(prevWBS,FIND("`",SUBSTITUTE(prevWBS,".","`",1))-1))+1,"#")))</f>
        <v>4</v>
      </c>
      <c r="B92" s="80" t="s">
        <v>58</v>
      </c>
      <c r="D92" s="81"/>
      <c r="E92" s="82"/>
      <c r="F92" s="82" t="str">
        <f t="shared" ref="F92:F93" si="26">IF(ISBLANK(E92)," - ",IF(G92=0,E92,E92+G92-1))</f>
        <v xml:space="preserve"> - </v>
      </c>
      <c r="G92" s="83"/>
      <c r="H92" s="84"/>
      <c r="I92" s="97" t="str">
        <f t="shared" ref="I92" si="27">IF(OR(F92=0,E92=0)," - ",NETWORKDAYS(E92,F92))</f>
        <v xml:space="preserve"> - </v>
      </c>
      <c r="J92" s="98"/>
      <c r="K92" s="99"/>
      <c r="L92" s="99"/>
      <c r="M92" s="99"/>
      <c r="N92" s="99"/>
      <c r="O92" s="99"/>
      <c r="P92" s="99"/>
      <c r="Q92" s="99"/>
      <c r="R92" s="99"/>
      <c r="S92" s="99"/>
      <c r="T92" s="99"/>
      <c r="U92" s="99"/>
      <c r="V92" s="99"/>
      <c r="W92" s="99"/>
      <c r="X92" s="99"/>
      <c r="Y92" s="99"/>
      <c r="Z92" s="99"/>
      <c r="AA92" s="99"/>
      <c r="AB92" s="99"/>
      <c r="AC92" s="99"/>
      <c r="AD92" s="99"/>
      <c r="AE92" s="99"/>
      <c r="AF92" s="99"/>
      <c r="AG92" s="99"/>
      <c r="AH92" s="99"/>
      <c r="AI92" s="99"/>
      <c r="AJ92" s="99"/>
      <c r="AK92" s="99"/>
      <c r="AL92" s="99"/>
      <c r="AM92" s="99"/>
      <c r="AN92" s="99"/>
      <c r="AO92" s="99"/>
      <c r="AP92" s="99"/>
      <c r="AQ92" s="99"/>
      <c r="AR92" s="99"/>
      <c r="AS92" s="99"/>
      <c r="AT92" s="99"/>
      <c r="AU92" s="99"/>
      <c r="AV92" s="99"/>
      <c r="AW92" s="99"/>
      <c r="AX92" s="99"/>
      <c r="AY92" s="99"/>
      <c r="AZ92" s="99"/>
      <c r="BA92" s="99"/>
      <c r="BB92" s="99"/>
      <c r="BC92" s="99"/>
      <c r="BD92" s="99"/>
      <c r="BE92" s="99"/>
      <c r="BF92" s="99"/>
      <c r="BG92" s="99"/>
      <c r="BH92" s="99"/>
      <c r="BI92" s="99"/>
      <c r="BJ92" s="99"/>
      <c r="BK92" s="99"/>
      <c r="BL92" s="99"/>
      <c r="BM92" s="99"/>
      <c r="BN92" s="99"/>
    </row>
    <row r="93" spans="1:66" s="48" customFormat="1" ht="18" hidden="1">
      <c r="A93" s="72" t="str">
        <f t="shared" si="11"/>
        <v>4.1</v>
      </c>
      <c r="B93" s="85" t="s">
        <v>59</v>
      </c>
      <c r="C93" s="48" t="s">
        <v>28</v>
      </c>
      <c r="D93" s="74"/>
      <c r="E93" s="75">
        <v>46051</v>
      </c>
      <c r="F93" s="76">
        <f t="shared" si="26"/>
        <v>46056</v>
      </c>
      <c r="G93" s="77">
        <v>6</v>
      </c>
      <c r="H93" s="78">
        <v>0</v>
      </c>
      <c r="I93" s="95">
        <v>4</v>
      </c>
      <c r="J93" s="96"/>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2"/>
      <c r="AZ93" s="72"/>
      <c r="BA93" s="72"/>
      <c r="BB93" s="72"/>
      <c r="BC93" s="72"/>
      <c r="BD93" s="72"/>
      <c r="BE93" s="72"/>
      <c r="BF93" s="72"/>
      <c r="BG93" s="72"/>
      <c r="BH93" s="72"/>
      <c r="BI93" s="72"/>
      <c r="BJ93" s="72"/>
      <c r="BK93" s="72"/>
      <c r="BL93" s="72"/>
      <c r="BM93" s="72"/>
      <c r="BN93" s="72"/>
    </row>
  </sheetData>
  <sheetProtection formatCells="0" formatColumns="0" formatRows="0" insertRows="0" deleteRows="0"/>
  <mergeCells count="19">
    <mergeCell ref="K1:AE1"/>
    <mergeCell ref="C4:E4"/>
    <mergeCell ref="K4:Q4"/>
    <mergeCell ref="R4:X4"/>
    <mergeCell ref="Y4:AE4"/>
    <mergeCell ref="AF4:AL4"/>
    <mergeCell ref="AM4:AS4"/>
    <mergeCell ref="AT4:AZ4"/>
    <mergeCell ref="BA4:BG4"/>
    <mergeCell ref="BH4:BN4"/>
    <mergeCell ref="AM5:AS5"/>
    <mergeCell ref="AT5:AZ5"/>
    <mergeCell ref="BA5:BG5"/>
    <mergeCell ref="BH5:BN5"/>
    <mergeCell ref="C5:E5"/>
    <mergeCell ref="K5:Q5"/>
    <mergeCell ref="R5:X5"/>
    <mergeCell ref="Y5:AE5"/>
    <mergeCell ref="AF5:AL5"/>
  </mergeCells>
  <conditionalFormatting sqref="H53">
    <cfRule type="dataBar" priority="45">
      <dataBar>
        <cfvo type="num" val="0"/>
        <cfvo type="num" val="1"/>
        <color theme="0" tint="-0.34998626667073579"/>
      </dataBar>
      <extLst>
        <ext xmlns:x14="http://schemas.microsoft.com/office/spreadsheetml/2009/9/main" uri="{B025F937-C7B1-47D3-B67F-A62EFF666E3E}">
          <x14:id>{18038711-1C51-4067-AAD1-36976C973DDF}</x14:id>
        </ext>
      </extLst>
    </cfRule>
  </conditionalFormatting>
  <conditionalFormatting sqref="K53:BN53">
    <cfRule type="expression" dxfId="70" priority="46">
      <formula>K$6=TODAY()</formula>
    </cfRule>
    <cfRule type="expression" dxfId="69" priority="47">
      <formula>AND($E53&lt;=K$6,ROUNDDOWN(($F53-$E53+1)*$H53,0)+$E53-1&gt;=K$6)</formula>
    </cfRule>
    <cfRule type="expression" dxfId="68" priority="48">
      <formula>AND(NOT(ISBLANK($E53)),$E53&lt;=K$6,$F53&gt;=K$6)</formula>
    </cfRule>
  </conditionalFormatting>
  <conditionalFormatting sqref="H68">
    <cfRule type="dataBar" priority="81">
      <dataBar>
        <cfvo type="num" val="0"/>
        <cfvo type="num" val="1"/>
        <color theme="0" tint="-0.34998626667073579"/>
      </dataBar>
      <extLst>
        <ext xmlns:x14="http://schemas.microsoft.com/office/spreadsheetml/2009/9/main" uri="{B025F937-C7B1-47D3-B67F-A62EFF666E3E}">
          <x14:id>{C530BE72-4D90-48AA-9629-A6D8685FF7E1}</x14:id>
        </ext>
      </extLst>
    </cfRule>
  </conditionalFormatting>
  <conditionalFormatting sqref="K68:BN68">
    <cfRule type="expression" dxfId="67" priority="82">
      <formula>K$6=TODAY()</formula>
    </cfRule>
    <cfRule type="expression" dxfId="66" priority="83">
      <formula>AND($E68&lt;=K$6,ROUNDDOWN(($F68-$E68+1)*$H68,0)+$E68-1&gt;=K$6)</formula>
    </cfRule>
    <cfRule type="expression" dxfId="65" priority="84">
      <formula>AND(NOT(ISBLANK($E68)),$E68&lt;=K$6,$F68&gt;=K$6)</formula>
    </cfRule>
  </conditionalFormatting>
  <conditionalFormatting sqref="H69">
    <cfRule type="dataBar" priority="77">
      <dataBar>
        <cfvo type="num" val="0"/>
        <cfvo type="num" val="1"/>
        <color theme="0" tint="-0.34998626667073579"/>
      </dataBar>
      <extLst>
        <ext xmlns:x14="http://schemas.microsoft.com/office/spreadsheetml/2009/9/main" uri="{B025F937-C7B1-47D3-B67F-A62EFF666E3E}">
          <x14:id>{BC417A2E-EDEC-48BB-8CF7-14F4E1459B73}</x14:id>
        </ext>
      </extLst>
    </cfRule>
  </conditionalFormatting>
  <conditionalFormatting sqref="K69:BN69">
    <cfRule type="expression" dxfId="64" priority="78">
      <formula>K$6=TODAY()</formula>
    </cfRule>
    <cfRule type="expression" dxfId="63" priority="79">
      <formula>AND($E69&lt;=K$6,ROUNDDOWN(($F69-$E69+1)*$H69,0)+$E69-1&gt;=K$6)</formula>
    </cfRule>
    <cfRule type="expression" dxfId="62" priority="80">
      <formula>AND(NOT(ISBLANK($E69)),$E69&lt;=K$6,$F69&gt;=K$6)</formula>
    </cfRule>
  </conditionalFormatting>
  <conditionalFormatting sqref="H77">
    <cfRule type="dataBar" priority="73">
      <dataBar>
        <cfvo type="num" val="0"/>
        <cfvo type="num" val="1"/>
        <color theme="0" tint="-0.34998626667073579"/>
      </dataBar>
      <extLst>
        <ext xmlns:x14="http://schemas.microsoft.com/office/spreadsheetml/2009/9/main" uri="{B025F937-C7B1-47D3-B67F-A62EFF666E3E}">
          <x14:id>{B825B53B-C445-4AF1-A1C9-24F55514967F}</x14:id>
        </ext>
      </extLst>
    </cfRule>
  </conditionalFormatting>
  <conditionalFormatting sqref="K77:BN77">
    <cfRule type="expression" dxfId="61" priority="74">
      <formula>K$6=TODAY()</formula>
    </cfRule>
    <cfRule type="expression" dxfId="60" priority="75">
      <formula>AND($E77&lt;=K$6,ROUNDDOWN(($F77-$E77+1)*$H77,0)+$E77-1&gt;=K$6)</formula>
    </cfRule>
    <cfRule type="expression" dxfId="59" priority="76">
      <formula>AND(NOT(ISBLANK($E77)),$E77&lt;=K$6,$F77&gt;=K$6)</formula>
    </cfRule>
  </conditionalFormatting>
  <conditionalFormatting sqref="H78">
    <cfRule type="dataBar" priority="65">
      <dataBar>
        <cfvo type="num" val="0"/>
        <cfvo type="num" val="1"/>
        <color theme="0" tint="-0.34998626667073579"/>
      </dataBar>
      <extLst>
        <ext xmlns:x14="http://schemas.microsoft.com/office/spreadsheetml/2009/9/main" uri="{B025F937-C7B1-47D3-B67F-A62EFF666E3E}">
          <x14:id>{32D9DDF4-BD94-4793-AE9B-FE2FBDFA7856}</x14:id>
        </ext>
      </extLst>
    </cfRule>
  </conditionalFormatting>
  <conditionalFormatting sqref="K78:BN78">
    <cfRule type="expression" dxfId="58" priority="66">
      <formula>K$6=TODAY()</formula>
    </cfRule>
    <cfRule type="expression" dxfId="57" priority="67">
      <formula>AND($E78&lt;=K$6,ROUNDDOWN(($F78-$E78+1)*$H78,0)+$E78-1&gt;=K$6)</formula>
    </cfRule>
    <cfRule type="expression" dxfId="56" priority="68">
      <formula>AND(NOT(ISBLANK($E78)),$E78&lt;=K$6,$F78&gt;=K$6)</formula>
    </cfRule>
  </conditionalFormatting>
  <conditionalFormatting sqref="H79">
    <cfRule type="dataBar" priority="61">
      <dataBar>
        <cfvo type="num" val="0"/>
        <cfvo type="num" val="1"/>
        <color theme="0" tint="-0.34998626667073579"/>
      </dataBar>
      <extLst>
        <ext xmlns:x14="http://schemas.microsoft.com/office/spreadsheetml/2009/9/main" uri="{B025F937-C7B1-47D3-B67F-A62EFF666E3E}">
          <x14:id>{CDA6B999-EA4A-4F00-A87D-1573D8CFFDF6}</x14:id>
        </ext>
      </extLst>
    </cfRule>
  </conditionalFormatting>
  <conditionalFormatting sqref="K79:BN79">
    <cfRule type="expression" dxfId="55" priority="62">
      <formula>K$6=TODAY()</formula>
    </cfRule>
    <cfRule type="expression" dxfId="54" priority="63">
      <formula>AND($E79&lt;=K$6,ROUNDDOWN(($F79-$E79+1)*$H79,0)+$E79-1&gt;=K$6)</formula>
    </cfRule>
    <cfRule type="expression" dxfId="53" priority="64">
      <formula>AND(NOT(ISBLANK($E79)),$E79&lt;=K$6,$F79&gt;=K$6)</formula>
    </cfRule>
  </conditionalFormatting>
  <conditionalFormatting sqref="H80">
    <cfRule type="dataBar" priority="53">
      <dataBar>
        <cfvo type="num" val="0"/>
        <cfvo type="num" val="1"/>
        <color theme="0" tint="-0.34998626667073579"/>
      </dataBar>
      <extLst>
        <ext xmlns:x14="http://schemas.microsoft.com/office/spreadsheetml/2009/9/main" uri="{B025F937-C7B1-47D3-B67F-A62EFF666E3E}">
          <x14:id>{9FA44BF1-07A8-40B7-A681-1603381191D6}</x14:id>
        </ext>
      </extLst>
    </cfRule>
  </conditionalFormatting>
  <conditionalFormatting sqref="K80:BN80">
    <cfRule type="expression" dxfId="52" priority="54">
      <formula>K$6=TODAY()</formula>
    </cfRule>
    <cfRule type="expression" dxfId="51" priority="55">
      <formula>AND($E80&lt;=K$6,ROUNDDOWN(($F80-$E80+1)*$H80,0)+$E80-1&gt;=K$6)</formula>
    </cfRule>
    <cfRule type="expression" dxfId="50" priority="56">
      <formula>AND(NOT(ISBLANK($E80)),$E80&lt;=K$6,$F80&gt;=K$6)</formula>
    </cfRule>
  </conditionalFormatting>
  <conditionalFormatting sqref="H81">
    <cfRule type="dataBar" priority="49">
      <dataBar>
        <cfvo type="num" val="0"/>
        <cfvo type="num" val="1"/>
        <color theme="0" tint="-0.34998626667073579"/>
      </dataBar>
      <extLst>
        <ext xmlns:x14="http://schemas.microsoft.com/office/spreadsheetml/2009/9/main" uri="{B025F937-C7B1-47D3-B67F-A62EFF666E3E}">
          <x14:id>{E198A18C-3180-47BB-A3D6-D1BD6CF7A47B}</x14:id>
        </ext>
      </extLst>
    </cfRule>
  </conditionalFormatting>
  <conditionalFormatting sqref="K81:BN81">
    <cfRule type="expression" dxfId="49" priority="50">
      <formula>K$6=TODAY()</formula>
    </cfRule>
    <cfRule type="expression" dxfId="48" priority="51">
      <formula>AND($E81&lt;=K$6,ROUNDDOWN(($F81-$E81+1)*$H81,0)+$E81-1&gt;=K$6)</formula>
    </cfRule>
    <cfRule type="expression" dxfId="47" priority="52">
      <formula>AND(NOT(ISBLANK($E81)),$E81&lt;=K$6,$F81&gt;=K$6)</formula>
    </cfRule>
  </conditionalFormatting>
  <conditionalFormatting sqref="H82">
    <cfRule type="dataBar" priority="121">
      <dataBar>
        <cfvo type="num" val="0"/>
        <cfvo type="num" val="1"/>
        <color theme="0" tint="-0.34998626667073579"/>
      </dataBar>
      <extLst>
        <ext xmlns:x14="http://schemas.microsoft.com/office/spreadsheetml/2009/9/main" uri="{B025F937-C7B1-47D3-B67F-A62EFF666E3E}">
          <x14:id>{F2C4E8BE-E9F1-411E-8E8C-E6A0455E7970}</x14:id>
        </ext>
      </extLst>
    </cfRule>
  </conditionalFormatting>
  <conditionalFormatting sqref="K82:BN82">
    <cfRule type="expression" dxfId="46" priority="122">
      <formula>K$6=TODAY()</formula>
    </cfRule>
  </conditionalFormatting>
  <conditionalFormatting sqref="H86">
    <cfRule type="dataBar" priority="109">
      <dataBar>
        <cfvo type="num" val="0"/>
        <cfvo type="num" val="1"/>
        <color theme="0" tint="-0.34998626667073579"/>
      </dataBar>
      <extLst>
        <ext xmlns:x14="http://schemas.microsoft.com/office/spreadsheetml/2009/9/main" uri="{B025F937-C7B1-47D3-B67F-A62EFF666E3E}">
          <x14:id>{7115B53C-8BF4-4DDE-BD65-604BF2BB9182}</x14:id>
        </ext>
      </extLst>
    </cfRule>
  </conditionalFormatting>
  <conditionalFormatting sqref="K86:BN86">
    <cfRule type="expression" dxfId="45" priority="110">
      <formula>K$6=TODAY()</formula>
    </cfRule>
  </conditionalFormatting>
  <conditionalFormatting sqref="H92">
    <cfRule type="dataBar" priority="89">
      <dataBar>
        <cfvo type="num" val="0"/>
        <cfvo type="num" val="1"/>
        <color theme="0" tint="-0.34998626667073579"/>
      </dataBar>
      <extLst>
        <ext xmlns:x14="http://schemas.microsoft.com/office/spreadsheetml/2009/9/main" uri="{B025F937-C7B1-47D3-B67F-A62EFF666E3E}">
          <x14:id>{68563805-B176-4434-B2D9-A70288D20EC7}</x14:id>
        </ext>
      </extLst>
    </cfRule>
  </conditionalFormatting>
  <conditionalFormatting sqref="K92:BN92">
    <cfRule type="expression" dxfId="44" priority="90">
      <formula>K$6=TODAY()</formula>
    </cfRule>
  </conditionalFormatting>
  <conditionalFormatting sqref="H93">
    <cfRule type="dataBar" priority="85">
      <dataBar>
        <cfvo type="num" val="0"/>
        <cfvo type="num" val="1"/>
        <color theme="0" tint="-0.34998626667073579"/>
      </dataBar>
      <extLst>
        <ext xmlns:x14="http://schemas.microsoft.com/office/spreadsheetml/2009/9/main" uri="{B025F937-C7B1-47D3-B67F-A62EFF666E3E}">
          <x14:id>{BB099FFF-31C7-4B09-8063-DECC3404DC11}</x14:id>
        </ext>
      </extLst>
    </cfRule>
  </conditionalFormatting>
  <conditionalFormatting sqref="K93:BN93">
    <cfRule type="expression" dxfId="43" priority="86">
      <formula>K$6=TODAY()</formula>
    </cfRule>
  </conditionalFormatting>
  <conditionalFormatting sqref="H60:H64">
    <cfRule type="dataBar" priority="141">
      <dataBar>
        <cfvo type="num" val="0"/>
        <cfvo type="num" val="1"/>
        <color theme="0" tint="-0.34998626667073579"/>
      </dataBar>
      <extLst>
        <ext xmlns:x14="http://schemas.microsoft.com/office/spreadsheetml/2009/9/main" uri="{B025F937-C7B1-47D3-B67F-A62EFF666E3E}">
          <x14:id>{9FF63461-3137-4ABA-BA5F-46E33D64C3C9}</x14:id>
        </ext>
      </extLst>
    </cfRule>
  </conditionalFormatting>
  <conditionalFormatting sqref="H65:H67">
    <cfRule type="dataBar" priority="137">
      <dataBar>
        <cfvo type="num" val="0"/>
        <cfvo type="num" val="1"/>
        <color theme="0" tint="-0.34998626667073579"/>
      </dataBar>
      <extLst>
        <ext xmlns:x14="http://schemas.microsoft.com/office/spreadsheetml/2009/9/main" uri="{B025F937-C7B1-47D3-B67F-A62EFF666E3E}">
          <x14:id>{3734F903-8821-4E86-8F9F-738722BD5F02}</x14:id>
        </ext>
      </extLst>
    </cfRule>
  </conditionalFormatting>
  <conditionalFormatting sqref="H70:H74">
    <cfRule type="dataBar" priority="133">
      <dataBar>
        <cfvo type="num" val="0"/>
        <cfvo type="num" val="1"/>
        <color theme="0" tint="-0.34998626667073579"/>
      </dataBar>
      <extLst>
        <ext xmlns:x14="http://schemas.microsoft.com/office/spreadsheetml/2009/9/main" uri="{B025F937-C7B1-47D3-B67F-A62EFF666E3E}">
          <x14:id>{4B51E4AB-2BD4-4AB0-9A8F-3F8073806174}</x14:id>
        </ext>
      </extLst>
    </cfRule>
  </conditionalFormatting>
  <conditionalFormatting sqref="H75:H76">
    <cfRule type="dataBar" priority="129">
      <dataBar>
        <cfvo type="num" val="0"/>
        <cfvo type="num" val="1"/>
        <color theme="0" tint="-0.34998626667073579"/>
      </dataBar>
      <extLst>
        <ext xmlns:x14="http://schemas.microsoft.com/office/spreadsheetml/2009/9/main" uri="{B025F937-C7B1-47D3-B67F-A62EFF666E3E}">
          <x14:id>{618181FE-7582-4C82-9517-17FA2CDC9CBC}</x14:id>
        </ext>
      </extLst>
    </cfRule>
  </conditionalFormatting>
  <conditionalFormatting sqref="H83:H85">
    <cfRule type="dataBar" priority="117">
      <dataBar>
        <cfvo type="num" val="0"/>
        <cfvo type="num" val="1"/>
        <color theme="0" tint="-0.34998626667073579"/>
      </dataBar>
      <extLst>
        <ext xmlns:x14="http://schemas.microsoft.com/office/spreadsheetml/2009/9/main" uri="{B025F937-C7B1-47D3-B67F-A62EFF666E3E}">
          <x14:id>{383FBCAF-9DEB-4AC2-B745-E229F8D2BAB3}</x14:id>
        </ext>
      </extLst>
    </cfRule>
  </conditionalFormatting>
  <conditionalFormatting sqref="H87:H91">
    <cfRule type="dataBar" priority="101">
      <dataBar>
        <cfvo type="num" val="0"/>
        <cfvo type="num" val="1"/>
        <color theme="0" tint="-0.34998626667073579"/>
      </dataBar>
      <extLst>
        <ext xmlns:x14="http://schemas.microsoft.com/office/spreadsheetml/2009/9/main" uri="{B025F937-C7B1-47D3-B67F-A62EFF666E3E}">
          <x14:id>{E795F590-C254-4B2C-B592-C5426107257E}</x14:id>
        </ext>
      </extLst>
    </cfRule>
  </conditionalFormatting>
  <conditionalFormatting sqref="K6:BN7">
    <cfRule type="expression" dxfId="42" priority="197">
      <formula>K$6=TODAY()</formula>
    </cfRule>
  </conditionalFormatting>
  <conditionalFormatting sqref="K6:BN10 K54:BN59 K22:BN52">
    <cfRule type="expression" dxfId="41" priority="160">
      <formula>K$6=TODAY()</formula>
    </cfRule>
  </conditionalFormatting>
  <conditionalFormatting sqref="H8:H10 H54:H59 H22:H52">
    <cfRule type="dataBar" priority="154">
      <dataBar>
        <cfvo type="num" val="0"/>
        <cfvo type="num" val="1"/>
        <color theme="0" tint="-0.34998626667073579"/>
      </dataBar>
      <extLst>
        <ext xmlns:x14="http://schemas.microsoft.com/office/spreadsheetml/2009/9/main" uri="{B025F937-C7B1-47D3-B67F-A62EFF666E3E}">
          <x14:id>{FC995155-1237-4645-8842-80DD26D23F80}</x14:id>
        </ext>
      </extLst>
    </cfRule>
  </conditionalFormatting>
  <conditionalFormatting sqref="K8:BN10 K70:BN76 K82:BN93 K54:BN67 K22:BN52">
    <cfRule type="expression" dxfId="40" priority="200">
      <formula>AND($E8&lt;=K$6,ROUNDDOWN(($F8-$E8+1)*$H8,0)+$E8-1&gt;=K$6)</formula>
    </cfRule>
    <cfRule type="expression" dxfId="39" priority="201">
      <formula>AND(NOT(ISBLANK($E8)),$E8&lt;=K$6,$F8&gt;=K$6)</formula>
    </cfRule>
  </conditionalFormatting>
  <conditionalFormatting sqref="K60:BN64">
    <cfRule type="expression" dxfId="38" priority="142">
      <formula>K$6=TODAY()</formula>
    </cfRule>
  </conditionalFormatting>
  <conditionalFormatting sqref="K65:BN67">
    <cfRule type="expression" dxfId="37" priority="138">
      <formula>K$6=TODAY()</formula>
    </cfRule>
  </conditionalFormatting>
  <conditionalFormatting sqref="K70:BN74">
    <cfRule type="expression" dxfId="36" priority="134">
      <formula>K$6=TODAY()</formula>
    </cfRule>
  </conditionalFormatting>
  <conditionalFormatting sqref="K75:BN76">
    <cfRule type="expression" dxfId="35" priority="130">
      <formula>K$6=TODAY()</formula>
    </cfRule>
  </conditionalFormatting>
  <conditionalFormatting sqref="K83:BN85">
    <cfRule type="expression" dxfId="34" priority="118">
      <formula>K$6=TODAY()</formula>
    </cfRule>
  </conditionalFormatting>
  <conditionalFormatting sqref="K87:BN91">
    <cfRule type="expression" dxfId="33" priority="102">
      <formula>K$6=TODAY()</formula>
    </cfRule>
  </conditionalFormatting>
  <conditionalFormatting sqref="K11:BN11">
    <cfRule type="expression" dxfId="32" priority="42">
      <formula>K$6=TODAY()</formula>
    </cfRule>
  </conditionalFormatting>
  <conditionalFormatting sqref="H11">
    <cfRule type="dataBar" priority="41">
      <dataBar>
        <cfvo type="num" val="0"/>
        <cfvo type="num" val="1"/>
        <color theme="0" tint="-0.34998626667073579"/>
      </dataBar>
      <extLst>
        <ext xmlns:x14="http://schemas.microsoft.com/office/spreadsheetml/2009/9/main" uri="{B025F937-C7B1-47D3-B67F-A62EFF666E3E}">
          <x14:id>{F8F65440-31C9-4BD4-A6C3-1FDF50F5ED81}</x14:id>
        </ext>
      </extLst>
    </cfRule>
  </conditionalFormatting>
  <conditionalFormatting sqref="K11:BN11">
    <cfRule type="expression" dxfId="31" priority="43">
      <formula>AND($E11&lt;=K$6,ROUNDDOWN(($F11-$E11+1)*$H11,0)+$E11-1&gt;=K$6)</formula>
    </cfRule>
    <cfRule type="expression" dxfId="30" priority="44">
      <formula>AND(NOT(ISBLANK($E11)),$E11&lt;=K$6,$F11&gt;=K$6)</formula>
    </cfRule>
  </conditionalFormatting>
  <conditionalFormatting sqref="K12:BN12">
    <cfRule type="expression" dxfId="29" priority="38">
      <formula>K$6=TODAY()</formula>
    </cfRule>
  </conditionalFormatting>
  <conditionalFormatting sqref="H12">
    <cfRule type="dataBar" priority="37">
      <dataBar>
        <cfvo type="num" val="0"/>
        <cfvo type="num" val="1"/>
        <color theme="0" tint="-0.34998626667073579"/>
      </dataBar>
      <extLst>
        <ext xmlns:x14="http://schemas.microsoft.com/office/spreadsheetml/2009/9/main" uri="{B025F937-C7B1-47D3-B67F-A62EFF666E3E}">
          <x14:id>{A6174771-9951-4F64-B878-54171BAF2310}</x14:id>
        </ext>
      </extLst>
    </cfRule>
  </conditionalFormatting>
  <conditionalFormatting sqref="K12:BN12">
    <cfRule type="expression" dxfId="28" priority="39">
      <formula>AND($E12&lt;=K$6,ROUNDDOWN(($F12-$E12+1)*$H12,0)+$E12-1&gt;=K$6)</formula>
    </cfRule>
    <cfRule type="expression" dxfId="27" priority="40">
      <formula>AND(NOT(ISBLANK($E12)),$E12&lt;=K$6,$F12&gt;=K$6)</formula>
    </cfRule>
  </conditionalFormatting>
  <conditionalFormatting sqref="K13:BN13">
    <cfRule type="expression" dxfId="26" priority="34">
      <formula>K$6=TODAY()</formula>
    </cfRule>
  </conditionalFormatting>
  <conditionalFormatting sqref="H13">
    <cfRule type="dataBar" priority="33">
      <dataBar>
        <cfvo type="num" val="0"/>
        <cfvo type="num" val="1"/>
        <color theme="0" tint="-0.34998626667073579"/>
      </dataBar>
      <extLst>
        <ext xmlns:x14="http://schemas.microsoft.com/office/spreadsheetml/2009/9/main" uri="{B025F937-C7B1-47D3-B67F-A62EFF666E3E}">
          <x14:id>{5100C74B-549F-4DAB-9646-F23542235418}</x14:id>
        </ext>
      </extLst>
    </cfRule>
  </conditionalFormatting>
  <conditionalFormatting sqref="K13:BN13">
    <cfRule type="expression" dxfId="25" priority="35">
      <formula>AND($E13&lt;=K$6,ROUNDDOWN(($F13-$E13+1)*$H13,0)+$E13-1&gt;=K$6)</formula>
    </cfRule>
    <cfRule type="expression" dxfId="24" priority="36">
      <formula>AND(NOT(ISBLANK($E13)),$E13&lt;=K$6,$F13&gt;=K$6)</formula>
    </cfRule>
  </conditionalFormatting>
  <conditionalFormatting sqref="K14:BN14">
    <cfRule type="expression" dxfId="23" priority="30">
      <formula>K$6=TODAY()</formula>
    </cfRule>
  </conditionalFormatting>
  <conditionalFormatting sqref="H14">
    <cfRule type="dataBar" priority="29">
      <dataBar>
        <cfvo type="num" val="0"/>
        <cfvo type="num" val="1"/>
        <color theme="0" tint="-0.34998626667073579"/>
      </dataBar>
      <extLst>
        <ext xmlns:x14="http://schemas.microsoft.com/office/spreadsheetml/2009/9/main" uri="{B025F937-C7B1-47D3-B67F-A62EFF666E3E}">
          <x14:id>{28280670-5D74-4460-AFD6-C722D1E63835}</x14:id>
        </ext>
      </extLst>
    </cfRule>
  </conditionalFormatting>
  <conditionalFormatting sqref="K14:BN14">
    <cfRule type="expression" dxfId="22" priority="31">
      <formula>AND($E14&lt;=K$6,ROUNDDOWN(($F14-$E14+1)*$H14,0)+$E14-1&gt;=K$6)</formula>
    </cfRule>
    <cfRule type="expression" dxfId="21" priority="32">
      <formula>AND(NOT(ISBLANK($E14)),$E14&lt;=K$6,$F14&gt;=K$6)</formula>
    </cfRule>
  </conditionalFormatting>
  <conditionalFormatting sqref="K15:BN15">
    <cfRule type="expression" dxfId="20" priority="26">
      <formula>K$6=TODAY()</formula>
    </cfRule>
  </conditionalFormatting>
  <conditionalFormatting sqref="H15">
    <cfRule type="dataBar" priority="25">
      <dataBar>
        <cfvo type="num" val="0"/>
        <cfvo type="num" val="1"/>
        <color theme="0" tint="-0.34998626667073579"/>
      </dataBar>
      <extLst>
        <ext xmlns:x14="http://schemas.microsoft.com/office/spreadsheetml/2009/9/main" uri="{B025F937-C7B1-47D3-B67F-A62EFF666E3E}">
          <x14:id>{566BD265-4DB2-42EC-83EE-8811E7054032}</x14:id>
        </ext>
      </extLst>
    </cfRule>
  </conditionalFormatting>
  <conditionalFormatting sqref="K15:BN15">
    <cfRule type="expression" dxfId="19" priority="27">
      <formula>AND($E15&lt;=K$6,ROUNDDOWN(($F15-$E15+1)*$H15,0)+$E15-1&gt;=K$6)</formula>
    </cfRule>
    <cfRule type="expression" dxfId="18" priority="28">
      <formula>AND(NOT(ISBLANK($E15)),$E15&lt;=K$6,$F15&gt;=K$6)</formula>
    </cfRule>
  </conditionalFormatting>
  <conditionalFormatting sqref="K16:BN16">
    <cfRule type="expression" dxfId="17" priority="22">
      <formula>K$6=TODAY()</formula>
    </cfRule>
  </conditionalFormatting>
  <conditionalFormatting sqref="H16">
    <cfRule type="dataBar" priority="21">
      <dataBar>
        <cfvo type="num" val="0"/>
        <cfvo type="num" val="1"/>
        <color theme="0" tint="-0.34998626667073579"/>
      </dataBar>
      <extLst>
        <ext xmlns:x14="http://schemas.microsoft.com/office/spreadsheetml/2009/9/main" uri="{B025F937-C7B1-47D3-B67F-A62EFF666E3E}">
          <x14:id>{C82E46B4-EDE5-4F85-8B9E-B84618AE9D8B}</x14:id>
        </ext>
      </extLst>
    </cfRule>
  </conditionalFormatting>
  <conditionalFormatting sqref="K16:BN16">
    <cfRule type="expression" dxfId="16" priority="23">
      <formula>AND($E16&lt;=K$6,ROUNDDOWN(($F16-$E16+1)*$H16,0)+$E16-1&gt;=K$6)</formula>
    </cfRule>
    <cfRule type="expression" dxfId="15" priority="24">
      <formula>AND(NOT(ISBLANK($E16)),$E16&lt;=K$6,$F16&gt;=K$6)</formula>
    </cfRule>
  </conditionalFormatting>
  <conditionalFormatting sqref="K17:BN17">
    <cfRule type="expression" dxfId="14" priority="18">
      <formula>K$6=TODAY()</formula>
    </cfRule>
  </conditionalFormatting>
  <conditionalFormatting sqref="H17">
    <cfRule type="dataBar" priority="17">
      <dataBar>
        <cfvo type="num" val="0"/>
        <cfvo type="num" val="1"/>
        <color theme="0" tint="-0.34998626667073579"/>
      </dataBar>
      <extLst>
        <ext xmlns:x14="http://schemas.microsoft.com/office/spreadsheetml/2009/9/main" uri="{B025F937-C7B1-47D3-B67F-A62EFF666E3E}">
          <x14:id>{F70F1E77-42D7-41E3-BA31-A96A83957F9D}</x14:id>
        </ext>
      </extLst>
    </cfRule>
  </conditionalFormatting>
  <conditionalFormatting sqref="K17:BN17">
    <cfRule type="expression" dxfId="13" priority="19">
      <formula>AND($E17&lt;=K$6,ROUNDDOWN(($F17-$E17+1)*$H17,0)+$E17-1&gt;=K$6)</formula>
    </cfRule>
    <cfRule type="expression" dxfId="12" priority="20">
      <formula>AND(NOT(ISBLANK($E17)),$E17&lt;=K$6,$F17&gt;=K$6)</formula>
    </cfRule>
  </conditionalFormatting>
  <conditionalFormatting sqref="K18:BN18">
    <cfRule type="expression" dxfId="11" priority="14">
      <formula>K$6=TODAY()</formula>
    </cfRule>
  </conditionalFormatting>
  <conditionalFormatting sqref="H18">
    <cfRule type="dataBar" priority="13">
      <dataBar>
        <cfvo type="num" val="0"/>
        <cfvo type="num" val="1"/>
        <color theme="0" tint="-0.34998626667073579"/>
      </dataBar>
      <extLst>
        <ext xmlns:x14="http://schemas.microsoft.com/office/spreadsheetml/2009/9/main" uri="{B025F937-C7B1-47D3-B67F-A62EFF666E3E}">
          <x14:id>{C9B8464B-68EC-4CE0-B33A-C97BCB35C6D6}</x14:id>
        </ext>
      </extLst>
    </cfRule>
  </conditionalFormatting>
  <conditionalFormatting sqref="K18:BN18">
    <cfRule type="expression" dxfId="10" priority="15">
      <formula>AND($E18&lt;=K$6,ROUNDDOWN(($F18-$E18+1)*$H18,0)+$E18-1&gt;=K$6)</formula>
    </cfRule>
    <cfRule type="expression" dxfId="9" priority="16">
      <formula>AND(NOT(ISBLANK($E18)),$E18&lt;=K$6,$F18&gt;=K$6)</formula>
    </cfRule>
  </conditionalFormatting>
  <conditionalFormatting sqref="K19:BN19">
    <cfRule type="expression" dxfId="8" priority="10">
      <formula>K$6=TODAY()</formula>
    </cfRule>
  </conditionalFormatting>
  <conditionalFormatting sqref="H19">
    <cfRule type="dataBar" priority="9">
      <dataBar>
        <cfvo type="num" val="0"/>
        <cfvo type="num" val="1"/>
        <color theme="0" tint="-0.34998626667073579"/>
      </dataBar>
      <extLst>
        <ext xmlns:x14="http://schemas.microsoft.com/office/spreadsheetml/2009/9/main" uri="{B025F937-C7B1-47D3-B67F-A62EFF666E3E}">
          <x14:id>{044AE299-10DA-4D68-9BDD-81703175C9F1}</x14:id>
        </ext>
      </extLst>
    </cfRule>
  </conditionalFormatting>
  <conditionalFormatting sqref="K19:BN19">
    <cfRule type="expression" dxfId="7" priority="11">
      <formula>AND($E19&lt;=K$6,ROUNDDOWN(($F19-$E19+1)*$H19,0)+$E19-1&gt;=K$6)</formula>
    </cfRule>
    <cfRule type="expression" dxfId="6" priority="12">
      <formula>AND(NOT(ISBLANK($E19)),$E19&lt;=K$6,$F19&gt;=K$6)</formula>
    </cfRule>
  </conditionalFormatting>
  <conditionalFormatting sqref="K20:BN20">
    <cfRule type="expression" dxfId="5" priority="6">
      <formula>K$6=TODAY()</formula>
    </cfRule>
  </conditionalFormatting>
  <conditionalFormatting sqref="H20">
    <cfRule type="dataBar" priority="5">
      <dataBar>
        <cfvo type="num" val="0"/>
        <cfvo type="num" val="1"/>
        <color theme="0" tint="-0.34998626667073579"/>
      </dataBar>
      <extLst>
        <ext xmlns:x14="http://schemas.microsoft.com/office/spreadsheetml/2009/9/main" uri="{B025F937-C7B1-47D3-B67F-A62EFF666E3E}">
          <x14:id>{65D07F90-D2D6-40A5-BAB1-99841BD9B277}</x14:id>
        </ext>
      </extLst>
    </cfRule>
  </conditionalFormatting>
  <conditionalFormatting sqref="K20:BN20">
    <cfRule type="expression" dxfId="4" priority="7">
      <formula>AND($E20&lt;=K$6,ROUNDDOWN(($F20-$E20+1)*$H20,0)+$E20-1&gt;=K$6)</formula>
    </cfRule>
    <cfRule type="expression" dxfId="3" priority="8">
      <formula>AND(NOT(ISBLANK($E20)),$E20&lt;=K$6,$F20&gt;=K$6)</formula>
    </cfRule>
  </conditionalFormatting>
  <conditionalFormatting sqref="K21:BN21">
    <cfRule type="expression" dxfId="2" priority="2">
      <formula>K$6=TODAY()</formula>
    </cfRule>
  </conditionalFormatting>
  <conditionalFormatting sqref="H21">
    <cfRule type="dataBar" priority="1">
      <dataBar>
        <cfvo type="num" val="0"/>
        <cfvo type="num" val="1"/>
        <color theme="0" tint="-0.34998626667073579"/>
      </dataBar>
      <extLst>
        <ext xmlns:x14="http://schemas.microsoft.com/office/spreadsheetml/2009/9/main" uri="{B025F937-C7B1-47D3-B67F-A62EFF666E3E}">
          <x14:id>{79585EF5-C19B-4871-AA60-9BF5970475AE}</x14:id>
        </ext>
      </extLst>
    </cfRule>
  </conditionalFormatting>
  <conditionalFormatting sqref="K21:BN21">
    <cfRule type="expression" dxfId="1" priority="3">
      <formula>AND($E21&lt;=K$6,ROUNDDOWN(($F21-$E21+1)*$H21,0)+$E21-1&gt;=K$6)</formula>
    </cfRule>
    <cfRule type="expression" dxfId="0" priority="4">
      <formula>AND(NOT(ISBLANK($E21)),$E21&lt;=K$6,$F21&gt;=K$6)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dataValidations>
  <pageMargins left="0.25" right="0.25" top="0.5" bottom="0.5" header="0.5" footer="0.25"/>
  <pageSetup scale="53" orientation="landscape"/>
  <headerFooter alignWithMargins="0"/>
  <ignoredErrors>
    <ignoredError sqref="A54" formula="1"/>
    <ignoredError sqref="H56 H57:H58 G54:H54 E54" unlockedFormula="1"/>
  </ignoredErrors>
  <drawing r:id="rId1"/>
  <legacyDrawing r:id="rId2"/>
  <mc:AlternateContent xmlns:mc="http://schemas.openxmlformats.org/markup-compatibility/2006">
    <mc:Choice Requires="x14">
      <controls>
        <mc:AlternateContent xmlns:mc="http://schemas.openxmlformats.org/markup-compatibility/2006">
          <mc:Choice Requires="x14">
            <control shapeId="8238" r:id="rId3"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8038711-1C51-4067-AAD1-36976C973DDF}">
            <x14:dataBar minLength="0" maxLength="100" gradient="0">
              <x14:cfvo type="num">
                <xm:f>0</xm:f>
              </x14:cfvo>
              <x14:cfvo type="num">
                <xm:f>1</xm:f>
              </x14:cfvo>
              <x14:negativeFillColor rgb="FFFF0000"/>
              <x14:axisColor rgb="FF000000"/>
            </x14:dataBar>
          </x14:cfRule>
          <xm:sqref>H53</xm:sqref>
        </x14:conditionalFormatting>
        <x14:conditionalFormatting xmlns:xm="http://schemas.microsoft.com/office/excel/2006/main">
          <x14:cfRule type="dataBar" id="{C530BE72-4D90-48AA-9629-A6D8685FF7E1}">
            <x14:dataBar minLength="0" maxLength="100" gradient="0">
              <x14:cfvo type="num">
                <xm:f>0</xm:f>
              </x14:cfvo>
              <x14:cfvo type="num">
                <xm:f>1</xm:f>
              </x14:cfvo>
              <x14:negativeFillColor rgb="FFFF0000"/>
              <x14:axisColor rgb="FF000000"/>
            </x14:dataBar>
          </x14:cfRule>
          <xm:sqref>H68</xm:sqref>
        </x14:conditionalFormatting>
        <x14:conditionalFormatting xmlns:xm="http://schemas.microsoft.com/office/excel/2006/main">
          <x14:cfRule type="dataBar" id="{BC417A2E-EDEC-48BB-8CF7-14F4E1459B73}">
            <x14:dataBar minLength="0" maxLength="100" gradient="0">
              <x14:cfvo type="num">
                <xm:f>0</xm:f>
              </x14:cfvo>
              <x14:cfvo type="num">
                <xm:f>1</xm:f>
              </x14:cfvo>
              <x14:negativeFillColor rgb="FFFF0000"/>
              <x14:axisColor rgb="FF000000"/>
            </x14:dataBar>
          </x14:cfRule>
          <xm:sqref>H69</xm:sqref>
        </x14:conditionalFormatting>
        <x14:conditionalFormatting xmlns:xm="http://schemas.microsoft.com/office/excel/2006/main">
          <x14:cfRule type="dataBar" id="{B825B53B-C445-4AF1-A1C9-24F55514967F}">
            <x14:dataBar minLength="0" maxLength="100" gradient="0">
              <x14:cfvo type="num">
                <xm:f>0</xm:f>
              </x14:cfvo>
              <x14:cfvo type="num">
                <xm:f>1</xm:f>
              </x14:cfvo>
              <x14:negativeFillColor rgb="FFFF0000"/>
              <x14:axisColor rgb="FF000000"/>
            </x14:dataBar>
          </x14:cfRule>
          <xm:sqref>H77</xm:sqref>
        </x14:conditionalFormatting>
        <x14:conditionalFormatting xmlns:xm="http://schemas.microsoft.com/office/excel/2006/main">
          <x14:cfRule type="dataBar" id="{32D9DDF4-BD94-4793-AE9B-FE2FBDFA7856}">
            <x14:dataBar minLength="0" maxLength="100" gradient="0">
              <x14:cfvo type="num">
                <xm:f>0</xm:f>
              </x14:cfvo>
              <x14:cfvo type="num">
                <xm:f>1</xm:f>
              </x14:cfvo>
              <x14:negativeFillColor rgb="FFFF0000"/>
              <x14:axisColor rgb="FF000000"/>
            </x14:dataBar>
          </x14:cfRule>
          <xm:sqref>H78</xm:sqref>
        </x14:conditionalFormatting>
        <x14:conditionalFormatting xmlns:xm="http://schemas.microsoft.com/office/excel/2006/main">
          <x14:cfRule type="dataBar" id="{CDA6B999-EA4A-4F00-A87D-1573D8CFFDF6}">
            <x14:dataBar minLength="0" maxLength="100" gradient="0">
              <x14:cfvo type="num">
                <xm:f>0</xm:f>
              </x14:cfvo>
              <x14:cfvo type="num">
                <xm:f>1</xm:f>
              </x14:cfvo>
              <x14:negativeFillColor rgb="FFFF0000"/>
              <x14:axisColor rgb="FF000000"/>
            </x14:dataBar>
          </x14:cfRule>
          <xm:sqref>H79</xm:sqref>
        </x14:conditionalFormatting>
        <x14:conditionalFormatting xmlns:xm="http://schemas.microsoft.com/office/excel/2006/main">
          <x14:cfRule type="dataBar" id="{9FA44BF1-07A8-40B7-A681-1603381191D6}">
            <x14:dataBar minLength="0" maxLength="100" gradient="0">
              <x14:cfvo type="num">
                <xm:f>0</xm:f>
              </x14:cfvo>
              <x14:cfvo type="num">
                <xm:f>1</xm:f>
              </x14:cfvo>
              <x14:negativeFillColor rgb="FFFF0000"/>
              <x14:axisColor rgb="FF000000"/>
            </x14:dataBar>
          </x14:cfRule>
          <xm:sqref>H80</xm:sqref>
        </x14:conditionalFormatting>
        <x14:conditionalFormatting xmlns:xm="http://schemas.microsoft.com/office/excel/2006/main">
          <x14:cfRule type="dataBar" id="{E198A18C-3180-47BB-A3D6-D1BD6CF7A47B}">
            <x14:dataBar minLength="0" maxLength="100" gradient="0">
              <x14:cfvo type="num">
                <xm:f>0</xm:f>
              </x14:cfvo>
              <x14:cfvo type="num">
                <xm:f>1</xm:f>
              </x14:cfvo>
              <x14:negativeFillColor rgb="FFFF0000"/>
              <x14:axisColor rgb="FF000000"/>
            </x14:dataBar>
          </x14:cfRule>
          <xm:sqref>H81</xm:sqref>
        </x14:conditionalFormatting>
        <x14:conditionalFormatting xmlns:xm="http://schemas.microsoft.com/office/excel/2006/main">
          <x14:cfRule type="dataBar" id="{F2C4E8BE-E9F1-411E-8E8C-E6A0455E7970}">
            <x14:dataBar minLength="0" maxLength="100" gradient="0">
              <x14:cfvo type="num">
                <xm:f>0</xm:f>
              </x14:cfvo>
              <x14:cfvo type="num">
                <xm:f>1</xm:f>
              </x14:cfvo>
              <x14:negativeFillColor rgb="FFFF0000"/>
              <x14:axisColor rgb="FF000000"/>
            </x14:dataBar>
          </x14:cfRule>
          <xm:sqref>H82</xm:sqref>
        </x14:conditionalFormatting>
        <x14:conditionalFormatting xmlns:xm="http://schemas.microsoft.com/office/excel/2006/main">
          <x14:cfRule type="dataBar" id="{7115B53C-8BF4-4DDE-BD65-604BF2BB9182}">
            <x14:dataBar minLength="0" maxLength="100" gradient="0">
              <x14:cfvo type="num">
                <xm:f>0</xm:f>
              </x14:cfvo>
              <x14:cfvo type="num">
                <xm:f>1</xm:f>
              </x14:cfvo>
              <x14:negativeFillColor rgb="FFFF0000"/>
              <x14:axisColor rgb="FF000000"/>
            </x14:dataBar>
          </x14:cfRule>
          <xm:sqref>H86</xm:sqref>
        </x14:conditionalFormatting>
        <x14:conditionalFormatting xmlns:xm="http://schemas.microsoft.com/office/excel/2006/main">
          <x14:cfRule type="dataBar" id="{68563805-B176-4434-B2D9-A70288D20EC7}">
            <x14:dataBar minLength="0" maxLength="100" gradient="0">
              <x14:cfvo type="num">
                <xm:f>0</xm:f>
              </x14:cfvo>
              <x14:cfvo type="num">
                <xm:f>1</xm:f>
              </x14:cfvo>
              <x14:negativeFillColor rgb="FFFF0000"/>
              <x14:axisColor rgb="FF000000"/>
            </x14:dataBar>
          </x14:cfRule>
          <xm:sqref>H92</xm:sqref>
        </x14:conditionalFormatting>
        <x14:conditionalFormatting xmlns:xm="http://schemas.microsoft.com/office/excel/2006/main">
          <x14:cfRule type="dataBar" id="{BB099FFF-31C7-4B09-8063-DECC3404DC11}">
            <x14:dataBar minLength="0" maxLength="100" gradient="0">
              <x14:cfvo type="num">
                <xm:f>0</xm:f>
              </x14:cfvo>
              <x14:cfvo type="num">
                <xm:f>1</xm:f>
              </x14:cfvo>
              <x14:negativeFillColor rgb="FFFF0000"/>
              <x14:axisColor rgb="FF000000"/>
            </x14:dataBar>
          </x14:cfRule>
          <xm:sqref>H93</xm:sqref>
        </x14:conditionalFormatting>
        <x14:conditionalFormatting xmlns:xm="http://schemas.microsoft.com/office/excel/2006/main">
          <x14:cfRule type="dataBar" id="{9FF63461-3137-4ABA-BA5F-46E33D64C3C9}">
            <x14:dataBar minLength="0" maxLength="100" gradient="0">
              <x14:cfvo type="num">
                <xm:f>0</xm:f>
              </x14:cfvo>
              <x14:cfvo type="num">
                <xm:f>1</xm:f>
              </x14:cfvo>
              <x14:negativeFillColor rgb="FFFF0000"/>
              <x14:axisColor rgb="FF000000"/>
            </x14:dataBar>
          </x14:cfRule>
          <xm:sqref>H60:H64</xm:sqref>
        </x14:conditionalFormatting>
        <x14:conditionalFormatting xmlns:xm="http://schemas.microsoft.com/office/excel/2006/main">
          <x14:cfRule type="dataBar" id="{3734F903-8821-4E86-8F9F-738722BD5F02}">
            <x14:dataBar minLength="0" maxLength="100" gradient="0">
              <x14:cfvo type="num">
                <xm:f>0</xm:f>
              </x14:cfvo>
              <x14:cfvo type="num">
                <xm:f>1</xm:f>
              </x14:cfvo>
              <x14:negativeFillColor rgb="FFFF0000"/>
              <x14:axisColor rgb="FF000000"/>
            </x14:dataBar>
          </x14:cfRule>
          <xm:sqref>H65:H67</xm:sqref>
        </x14:conditionalFormatting>
        <x14:conditionalFormatting xmlns:xm="http://schemas.microsoft.com/office/excel/2006/main">
          <x14:cfRule type="dataBar" id="{4B51E4AB-2BD4-4AB0-9A8F-3F8073806174}">
            <x14:dataBar minLength="0" maxLength="100" gradient="0">
              <x14:cfvo type="num">
                <xm:f>0</xm:f>
              </x14:cfvo>
              <x14:cfvo type="num">
                <xm:f>1</xm:f>
              </x14:cfvo>
              <x14:negativeFillColor rgb="FFFF0000"/>
              <x14:axisColor rgb="FF000000"/>
            </x14:dataBar>
          </x14:cfRule>
          <xm:sqref>H70:H74</xm:sqref>
        </x14:conditionalFormatting>
        <x14:conditionalFormatting xmlns:xm="http://schemas.microsoft.com/office/excel/2006/main">
          <x14:cfRule type="dataBar" id="{618181FE-7582-4C82-9517-17FA2CDC9CBC}">
            <x14:dataBar minLength="0" maxLength="100" gradient="0">
              <x14:cfvo type="num">
                <xm:f>0</xm:f>
              </x14:cfvo>
              <x14:cfvo type="num">
                <xm:f>1</xm:f>
              </x14:cfvo>
              <x14:negativeFillColor rgb="FFFF0000"/>
              <x14:axisColor rgb="FF000000"/>
            </x14:dataBar>
          </x14:cfRule>
          <xm:sqref>H75:H76</xm:sqref>
        </x14:conditionalFormatting>
        <x14:conditionalFormatting xmlns:xm="http://schemas.microsoft.com/office/excel/2006/main">
          <x14:cfRule type="dataBar" id="{383FBCAF-9DEB-4AC2-B745-E229F8D2BAB3}">
            <x14:dataBar minLength="0" maxLength="100" gradient="0">
              <x14:cfvo type="num">
                <xm:f>0</xm:f>
              </x14:cfvo>
              <x14:cfvo type="num">
                <xm:f>1</xm:f>
              </x14:cfvo>
              <x14:negativeFillColor rgb="FFFF0000"/>
              <x14:axisColor rgb="FF000000"/>
            </x14:dataBar>
          </x14:cfRule>
          <xm:sqref>H83:H85</xm:sqref>
        </x14:conditionalFormatting>
        <x14:conditionalFormatting xmlns:xm="http://schemas.microsoft.com/office/excel/2006/main">
          <x14:cfRule type="dataBar" id="{E795F590-C254-4B2C-B592-C5426107257E}">
            <x14:dataBar minLength="0" maxLength="100" gradient="0">
              <x14:cfvo type="num">
                <xm:f>0</xm:f>
              </x14:cfvo>
              <x14:cfvo type="num">
                <xm:f>1</xm:f>
              </x14:cfvo>
              <x14:negativeFillColor rgb="FFFF0000"/>
              <x14:axisColor rgb="FF000000"/>
            </x14:dataBar>
          </x14:cfRule>
          <xm:sqref>H87:H91</xm:sqref>
        </x14:conditionalFormatting>
        <x14:conditionalFormatting xmlns:xm="http://schemas.microsoft.com/office/excel/2006/main">
          <x14:cfRule type="dataBar" id="{FC995155-1237-4645-8842-80DD26D23F80}">
            <x14:dataBar minLength="0" maxLength="100" gradient="0">
              <x14:cfvo type="num">
                <xm:f>0</xm:f>
              </x14:cfvo>
              <x14:cfvo type="num">
                <xm:f>1</xm:f>
              </x14:cfvo>
              <x14:negativeFillColor rgb="FFFF0000"/>
              <x14:axisColor rgb="FF000000"/>
            </x14:dataBar>
          </x14:cfRule>
          <xm:sqref>H8:H10 H54:H59 H22:H52</xm:sqref>
        </x14:conditionalFormatting>
        <x14:conditionalFormatting xmlns:xm="http://schemas.microsoft.com/office/excel/2006/main">
          <x14:cfRule type="dataBar" id="{F8F65440-31C9-4BD4-A6C3-1FDF50F5ED81}">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A6174771-9951-4F64-B878-54171BAF2310}">
            <x14:dataBar minLength="0" maxLength="100" gradient="0">
              <x14:cfvo type="num">
                <xm:f>0</xm:f>
              </x14:cfvo>
              <x14:cfvo type="num">
                <xm:f>1</xm:f>
              </x14:cfvo>
              <x14:negativeFillColor rgb="FFFF0000"/>
              <x14:axisColor rgb="FF000000"/>
            </x14:dataBar>
          </x14:cfRule>
          <xm:sqref>H12</xm:sqref>
        </x14:conditionalFormatting>
        <x14:conditionalFormatting xmlns:xm="http://schemas.microsoft.com/office/excel/2006/main">
          <x14:cfRule type="dataBar" id="{5100C74B-549F-4DAB-9646-F23542235418}">
            <x14:dataBar minLength="0" maxLength="100" gradient="0">
              <x14:cfvo type="num">
                <xm:f>0</xm:f>
              </x14:cfvo>
              <x14:cfvo type="num">
                <xm:f>1</xm:f>
              </x14:cfvo>
              <x14:negativeFillColor rgb="FFFF0000"/>
              <x14:axisColor rgb="FF000000"/>
            </x14:dataBar>
          </x14:cfRule>
          <xm:sqref>H13</xm:sqref>
        </x14:conditionalFormatting>
        <x14:conditionalFormatting xmlns:xm="http://schemas.microsoft.com/office/excel/2006/main">
          <x14:cfRule type="dataBar" id="{28280670-5D74-4460-AFD6-C722D1E63835}">
            <x14:dataBar minLength="0" maxLength="100" gradient="0">
              <x14:cfvo type="num">
                <xm:f>0</xm:f>
              </x14:cfvo>
              <x14:cfvo type="num">
                <xm:f>1</xm:f>
              </x14:cfvo>
              <x14:negativeFillColor rgb="FFFF0000"/>
              <x14:axisColor rgb="FF000000"/>
            </x14:dataBar>
          </x14:cfRule>
          <xm:sqref>H14</xm:sqref>
        </x14:conditionalFormatting>
        <x14:conditionalFormatting xmlns:xm="http://schemas.microsoft.com/office/excel/2006/main">
          <x14:cfRule type="dataBar" id="{566BD265-4DB2-42EC-83EE-8811E7054032}">
            <x14:dataBar minLength="0" maxLength="100" gradient="0">
              <x14:cfvo type="num">
                <xm:f>0</xm:f>
              </x14:cfvo>
              <x14:cfvo type="num">
                <xm:f>1</xm:f>
              </x14:cfvo>
              <x14:negativeFillColor rgb="FFFF0000"/>
              <x14:axisColor rgb="FF000000"/>
            </x14:dataBar>
          </x14:cfRule>
          <xm:sqref>H15</xm:sqref>
        </x14:conditionalFormatting>
        <x14:conditionalFormatting xmlns:xm="http://schemas.microsoft.com/office/excel/2006/main">
          <x14:cfRule type="dataBar" id="{C82E46B4-EDE5-4F85-8B9E-B84618AE9D8B}">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F70F1E77-42D7-41E3-BA31-A96A83957F9D}">
            <x14:dataBar minLength="0" maxLength="100" gradient="0">
              <x14:cfvo type="num">
                <xm:f>0</xm:f>
              </x14:cfvo>
              <x14:cfvo type="num">
                <xm:f>1</xm:f>
              </x14:cfvo>
              <x14:negativeFillColor rgb="FFFF0000"/>
              <x14:axisColor rgb="FF000000"/>
            </x14:dataBar>
          </x14:cfRule>
          <xm:sqref>H17</xm:sqref>
        </x14:conditionalFormatting>
        <x14:conditionalFormatting xmlns:xm="http://schemas.microsoft.com/office/excel/2006/main">
          <x14:cfRule type="dataBar" id="{C9B8464B-68EC-4CE0-B33A-C97BCB35C6D6}">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044AE299-10DA-4D68-9BDD-81703175C9F1}">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65D07F90-D2D6-40A5-BAB1-99841BD9B277}">
            <x14:dataBar minLength="0" maxLength="100" gradient="0">
              <x14:cfvo type="num">
                <xm:f>0</xm:f>
              </x14:cfvo>
              <x14:cfvo type="num">
                <xm:f>1</xm:f>
              </x14:cfvo>
              <x14:negativeFillColor rgb="FFFF0000"/>
              <x14:axisColor rgb="FF000000"/>
            </x14:dataBar>
          </x14:cfRule>
          <xm:sqref>H20</xm:sqref>
        </x14:conditionalFormatting>
        <x14:conditionalFormatting xmlns:xm="http://schemas.microsoft.com/office/excel/2006/main">
          <x14:cfRule type="dataBar" id="{79585EF5-C19B-4871-AA60-9BF5970475AE}">
            <x14:dataBar minLength="0" maxLength="100" gradient="0">
              <x14:cfvo type="num">
                <xm:f>0</xm:f>
              </x14:cfvo>
              <x14:cfvo type="num">
                <xm:f>1</xm:f>
              </x14:cfvo>
              <x14:negativeFillColor rgb="FFFF0000"/>
              <x14:axisColor rgb="FF000000"/>
            </x14:dataBar>
          </x14:cfRule>
          <xm:sqref>H21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46"/>
  <sheetViews>
    <sheetView showGridLines="0" workbookViewId="0"/>
  </sheetViews>
  <sheetFormatPr defaultColWidth="9" defaultRowHeight="12.75"/>
  <cols>
    <col min="1" max="1" width="5.5703125" customWidth="1"/>
    <col min="2" max="2" width="37.7109375" customWidth="1"/>
    <col min="3" max="3" width="55.140625" customWidth="1"/>
    <col min="4" max="7" width="8.85546875"/>
  </cols>
  <sheetData>
    <row r="1" spans="1:3" ht="30" customHeight="1">
      <c r="A1" s="43" t="s">
        <v>60</v>
      </c>
    </row>
    <row r="4" spans="1:3">
      <c r="C4" s="28" t="s">
        <v>61</v>
      </c>
    </row>
    <row r="5" spans="1:3">
      <c r="C5" s="1" t="s">
        <v>62</v>
      </c>
    </row>
    <row r="6" spans="1:3">
      <c r="C6" s="1"/>
    </row>
    <row r="7" spans="1:3" ht="18">
      <c r="C7" s="44" t="s">
        <v>63</v>
      </c>
    </row>
    <row r="8" spans="1:3">
      <c r="C8" s="45" t="s">
        <v>64</v>
      </c>
    </row>
    <row r="10" spans="1:3">
      <c r="C10" s="1" t="s">
        <v>65</v>
      </c>
    </row>
    <row r="11" spans="1:3">
      <c r="C11" s="1" t="s">
        <v>66</v>
      </c>
    </row>
    <row r="13" spans="1:3" ht="18">
      <c r="C13" s="44" t="s">
        <v>67</v>
      </c>
    </row>
    <row r="16" spans="1:3" ht="15.75">
      <c r="A16" s="19" t="s">
        <v>68</v>
      </c>
    </row>
    <row r="18" spans="2:2" ht="15">
      <c r="B18" s="46" t="s">
        <v>69</v>
      </c>
    </row>
    <row r="19" spans="2:2">
      <c r="B19" s="1" t="s">
        <v>70</v>
      </c>
    </row>
    <row r="20" spans="2:2">
      <c r="B20" s="1" t="s">
        <v>71</v>
      </c>
    </row>
    <row r="22" spans="2:2" ht="15">
      <c r="B22" s="46" t="s">
        <v>72</v>
      </c>
    </row>
    <row r="23" spans="2:2">
      <c r="B23" s="1" t="s">
        <v>73</v>
      </c>
    </row>
    <row r="24" spans="2:2">
      <c r="B24" s="1" t="s">
        <v>74</v>
      </c>
    </row>
    <row r="26" spans="2:2" ht="15">
      <c r="B26" s="46" t="s">
        <v>75</v>
      </c>
    </row>
    <row r="27" spans="2:2">
      <c r="B27" s="1" t="s">
        <v>76</v>
      </c>
    </row>
    <row r="28" spans="2:2">
      <c r="B28" s="1" t="s">
        <v>77</v>
      </c>
    </row>
    <row r="29" spans="2:2">
      <c r="B29" s="1" t="s">
        <v>78</v>
      </c>
    </row>
    <row r="30" spans="2:2">
      <c r="B30" t="s">
        <v>79</v>
      </c>
    </row>
    <row r="31" spans="2:2">
      <c r="B31" t="s">
        <v>80</v>
      </c>
    </row>
    <row r="32" spans="2:2">
      <c r="B32" t="s">
        <v>81</v>
      </c>
    </row>
    <row r="34" spans="2:2" ht="15">
      <c r="B34" s="46" t="s">
        <v>82</v>
      </c>
    </row>
    <row r="35" spans="2:2">
      <c r="B35" s="1" t="s">
        <v>83</v>
      </c>
    </row>
    <row r="36" spans="2:2">
      <c r="B36" s="1" t="s">
        <v>84</v>
      </c>
    </row>
    <row r="37" spans="2:2">
      <c r="B37" s="1" t="s">
        <v>85</v>
      </c>
    </row>
    <row r="39" spans="2:2" ht="15">
      <c r="B39" s="46" t="s">
        <v>86</v>
      </c>
    </row>
    <row r="40" spans="2:2">
      <c r="B40" s="1" t="s">
        <v>87</v>
      </c>
    </row>
    <row r="42" spans="2:2" ht="15">
      <c r="B42" s="46" t="s">
        <v>88</v>
      </c>
    </row>
    <row r="43" spans="2:2">
      <c r="B43" s="1" t="s">
        <v>89</v>
      </c>
    </row>
    <row r="44" spans="2:2">
      <c r="B44" s="1" t="s">
        <v>90</v>
      </c>
    </row>
    <row r="46" spans="2:2" ht="18">
      <c r="B46" s="44" t="s">
        <v>91</v>
      </c>
    </row>
  </sheetData>
  <hyperlinks>
    <hyperlink ref="C7" r:id="rId1"/>
    <hyperlink ref="B46" r:id="rId2" tooltip="Go to Vertex42.com"/>
    <hyperlink ref="C13" r:id="rId3"/>
  </hyperlinks>
  <pageMargins left="0.7" right="0.7" top="0.75" bottom="0.75" header="0.3" footer="0.3"/>
  <pageSetup scale="93" orientation="portrait"/>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94"/>
  <sheetViews>
    <sheetView showGridLines="0" workbookViewId="0"/>
  </sheetViews>
  <sheetFormatPr defaultColWidth="8.85546875" defaultRowHeight="12.75"/>
  <cols>
    <col min="1" max="1" width="5.5703125" style="1" customWidth="1"/>
    <col min="2" max="2" width="90.42578125" style="1" customWidth="1"/>
    <col min="3" max="3" width="16.42578125" style="1" customWidth="1"/>
    <col min="4" max="16384" width="8.85546875" style="1"/>
  </cols>
  <sheetData>
    <row r="1" spans="1:3" ht="30" customHeight="1">
      <c r="A1" s="2" t="s">
        <v>92</v>
      </c>
      <c r="B1" s="15"/>
    </row>
    <row r="2" spans="1:3" ht="14.25">
      <c r="A2" s="16" t="s">
        <v>64</v>
      </c>
      <c r="B2" s="17"/>
    </row>
    <row r="3" spans="1:3">
      <c r="B3" s="17"/>
    </row>
    <row r="4" spans="1:3" ht="18">
      <c r="A4" s="18" t="s">
        <v>93</v>
      </c>
      <c r="B4" s="19"/>
    </row>
    <row r="5" spans="1:3" ht="57">
      <c r="B5" s="20" t="s">
        <v>94</v>
      </c>
    </row>
    <row r="7" spans="1:3" ht="28.5">
      <c r="B7" s="20" t="s">
        <v>95</v>
      </c>
    </row>
    <row r="9" spans="1:3" ht="14.25">
      <c r="B9" s="16" t="s">
        <v>96</v>
      </c>
    </row>
    <row r="11" spans="1:3" ht="28.5">
      <c r="B11" s="21" t="s">
        <v>97</v>
      </c>
    </row>
    <row r="13" spans="1:3" ht="18">
      <c r="A13" s="113" t="s">
        <v>98</v>
      </c>
      <c r="B13" s="113"/>
    </row>
    <row r="15" spans="1:3" s="14" customFormat="1" ht="18">
      <c r="A15" s="22"/>
      <c r="B15" s="23" t="s">
        <v>99</v>
      </c>
    </row>
    <row r="16" spans="1:3" s="14" customFormat="1" ht="18">
      <c r="A16" s="22"/>
      <c r="B16" s="23" t="s">
        <v>100</v>
      </c>
      <c r="C16" s="24" t="s">
        <v>101</v>
      </c>
    </row>
    <row r="17" spans="1:3" ht="18">
      <c r="A17" s="25"/>
      <c r="B17" s="23" t="s">
        <v>102</v>
      </c>
    </row>
    <row r="18" spans="1:3" ht="18">
      <c r="A18" s="25"/>
      <c r="B18" s="23" t="s">
        <v>103</v>
      </c>
    </row>
    <row r="19" spans="1:3" ht="18">
      <c r="A19" s="25"/>
      <c r="B19" s="23" t="s">
        <v>104</v>
      </c>
    </row>
    <row r="20" spans="1:3" s="14" customFormat="1" ht="18">
      <c r="A20" s="22"/>
      <c r="B20" s="23" t="s">
        <v>105</v>
      </c>
      <c r="C20" s="26" t="s">
        <v>106</v>
      </c>
    </row>
    <row r="21" spans="1:3" ht="18">
      <c r="A21" s="25"/>
      <c r="B21" s="23" t="s">
        <v>107</v>
      </c>
    </row>
    <row r="22" spans="1:3" ht="18">
      <c r="A22" s="25"/>
      <c r="B22" s="27" t="s">
        <v>108</v>
      </c>
    </row>
    <row r="23" spans="1:3" ht="18">
      <c r="A23" s="25"/>
      <c r="B23" s="28"/>
    </row>
    <row r="24" spans="1:3" ht="18">
      <c r="A24" s="113" t="s">
        <v>109</v>
      </c>
      <c r="B24" s="113"/>
    </row>
    <row r="25" spans="1:3" ht="43.5">
      <c r="A25" s="25"/>
      <c r="B25" s="23" t="s">
        <v>110</v>
      </c>
    </row>
    <row r="26" spans="1:3" ht="18">
      <c r="A26" s="25"/>
      <c r="B26" s="23"/>
    </row>
    <row r="27" spans="1:3" ht="18">
      <c r="A27" s="25"/>
      <c r="B27" s="29" t="s">
        <v>111</v>
      </c>
    </row>
    <row r="28" spans="1:3" ht="18">
      <c r="A28" s="25"/>
      <c r="B28" s="23" t="s">
        <v>112</v>
      </c>
    </row>
    <row r="29" spans="1:3" ht="28.5">
      <c r="A29" s="25"/>
      <c r="B29" s="23" t="s">
        <v>113</v>
      </c>
    </row>
    <row r="30" spans="1:3" ht="18">
      <c r="A30" s="25"/>
      <c r="B30" s="23"/>
    </row>
    <row r="31" spans="1:3" ht="18">
      <c r="A31" s="25"/>
      <c r="B31" s="29" t="s">
        <v>114</v>
      </c>
    </row>
    <row r="32" spans="1:3" ht="18">
      <c r="A32" s="25"/>
      <c r="B32" s="23" t="s">
        <v>115</v>
      </c>
    </row>
    <row r="33" spans="1:2" ht="18">
      <c r="A33" s="25"/>
      <c r="B33" s="23" t="s">
        <v>116</v>
      </c>
    </row>
    <row r="34" spans="1:2" ht="18">
      <c r="A34" s="25"/>
      <c r="B34" s="28"/>
    </row>
    <row r="35" spans="1:2" ht="28.5">
      <c r="A35" s="25"/>
      <c r="B35" s="23" t="s">
        <v>117</v>
      </c>
    </row>
    <row r="36" spans="1:2" ht="18">
      <c r="A36" s="25"/>
      <c r="B36" s="30" t="s">
        <v>118</v>
      </c>
    </row>
    <row r="37" spans="1:2" ht="18">
      <c r="A37" s="25"/>
      <c r="B37" s="28"/>
    </row>
    <row r="38" spans="1:2" ht="18">
      <c r="A38" s="113" t="s">
        <v>119</v>
      </c>
      <c r="B38" s="113"/>
    </row>
    <row r="39" spans="1:2" ht="28.5">
      <c r="B39" s="23" t="s">
        <v>120</v>
      </c>
    </row>
    <row r="41" spans="1:2" ht="14.25">
      <c r="B41" s="23" t="s">
        <v>121</v>
      </c>
    </row>
    <row r="43" spans="1:2" ht="28.5">
      <c r="B43" s="23" t="s">
        <v>122</v>
      </c>
    </row>
    <row r="45" spans="1:2" ht="28.5">
      <c r="B45" s="23" t="s">
        <v>123</v>
      </c>
    </row>
    <row r="46" spans="1:2">
      <c r="B46" s="31"/>
    </row>
    <row r="47" spans="1:2" ht="28.5">
      <c r="B47" s="23" t="s">
        <v>124</v>
      </c>
    </row>
    <row r="49" spans="1:2" ht="18">
      <c r="A49" s="113" t="s">
        <v>125</v>
      </c>
      <c r="B49" s="113"/>
    </row>
    <row r="50" spans="1:2" ht="28.5">
      <c r="B50" s="23" t="s">
        <v>126</v>
      </c>
    </row>
    <row r="52" spans="1:2" ht="14.25">
      <c r="A52" s="32" t="s">
        <v>127</v>
      </c>
      <c r="B52" s="23" t="s">
        <v>128</v>
      </c>
    </row>
    <row r="53" spans="1:2" ht="14.25">
      <c r="A53" s="32" t="s">
        <v>129</v>
      </c>
      <c r="B53" s="23" t="s">
        <v>130</v>
      </c>
    </row>
    <row r="54" spans="1:2" ht="14.25">
      <c r="A54" s="32" t="s">
        <v>131</v>
      </c>
      <c r="B54" s="23" t="s">
        <v>132</v>
      </c>
    </row>
    <row r="55" spans="1:2" ht="28.5">
      <c r="A55" s="21"/>
      <c r="B55" s="23" t="s">
        <v>133</v>
      </c>
    </row>
    <row r="56" spans="1:2" ht="28.5">
      <c r="A56" s="21"/>
      <c r="B56" s="23" t="s">
        <v>134</v>
      </c>
    </row>
    <row r="57" spans="1:2" ht="14.25">
      <c r="A57" s="32" t="s">
        <v>135</v>
      </c>
      <c r="B57" s="23" t="s">
        <v>136</v>
      </c>
    </row>
    <row r="58" spans="1:2" ht="14.25">
      <c r="A58" s="21"/>
      <c r="B58" s="23" t="s">
        <v>137</v>
      </c>
    </row>
    <row r="59" spans="1:2" ht="14.25">
      <c r="A59" s="21"/>
      <c r="B59" s="23" t="s">
        <v>138</v>
      </c>
    </row>
    <row r="60" spans="1:2" ht="14.25">
      <c r="A60" s="32" t="s">
        <v>139</v>
      </c>
      <c r="B60" s="23" t="s">
        <v>140</v>
      </c>
    </row>
    <row r="61" spans="1:2" ht="28.5">
      <c r="A61" s="21"/>
      <c r="B61" s="23" t="s">
        <v>141</v>
      </c>
    </row>
    <row r="62" spans="1:2" ht="14.25">
      <c r="A62" s="32" t="s">
        <v>142</v>
      </c>
      <c r="B62" s="23" t="s">
        <v>143</v>
      </c>
    </row>
    <row r="63" spans="1:2" ht="14.25">
      <c r="A63" s="33"/>
      <c r="B63" s="23" t="s">
        <v>144</v>
      </c>
    </row>
    <row r="64" spans="1:2">
      <c r="B64" s="34"/>
    </row>
    <row r="65" spans="1:2" ht="18">
      <c r="A65" s="113" t="s">
        <v>145</v>
      </c>
      <c r="B65" s="113"/>
    </row>
    <row r="66" spans="1:2" ht="42.75">
      <c r="B66" s="23" t="s">
        <v>146</v>
      </c>
    </row>
    <row r="68" spans="1:2" ht="18">
      <c r="A68" s="113" t="s">
        <v>147</v>
      </c>
      <c r="B68" s="113"/>
    </row>
    <row r="69" spans="1:2" ht="15">
      <c r="A69" s="35" t="s">
        <v>148</v>
      </c>
      <c r="B69" s="36" t="s">
        <v>149</v>
      </c>
    </row>
    <row r="70" spans="1:2" ht="28.5">
      <c r="A70" s="33"/>
      <c r="B70" s="37" t="s">
        <v>150</v>
      </c>
    </row>
    <row r="71" spans="1:2" ht="14.25">
      <c r="A71" s="33"/>
      <c r="B71" s="38"/>
    </row>
    <row r="72" spans="1:2" ht="15">
      <c r="A72" s="35" t="s">
        <v>148</v>
      </c>
      <c r="B72" s="36" t="s">
        <v>151</v>
      </c>
    </row>
    <row r="73" spans="1:2" ht="28.5">
      <c r="A73" s="33"/>
      <c r="B73" s="37" t="s">
        <v>152</v>
      </c>
    </row>
    <row r="74" spans="1:2" ht="14.25">
      <c r="A74" s="33"/>
      <c r="B74" s="38"/>
    </row>
    <row r="75" spans="1:2" ht="15">
      <c r="A75" s="35" t="s">
        <v>148</v>
      </c>
      <c r="B75" s="39" t="s">
        <v>153</v>
      </c>
    </row>
    <row r="76" spans="1:2" ht="42.75">
      <c r="A76" s="33"/>
      <c r="B76" s="20" t="s">
        <v>154</v>
      </c>
    </row>
    <row r="77" spans="1:2" ht="14.25">
      <c r="A77" s="33"/>
      <c r="B77" s="33"/>
    </row>
    <row r="78" spans="1:2" ht="15">
      <c r="A78" s="35" t="s">
        <v>148</v>
      </c>
      <c r="B78" s="39" t="s">
        <v>155</v>
      </c>
    </row>
    <row r="79" spans="1:2" ht="28.5">
      <c r="A79" s="33"/>
      <c r="B79" s="20" t="s">
        <v>156</v>
      </c>
    </row>
    <row r="80" spans="1:2" ht="14.25">
      <c r="A80" s="33"/>
      <c r="B80" s="33"/>
    </row>
    <row r="81" spans="1:2" ht="15">
      <c r="A81" s="35" t="s">
        <v>148</v>
      </c>
      <c r="B81" s="39" t="s">
        <v>157</v>
      </c>
    </row>
    <row r="82" spans="1:2" ht="14.25">
      <c r="A82" s="33"/>
      <c r="B82" s="40" t="s">
        <v>158</v>
      </c>
    </row>
    <row r="83" spans="1:2" ht="14.25">
      <c r="A83" s="33"/>
      <c r="B83" s="40" t="s">
        <v>159</v>
      </c>
    </row>
    <row r="84" spans="1:2" ht="14.25">
      <c r="A84" s="33"/>
      <c r="B84" s="40" t="s">
        <v>160</v>
      </c>
    </row>
    <row r="85" spans="1:2" ht="15">
      <c r="A85" s="33"/>
      <c r="B85" s="41"/>
    </row>
    <row r="86" spans="1:2" ht="15">
      <c r="A86" s="35" t="s">
        <v>148</v>
      </c>
      <c r="B86" s="39" t="s">
        <v>161</v>
      </c>
    </row>
    <row r="87" spans="1:2" ht="42.75">
      <c r="A87" s="33"/>
      <c r="B87" s="20" t="s">
        <v>162</v>
      </c>
    </row>
    <row r="88" spans="1:2" ht="14.25">
      <c r="A88" s="33"/>
      <c r="B88" s="102" t="s">
        <v>163</v>
      </c>
    </row>
    <row r="89" spans="1:2" ht="57">
      <c r="A89" s="33"/>
      <c r="B89" s="103" t="s">
        <v>164</v>
      </c>
    </row>
    <row r="90" spans="1:2" ht="14.25">
      <c r="A90" s="33"/>
      <c r="B90" s="33"/>
    </row>
    <row r="91" spans="1:2" ht="15">
      <c r="A91" s="35" t="s">
        <v>148</v>
      </c>
      <c r="B91" s="39" t="s">
        <v>165</v>
      </c>
    </row>
    <row r="92" spans="1:2" ht="28.5">
      <c r="A92" s="21"/>
      <c r="B92" s="40" t="s">
        <v>166</v>
      </c>
    </row>
    <row r="94" spans="1:2">
      <c r="A94" s="42" t="s">
        <v>167</v>
      </c>
    </row>
  </sheetData>
  <mergeCells count="6">
    <mergeCell ref="A68:B68"/>
    <mergeCell ref="A13:B13"/>
    <mergeCell ref="A24:B24"/>
    <mergeCell ref="A38:B38"/>
    <mergeCell ref="A49:B49"/>
    <mergeCell ref="A65:B65"/>
  </mergeCells>
  <hyperlinks>
    <hyperlink ref="B9" r:id="rId1"/>
    <hyperlink ref="A2" r:id="rId2"/>
    <hyperlink ref="B36" r:id="rId3"/>
  </hyperlinks>
  <pageMargins left="0.5" right="0.5" top="0.25" bottom="0.25" header="0.5" footer="0.5"/>
  <pageSetup orientation="portrait"/>
  <headerFooter alignWithMargins="0"/>
  <drawing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29"/>
  <sheetViews>
    <sheetView showGridLines="0" workbookViewId="0"/>
  </sheetViews>
  <sheetFormatPr defaultColWidth="8.85546875" defaultRowHeight="12.75"/>
  <cols>
    <col min="1" max="1" width="5.5703125" style="1" customWidth="1"/>
    <col min="2" max="2" width="82.140625" style="1" customWidth="1"/>
  </cols>
  <sheetData>
    <row r="1" spans="1:3" ht="30" customHeight="1">
      <c r="A1" s="2" t="s">
        <v>168</v>
      </c>
      <c r="B1" s="2"/>
    </row>
    <row r="2" spans="1:3" ht="15">
      <c r="B2" s="3"/>
    </row>
    <row r="3" spans="1:3" ht="15">
      <c r="A3" s="4"/>
      <c r="B3" s="5" t="s">
        <v>169</v>
      </c>
      <c r="C3" s="6"/>
    </row>
    <row r="4" spans="1:3" ht="14.25">
      <c r="A4" s="7"/>
      <c r="B4" s="8" t="s">
        <v>64</v>
      </c>
      <c r="C4" s="9"/>
    </row>
    <row r="5" spans="1:3" ht="15">
      <c r="A5" s="7"/>
      <c r="B5" s="10"/>
      <c r="C5" s="9"/>
    </row>
    <row r="6" spans="1:3" ht="15.75">
      <c r="A6" s="7"/>
      <c r="B6" s="11" t="s">
        <v>167</v>
      </c>
      <c r="C6" s="9"/>
    </row>
    <row r="7" spans="1:3" ht="15">
      <c r="A7" s="7"/>
      <c r="B7" s="10"/>
      <c r="C7" s="9"/>
    </row>
    <row r="8" spans="1:3" ht="30">
      <c r="A8" s="7"/>
      <c r="B8" s="10" t="s">
        <v>170</v>
      </c>
      <c r="C8" s="9"/>
    </row>
    <row r="9" spans="1:3" ht="15">
      <c r="A9" s="7"/>
      <c r="B9" s="10"/>
      <c r="C9" s="9"/>
    </row>
    <row r="10" spans="1:3" ht="46.5">
      <c r="A10" s="7"/>
      <c r="B10" s="10" t="s">
        <v>171</v>
      </c>
      <c r="C10" s="9"/>
    </row>
    <row r="11" spans="1:3" ht="15">
      <c r="A11" s="7"/>
      <c r="B11" s="10"/>
      <c r="C11" s="9"/>
    </row>
    <row r="12" spans="1:3" ht="45">
      <c r="A12" s="7"/>
      <c r="B12" s="10" t="s">
        <v>172</v>
      </c>
      <c r="C12" s="9"/>
    </row>
    <row r="13" spans="1:3" ht="15">
      <c r="A13" s="7"/>
      <c r="B13" s="10"/>
      <c r="C13" s="9"/>
    </row>
    <row r="14" spans="1:3" ht="60">
      <c r="A14" s="7"/>
      <c r="B14" s="10" t="s">
        <v>173</v>
      </c>
      <c r="C14" s="9"/>
    </row>
    <row r="15" spans="1:3" ht="15">
      <c r="A15" s="7"/>
      <c r="B15" s="10"/>
      <c r="C15" s="9"/>
    </row>
    <row r="16" spans="1:3" ht="30.75">
      <c r="A16" s="7"/>
      <c r="B16" s="10" t="s">
        <v>174</v>
      </c>
      <c r="C16" s="9"/>
    </row>
    <row r="17" spans="1:3" ht="15">
      <c r="A17" s="7"/>
      <c r="B17" s="10"/>
      <c r="C17" s="9"/>
    </row>
    <row r="18" spans="1:3" ht="15.75">
      <c r="A18" s="7"/>
      <c r="B18" s="11" t="s">
        <v>175</v>
      </c>
      <c r="C18" s="9"/>
    </row>
    <row r="19" spans="1:3" ht="15">
      <c r="A19" s="7"/>
      <c r="B19" s="12" t="s">
        <v>176</v>
      </c>
      <c r="C19" s="9"/>
    </row>
    <row r="20" spans="1:3" ht="15">
      <c r="A20" s="7"/>
      <c r="B20" s="13"/>
      <c r="C20" s="9"/>
    </row>
    <row r="21" spans="1:3">
      <c r="A21" s="7"/>
      <c r="B21" s="7"/>
      <c r="C21" s="9"/>
    </row>
    <row r="22" spans="1:3">
      <c r="A22" s="7"/>
      <c r="B22" s="7"/>
      <c r="C22" s="9"/>
    </row>
    <row r="23" spans="1:3">
      <c r="A23" s="7"/>
      <c r="B23" s="7"/>
      <c r="C23" s="9"/>
    </row>
    <row r="24" spans="1:3">
      <c r="A24" s="7"/>
      <c r="B24" s="7"/>
      <c r="C24" s="9"/>
    </row>
    <row r="25" spans="1:3">
      <c r="A25" s="7"/>
      <c r="B25" s="7"/>
      <c r="C25" s="9"/>
    </row>
    <row r="26" spans="1:3">
      <c r="A26" s="7"/>
      <c r="B26" s="7"/>
      <c r="C26" s="9"/>
    </row>
    <row r="27" spans="1:3">
      <c r="A27" s="7"/>
      <c r="B27" s="7"/>
      <c r="C27" s="9"/>
    </row>
    <row r="28" spans="1:3">
      <c r="A28" s="7"/>
      <c r="B28" s="7"/>
      <c r="C28" s="9"/>
    </row>
    <row r="29" spans="1:3">
      <c r="A29" s="7"/>
      <c r="B29" s="7"/>
      <c r="C29" s="9"/>
    </row>
  </sheetData>
  <hyperlinks>
    <hyperlink ref="B4" r:id="rId1"/>
    <hyperlink ref="B19" r:id="rId2"/>
  </hyperlinks>
  <pageMargins left="0.7" right="0.7" top="0.75" bottom="0.75" header="0.3" footer="0.3"/>
  <pageSetup orientation="portrait"/>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GanttChart</vt:lpstr>
      <vt:lpstr>GanttChartPro</vt:lpstr>
      <vt:lpstr>Help</vt:lpstr>
      <vt:lpstr>TermsOfUse</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BC</cp:lastModifiedBy>
  <cp:lastPrinted>2025-11-24T02:54:00Z</cp:lastPrinted>
  <dcterms:created xsi:type="dcterms:W3CDTF">2010-06-09T16:05:00Z</dcterms:created>
  <dcterms:modified xsi:type="dcterms:W3CDTF">2025-12-20T04:22:06Z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8BC01C34AA7C4290B4DBEC7AD5B576BD_12</vt:lpwstr>
  </property>
  <property fmtid="{D5CDD505-2E9C-101B-9397-08002B2CF9AE}" pid="6" name="KSOProductBuildVer">
    <vt:lpwstr>1033-12.2.0.23155</vt:lpwstr>
  </property>
</Properties>
</file>
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20490" windowHeight="7020"/>
  </bookViews>
  <sheets>
    <sheet name="GanttChart" sheetId="9" r:id="rId1"/>
    <sheet name="GanttChartPro" sheetId="12" r:id="rId2"/>
    <sheet name="Help" sheetId="6" r:id="rId3"/>
    <sheet name="TermsOfUse" sheetId="11" r:id="rId4"/>
  </sheets>
  <definedNames>
    <definedName name="prevWBS" localSheetId="0">GanttChart!$A1048576</definedName>
    <definedName name="_xlnm.Print_Area" localSheetId="0">GanttChart!$A$1:$BN$61</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9" l="1"/>
  <c r="I14" i="9" s="1"/>
  <c r="A14" i="9"/>
  <c r="F13" i="9"/>
  <c r="I13" i="9" s="1"/>
  <c r="A13" i="9"/>
  <c r="F12" i="9"/>
  <c r="I12" i="9" s="1"/>
  <c r="F11" i="9"/>
  <c r="I11" i="9" s="1"/>
  <c r="F10" i="9"/>
  <c r="A54" i="9"/>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F93" i="9"/>
  <c r="F92" i="9"/>
  <c r="I92" i="9" s="1"/>
  <c r="F91" i="9"/>
  <c r="F90" i="9"/>
  <c r="F89" i="9"/>
  <c r="F88" i="9"/>
  <c r="F87" i="9"/>
  <c r="F86" i="9"/>
  <c r="I86" i="9" s="1"/>
  <c r="F85" i="9"/>
  <c r="F84" i="9"/>
  <c r="F83" i="9"/>
  <c r="I83" i="9" s="1"/>
  <c r="F82" i="9"/>
  <c r="I82" i="9" s="1"/>
  <c r="F81" i="9"/>
  <c r="I81" i="9" s="1"/>
  <c r="F80" i="9"/>
  <c r="I80" i="9" s="1"/>
  <c r="F79" i="9"/>
  <c r="I79" i="9" s="1"/>
  <c r="F78" i="9"/>
  <c r="I78" i="9" s="1"/>
  <c r="F77" i="9"/>
  <c r="I77" i="9" s="1"/>
  <c r="F76" i="9"/>
  <c r="I76" i="9" s="1"/>
  <c r="F75" i="9"/>
  <c r="I75" i="9" s="1"/>
  <c r="F74" i="9"/>
  <c r="I74" i="9" s="1"/>
  <c r="F73" i="9"/>
  <c r="I73" i="9" s="1"/>
  <c r="F72" i="9"/>
  <c r="I72" i="9" s="1"/>
  <c r="F71" i="9"/>
  <c r="I71" i="9" s="1"/>
  <c r="F70" i="9"/>
  <c r="I70" i="9" s="1"/>
  <c r="F69" i="9"/>
  <c r="I69" i="9" s="1"/>
  <c r="F68" i="9"/>
  <c r="I68" i="9" s="1"/>
  <c r="F67" i="9"/>
  <c r="I67" i="9" s="1"/>
  <c r="F66" i="9"/>
  <c r="I66" i="9" s="1"/>
  <c r="F65" i="9"/>
  <c r="I65" i="9" s="1"/>
  <c r="F64" i="9"/>
  <c r="I64" i="9" s="1"/>
  <c r="F63" i="9"/>
  <c r="I63" i="9" s="1"/>
  <c r="F62" i="9"/>
  <c r="I62" i="9" s="1"/>
  <c r="F61" i="9"/>
  <c r="I61" i="9" s="1"/>
  <c r="F60" i="9"/>
  <c r="I60" i="9" s="1"/>
  <c r="F59" i="9"/>
  <c r="I59" i="9" s="1"/>
  <c r="F58" i="9"/>
  <c r="I58" i="9" s="1"/>
  <c r="F57" i="9"/>
  <c r="I57" i="9" s="1"/>
  <c r="F56" i="9"/>
  <c r="I56" i="9" s="1"/>
  <c r="F55" i="9"/>
  <c r="I55" i="9" s="1"/>
  <c r="F54" i="9"/>
  <c r="I54" i="9" s="1"/>
  <c r="I10" i="9"/>
  <c r="F9" i="9"/>
  <c r="I9" i="9" s="1"/>
  <c r="F8" i="9"/>
  <c r="I8" i="9" s="1"/>
  <c r="A8" i="9"/>
  <c r="A9" i="9" s="1"/>
  <c r="A10" i="9" s="1"/>
  <c r="A11" i="9" s="1"/>
  <c r="A12" i="9" s="1"/>
  <c r="K6" i="9"/>
  <c r="L6" i="9" s="1"/>
  <c r="M6" i="9" l="1"/>
  <c r="L7" i="9"/>
  <c r="K4" i="9"/>
  <c r="K5" i="9"/>
  <c r="K7" i="9"/>
  <c r="N6" i="9" l="1"/>
  <c r="M7" i="9"/>
  <c r="O6" i="9" l="1"/>
  <c r="N7" i="9"/>
  <c r="P6" i="9" l="1"/>
  <c r="O7" i="9"/>
  <c r="Q6" i="9" l="1"/>
  <c r="P7" i="9"/>
  <c r="Q7" i="9" l="1"/>
  <c r="R6" i="9"/>
  <c r="R7" i="9" l="1"/>
  <c r="R5" i="9"/>
  <c r="S6" i="9"/>
  <c r="R4" i="9"/>
  <c r="S7" i="9" l="1"/>
  <c r="T6" i="9"/>
  <c r="U6" i="9" l="1"/>
  <c r="T7" i="9"/>
  <c r="V6" i="9" l="1"/>
  <c r="U7" i="9"/>
  <c r="W6" i="9" l="1"/>
  <c r="V7" i="9"/>
  <c r="X6" i="9" l="1"/>
  <c r="W7" i="9"/>
  <c r="Y6" i="9" l="1"/>
  <c r="X7" i="9"/>
  <c r="Y7" i="9" l="1"/>
  <c r="Y5" i="9"/>
  <c r="Y4" i="9"/>
  <c r="Z6" i="9"/>
  <c r="Z7" i="9" l="1"/>
  <c r="AA6" i="9"/>
  <c r="AA7" i="9" l="1"/>
  <c r="AB6" i="9"/>
  <c r="AC6" i="9" l="1"/>
  <c r="AB7" i="9"/>
  <c r="AD6" i="9" l="1"/>
  <c r="AC7" i="9"/>
  <c r="AD7" i="9" l="1"/>
  <c r="AE6" i="9"/>
  <c r="AF6" i="9" l="1"/>
  <c r="AE7" i="9"/>
  <c r="AG6" i="9" l="1"/>
  <c r="AF7" i="9"/>
  <c r="AF5" i="9"/>
  <c r="AF4" i="9"/>
  <c r="AG7" i="9" l="1"/>
  <c r="AH6" i="9"/>
  <c r="AI6" i="9" l="1"/>
  <c r="AH7" i="9"/>
  <c r="AJ6" i="9" l="1"/>
  <c r="AI7" i="9"/>
  <c r="AK6" i="9" l="1"/>
  <c r="AJ7" i="9"/>
  <c r="AK7" i="9" l="1"/>
  <c r="AL6" i="9"/>
  <c r="AL7" i="9" l="1"/>
  <c r="AM6" i="9"/>
  <c r="AN6" i="9" l="1"/>
  <c r="AM7" i="9"/>
  <c r="AM5" i="9"/>
  <c r="AM4" i="9"/>
  <c r="AO6" i="9" l="1"/>
  <c r="AN7" i="9"/>
  <c r="AP6" i="9" l="1"/>
  <c r="AO7" i="9"/>
  <c r="AP7" i="9" l="1"/>
  <c r="AQ6" i="9"/>
  <c r="AR6" i="9" l="1"/>
  <c r="AQ7" i="9"/>
  <c r="AS6" i="9" l="1"/>
  <c r="AR7" i="9"/>
  <c r="AS7" i="9" l="1"/>
  <c r="AT6" i="9"/>
  <c r="AT7" i="9" l="1"/>
  <c r="AT4" i="9"/>
  <c r="AU6" i="9"/>
  <c r="AT5" i="9"/>
  <c r="AV6" i="9" l="1"/>
  <c r="AU7" i="9"/>
  <c r="AW6" i="9" l="1"/>
  <c r="AV7" i="9"/>
  <c r="AW7" i="9" l="1"/>
  <c r="AX6" i="9"/>
  <c r="AX7" i="9" l="1"/>
  <c r="AY6" i="9"/>
  <c r="AZ6" i="9" l="1"/>
  <c r="AY7" i="9"/>
  <c r="BA6" i="9" l="1"/>
  <c r="AZ7" i="9"/>
  <c r="BB6" i="9" l="1"/>
  <c r="BA7" i="9"/>
  <c r="BA5" i="9"/>
  <c r="BA4" i="9"/>
  <c r="BB7" i="9" l="1"/>
  <c r="BC6" i="9"/>
  <c r="BD6" i="9" l="1"/>
  <c r="BC7" i="9"/>
  <c r="BE6" i="9" l="1"/>
  <c r="BD7" i="9"/>
  <c r="BE7" i="9" l="1"/>
  <c r="BF6" i="9"/>
  <c r="BF7" i="9" l="1"/>
  <c r="BG6" i="9"/>
  <c r="BH6" i="9" l="1"/>
  <c r="BG7" i="9"/>
  <c r="BH4" i="9" l="1"/>
  <c r="BI6" i="9"/>
  <c r="BH7" i="9"/>
  <c r="BH5" i="9"/>
  <c r="BJ6" i="9" l="1"/>
  <c r="BI7" i="9"/>
  <c r="BJ7" i="9" l="1"/>
  <c r="BK6" i="9"/>
  <c r="BL6" i="9" l="1"/>
  <c r="BK7" i="9"/>
  <c r="BM6" i="9" l="1"/>
  <c r="BL7" i="9"/>
  <c r="BM7" i="9" l="1"/>
  <c r="BN6" i="9"/>
  <c r="BN7" i="9" s="1"/>
</calcChain>
</file>

<file path=xl/comments1.xml><?xml version="1.0" encoding="utf-8"?>
<comments xmlns="http://schemas.openxmlformats.org/spreadsheetml/2006/main">
  <authors>
    <author>Vertex42</author>
    <author>Vertex42.com Templates</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r>
          <rPr>
            <b/>
            <sz val="9"/>
            <rFont val="Tahoma"/>
            <charset val="134"/>
          </rPr>
          <t xml:space="preserve">Predecessor Tasks:
</t>
        </r>
        <r>
          <rPr>
            <sz val="9"/>
            <rFont val="Tahoma"/>
            <charset val="134"/>
          </rPr>
          <t>You can use this column to enter the WBS of a predecessor for reference. The PRO version uses formulas to automatically calculate the Start Date based on the Predecessor.</t>
        </r>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<sst xmlns="http://schemas.openxmlformats.org/spreadsheetml/2006/main" count="229" uniqueCount="183">
  <si>
    <t>RICEF BY LEUWITEX</t>
  </si>
  <si>
    <t xml:space="preserve">Project Start Date </t>
  </si>
  <si>
    <t xml:space="preserve">Display Week </t>
  </si>
  <si>
    <t xml:space="preserve">Project Lead </t>
  </si>
  <si>
    <t>Billy</t>
  </si>
  <si>
    <t>WBS</t>
  </si>
  <si>
    <t>TASK</t>
  </si>
  <si>
    <t>PIC</t>
  </si>
  <si>
    <t>PREDECESSOR</t>
  </si>
  <si>
    <t>START</t>
  </si>
  <si>
    <t>END</t>
  </si>
  <si>
    <t>DAYS</t>
  </si>
  <si>
    <t>% DONE</t>
  </si>
  <si>
    <t>WORK DAYS</t>
  </si>
  <si>
    <t>Billy, Baim, Budi</t>
  </si>
  <si>
    <t>Report</t>
  </si>
  <si>
    <t>REPORT - WM - MOVING HISTORY - GUDANG GREY</t>
  </si>
  <si>
    <t>Billy, Baim</t>
  </si>
  <si>
    <t>REPORT - WM - STOCK PER BARCODE</t>
  </si>
  <si>
    <t>Baim</t>
  </si>
  <si>
    <t>REPORT - WM - LAPORAN PERSEDIAAN GUDANG PACKING</t>
  </si>
  <si>
    <t>Budi</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</si>
  <si>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</si>
  <si>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</si>
  <si>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</si>
  <si>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</si>
  <si>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</si>
  <si>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</si>
  <si>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</si>
  <si>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</si>
  <si>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</si>
  <si>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</si>
  <si>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</si>
  <si>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</si>
  <si>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</si>
  <si>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</si>
  <si>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</si>
  <si>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</si>
  <si>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</si>
  <si>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</si>
  <si>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</si>
  <si>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</si>
  <si>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</si>
  <si>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</si>
  <si>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</si>
  <si>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</si>
  <si>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</si>
  <si>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</si>
  <si>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</si>
  <si>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</si>
  <si>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</si>
  <si>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</si>
  <si>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</si>
  <si>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</si>
  <si>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</si>
  <si>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</si>
  <si>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</si>
  <si>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</si>
  <si>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</si>
  <si>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</si>
  <si>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</si>
  <si>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</si>
  <si>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</si>
  <si>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</si>
  <si>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</si>
  <si>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</si>
  <si>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</si>
  <si>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</si>
  <si>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</si>
  <si>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</si>
  <si>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</si>
  <si>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</si>
  <si>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</si>
  <si>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</si>
  <si>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</si>
  <si>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</si>
  <si>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</si>
  <si>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</si>
  <si>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</si>
  <si>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</si>
  <si>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</si>
  <si>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</si>
  <si>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</si>
  <si>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</si>
  <si>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</si>
  <si>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</si>
  <si>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</si>
  <si>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</si>
  <si>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</si>
  <si>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</si>
  <si>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</si>
  <si>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</si>
  <si>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</si>
  <si>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</si>
  <si>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</si>
  <si>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</si>
  <si>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</si>
  <si>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</si>
  <si>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</si>
  <si>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</si>
  <si>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</si>
  <si>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</si>
  <si>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</si>
  <si>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</si>
  <si>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</si>
  <si>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</si>
  <si>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</si>
  <si>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</si>
  <si>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</si>
  <si>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</si>
  <si>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</si>
  <si>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</si>
  <si>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</si>
  <si>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</si>
  <si>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</si>
  <si>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</si>
  <si>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</si>
  <si>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</si>
  <si>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</si>
  <si>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</si>
  <si>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</si>
  <si>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</si>
  <si>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</si>
  <si>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</si>
  <si>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</si>
  <si>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</si>
  <si>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</si>
  <si>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</si>
  <si>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</si>
  <si>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</si>
  <si>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</si>
  <si>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</si>
  <si>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</si>
  <si>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</si>
  <si>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</si>
  <si>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</si>
  <si>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</si>
  <si>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</si>
  <si>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</si>
  <si>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</si>
  <si>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</si>
  <si>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</si>
  <si>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</si>
  <si>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</si>
  <si>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</si>
  <si>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</si>
  <si>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</si>
  <si>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</si>
  <si>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</si>
  <si>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</si>
  <si>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</si>
  <si>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</si>
  <si>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</si>
  <si>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</si>
  <si>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</si>
  <si>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</si>
  <si>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</si>
  <si>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</si>
  <si>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</si>
  <si>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</si>
  <si>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</si>
  <si>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</si>
  <si>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</si>
  <si>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</si>
  <si>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</si>
  <si>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</si>
  <si>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</si>
  <si>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</si>
  <si>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</si>
  <si>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</si>
  <si>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</si>
  <si>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</si>
  <si>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</si>
  <si>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</si>
  <si>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</si>
  <si>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</si>
  <si>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Install Eclipse, Adobe lifecycle di PC</t>
  </si>
  <si>
    <t>BEFORE UAT</t>
  </si>
  <si>
    <t>Tanya2 ke SOLTIUS tentang SAP</t>
  </si>
  <si>
    <t>Integrasi API SAP ke Print Barcode Internal</t>
  </si>
  <si>
    <t>Integrasi API SAP untuk Bea Cukai</t>
  </si>
  <si>
    <t>Mapping IT Inventory</t>
  </si>
  <si>
    <t>Modifikasi Form Invoice (Barang Bekas, Avfal, BS, Maklon, Masker)</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</si>
</sst>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6" formatCode="m/d/yyyy\ \(dddd\)"/>
    <numFmt numFmtId="167" formatCode="ddd\ m/dd/yy"/>
    <numFmt numFmtId="168" formatCode="d\ mmm\ yyyy"/>
    <numFmt numFmtId="169" formatCode="d"/>
  </numFmts>
  <fonts count="49">
    <font>
      <sz val="10"/>
      <name val="Arial"/>
      <charset val="134"/>
    </font>
    <font>
      <sz val="10"/>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9"/>
      <name val="Arial"/>
      <charset val="134"/>
      <scheme val="minor"/>
    </font>
    <font>
      <sz val="16"/>
      <color theme="4" tint="-0.249977111117893"/>
      <name val="Arial"/>
      <charset val="134"/>
      <scheme val="major"/>
    </font>
    <font>
      <sz val="14"/>
      <color indexed="56"/>
      <name val="Arial"/>
      <charset val="134"/>
    </font>
    <font>
      <sz val="11"/>
      <name val="Arial"/>
      <charset val="134"/>
      <scheme val="major"/>
    </font>
    <font>
      <sz val="9"/>
      <name val="Arial"/>
      <charset val="134"/>
    </font>
    <font>
      <u/>
      <sz val="8"/>
      <color indexed="12"/>
      <name val="Arial"/>
      <charset val="134"/>
    </font>
    <font>
      <sz val="7"/>
      <color indexed="55"/>
      <name val="Arial"/>
      <charset val="134"/>
    </font>
    <font>
      <sz val="10"/>
      <name val="Arial"/>
      <charset val="134"/>
      <scheme val="major"/>
    </font>
    <font>
      <sz val="10"/>
      <name val="Arial"/>
      <charset val="134"/>
      <scheme val="minor"/>
    </font>
    <font>
      <sz val="10"/>
      <name val="Arial"/>
      <charset val="134"/>
      <scheme val="major"/>
    </font>
    <font>
      <b/>
      <sz val="9"/>
      <name val="Arial"/>
      <charset val="134"/>
      <scheme val="major"/>
    </font>
    <font>
      <b/>
      <sz val="8"/>
      <name val="Arial"/>
      <charset val="134"/>
      <scheme val="major"/>
    </font>
    <font>
      <b/>
      <sz val="11"/>
      <name val="Arial"/>
      <charset val="134"/>
      <scheme val="minor"/>
    </font>
    <font>
      <sz val="9"/>
      <color rgb="FF000000"/>
      <name val="Arial"/>
      <charset val="134"/>
      <scheme val="minor"/>
    </font>
    <font>
      <sz val="11"/>
      <color indexed="8"/>
      <name val="Calibri"/>
      <charset val="134"/>
    </font>
    <font>
      <i/>
      <sz val="8"/>
      <color theme="0" tint="-0.34998626667073579"/>
      <name val="Arial"/>
      <charset val="134"/>
    </font>
    <font>
      <u/>
      <sz val="10"/>
      <color indexed="12"/>
      <name val="Arial"/>
      <charset val="134"/>
    </font>
    <font>
      <sz val="11"/>
      <name val="Arial"/>
      <charset val="134"/>
      <scheme val="minor"/>
    </font>
    <font>
      <sz val="14"/>
      <name val="Arial"/>
      <charset val="134"/>
      <scheme val="minor"/>
    </font>
    <font>
      <sz val="14"/>
      <color rgb="FF000000"/>
      <name val="Arial"/>
      <charset val="134"/>
      <scheme val="minor"/>
    </font>
    <font>
      <i/>
      <sz val="11"/>
      <name val="Arial"/>
      <charset val="134"/>
    </font>
    <font>
      <i/>
      <sz val="11"/>
      <color rgb="FF000000"/>
      <name val="Arial"/>
      <charset val="134"/>
    </font>
    <font>
      <b/>
      <sz val="11"/>
      <color rgb="FFFF0000"/>
      <name val="Arial"/>
      <charset val="134"/>
    </font>
    <font>
      <sz val="9"/>
      <name val="Tahoma"/>
      <charset val="134"/>
    </font>
    <font>
      <b/>
      <sz val="9"/>
      <name val="Tahoma"/>
      <charset val="134"/>
    </font>
    <font>
      <i/>
      <sz val="9"/>
      <name val="Tahoma"/>
      <charset val="134"/>
    </font>
    <font>
      <b/>
      <i/>
      <sz val="9"/>
      <name val="Tahoma"/>
      <charset val="134"/>
    </font>
    <font>
      <sz val="8"/>
      <name val="Tahoma"/>
      <charset val="134"/>
    </font>
  </fonts>
  <fills count="7">
    <fill>
      <patternFill patternType="none"/>
    </fill>
    <fill>
      <patternFill patternType="gray125"/>
    </fill>
    <fill>
      <patternFill patternType="solid">
        <fgColor indexed="22"/>
        <bgColor indexed="64"/>
      </patternFill>
    </fill>
    <fill>
      <patternFill patternType="solid">
        <fgColor theme="3" tint="0.79995117038483843"/>
        <bgColor indexed="64"/>
      </patternFill>
    </fill>
    <fill>
      <patternFill patternType="solid">
        <fgColor theme="0" tint="-0.14996795556505021"/>
        <bgColor indexed="64"/>
      </patternFill>
    </fill>
    <fill>
      <patternFill patternType="solid">
        <fgColor indexed="9"/>
        <bgColor indexed="64"/>
      </patternFill>
    </fill>
    <fill>
      <patternFill patternType="solid">
        <fgColor theme="3" tint="0.79995117038483843"/>
        <bgColor rgb="FFD6F4D9"/>
      </patternFill>
    </fill>
  </fills>
  <borders count="15">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indexed="22"/>
      </top>
      <bottom style="thin">
        <color indexed="22"/>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right/>
      <top/>
      <bottom style="thin">
        <color indexed="22"/>
      </bottom>
      <diagonal/>
    </border>
    <border>
      <left/>
      <right/>
      <top style="thin">
        <color rgb="FFEFEFEF"/>
      </top>
      <bottom style="thin">
        <color rgb="FFEFEFEF"/>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diagonal/>
    </border>
    <border>
      <left style="thin">
        <color theme="0" tint="-0.24994659260841701"/>
      </left>
      <right style="medium">
        <color theme="0" tint="-0.24994659260841701"/>
      </right>
      <top/>
      <bottom style="medium">
        <color theme="0" tint="-0.34998626667073579"/>
      </bottom>
      <diagonal/>
    </border>
  </borders>
  <cellStyleXfs count="3">
    <xf numFmtId="0" fontId="0" fillId="0" borderId="0"/>
    <xf numFmtId="9" fontId="1" fillId="0" borderId="0" applyFont="0" applyFill="0" applyBorder="0" applyAlignment="0" applyProtection="0"/>
    <xf numFmtId="0" fontId="37" fillId="0" borderId="0" applyNumberFormat="0" applyFill="0" applyBorder="0" applyAlignment="0" applyProtection="0">
      <alignment vertical="top"/>
      <protection locked="0"/>
    </xf>
  </cellStyleXfs>
  <cellXfs count="114">
    <xf numFmtId="0" fontId="0" fillId="0" borderId="0" xfId="0"/>
    <xf numFmtId="0" fontId="1" fillId="0" borderId="0" xfId="0" applyFont="1"/>
    <xf numFmtId="0" fontId="2" fillId="0" borderId="0" xfId="0" applyFont="1" applyAlignment="1">
      <alignment horizontal="left" vertical="center"/>
    </xf>
    <xf numFmtId="0" fontId="3" fillId="0" borderId="0" xfId="0" applyFont="1" applyAlignment="1">
      <alignment horizontal="left" wrapText="1"/>
    </xf>
    <xf numFmtId="0" fontId="1" fillId="0" borderId="1" xfId="0" applyFont="1" applyBorder="1"/>
    <xf numFmtId="0" fontId="3" fillId="0" borderId="1" xfId="0" applyFont="1" applyBorder="1" applyAlignment="1">
      <alignment horizontal="left" wrapText="1"/>
    </xf>
    <xf numFmtId="0" fontId="0" fillId="0" borderId="1" xfId="0" applyBorder="1"/>
    <xf numFmtId="0" fontId="1" fillId="0" borderId="2" xfId="0" applyFont="1" applyBorder="1"/>
    <xf numFmtId="0" fontId="4" fillId="0" borderId="1" xfId="2" applyFont="1" applyBorder="1" applyAlignment="1" applyProtection="1">
      <alignment wrapText="1"/>
    </xf>
    <xf numFmtId="0" fontId="0" fillId="0" borderId="2" xfId="0" applyBorder="1"/>
    <xf numFmtId="0" fontId="3" fillId="0" borderId="2" xfId="0" applyFont="1" applyBorder="1" applyAlignment="1">
      <alignment horizontal="left" wrapText="1"/>
    </xf>
    <xf numFmtId="0" fontId="5" fillId="0" borderId="2" xfId="0" applyFont="1" applyBorder="1" applyAlignment="1">
      <alignment horizontal="left" wrapText="1"/>
    </xf>
    <xf numFmtId="0" fontId="6" fillId="0" borderId="2" xfId="2" applyFont="1" applyBorder="1" applyAlignment="1" applyProtection="1">
      <alignment horizontal="left" wrapText="1"/>
    </xf>
    <xf numFmtId="0" fontId="3" fillId="0" borderId="2" xfId="0" applyFont="1" applyBorder="1" applyAlignment="1">
      <alignment horizontal="left"/>
    </xf>
    <xf numFmtId="0" fontId="1" fillId="0" borderId="0" xfId="0" applyFont="1" applyAlignment="1">
      <alignment vertical="center"/>
    </xf>
    <xf numFmtId="0" fontId="7" fillId="0" borderId="0" xfId="0" applyFont="1" applyAlignment="1">
      <alignment horizontal="left" vertical="center"/>
    </xf>
    <xf numFmtId="0" fontId="4" fillId="0" borderId="0" xfId="2" applyFont="1" applyAlignment="1" applyProtection="1"/>
    <xf numFmtId="0" fontId="8" fillId="0" borderId="0" xfId="0" applyFont="1" applyAlignment="1">
      <alignment horizontal="right"/>
    </xf>
    <xf numFmtId="0" fontId="9" fillId="0" borderId="0" xfId="0" applyFont="1"/>
    <xf numFmtId="0" fontId="10" fillId="0" borderId="0" xfId="0" applyFont="1"/>
    <xf numFmtId="0" fontId="11" fillId="0" borderId="0" xfId="0" applyFont="1" applyAlignment="1">
      <alignment horizontal="left" wrapText="1"/>
    </xf>
    <xf numFmtId="0" fontId="11" fillId="0" borderId="0" xfId="0" applyFont="1" applyAlignment="1">
      <alignment wrapText="1"/>
    </xf>
    <xf numFmtId="0" fontId="12" fillId="0" borderId="0" xfId="0" applyFont="1" applyAlignment="1">
      <alignment vertical="center"/>
    </xf>
    <xf numFmtId="0" fontId="11" fillId="0" borderId="0" xfId="0" applyFont="1" applyAlignment="1">
      <alignment vertical="center" wrapText="1"/>
    </xf>
    <xf numFmtId="0" fontId="1" fillId="2" borderId="0" xfId="0" applyFont="1" applyFill="1" applyAlignment="1">
      <alignment horizontal="center" vertical="center"/>
    </xf>
    <xf numFmtId="0" fontId="12" fillId="0" borderId="0" xfId="0" applyFont="1"/>
    <xf numFmtId="0" fontId="1" fillId="3" borderId="0" xfId="0" applyFont="1" applyFill="1" applyAlignment="1">
      <alignment horizontal="center" vertical="center"/>
    </xf>
    <xf numFmtId="0" fontId="13" fillId="0" borderId="0" xfId="0" applyFont="1" applyAlignment="1">
      <alignment vertical="center" wrapText="1"/>
    </xf>
    <xf numFmtId="0" fontId="14" fillId="0" borderId="0" xfId="0" applyFont="1"/>
    <xf numFmtId="0" fontId="15" fillId="0" borderId="0" xfId="0" applyFont="1"/>
    <xf numFmtId="0" fontId="4" fillId="0" borderId="0" xfId="2" applyFont="1" applyFill="1" applyBorder="1" applyAlignment="1" applyProtection="1">
      <alignment vertical="center"/>
    </xf>
    <xf numFmtId="0" fontId="8" fillId="0" borderId="0" xfId="0" applyFont="1" applyAlignment="1">
      <alignment wrapText="1"/>
    </xf>
    <xf numFmtId="0" fontId="16" fillId="0" borderId="0" xfId="0" applyFont="1" applyAlignment="1">
      <alignment horizontal="right"/>
    </xf>
    <xf numFmtId="0" fontId="11" fillId="0" borderId="0" xfId="0" applyFont="1"/>
    <xf numFmtId="0" fontId="1" fillId="0" borderId="0" xfId="0" applyFont="1" applyAlignment="1">
      <alignment horizontal="left" wrapText="1" indent="1"/>
    </xf>
    <xf numFmtId="0" fontId="15" fillId="0" borderId="0" xfId="0" applyFont="1" applyAlignment="1">
      <alignment horizontal="right"/>
    </xf>
    <xf numFmtId="0" fontId="17" fillId="0" borderId="0" xfId="0" applyFont="1" applyAlignment="1">
      <alignment vertical="center" wrapText="1"/>
    </xf>
    <xf numFmtId="0" fontId="11" fillId="0" borderId="0" xfId="0" applyFont="1" applyAlignment="1">
      <alignment horizontal="left" vertical="center" wrapText="1"/>
    </xf>
    <xf numFmtId="0" fontId="11" fillId="0" borderId="0" xfId="0" applyFont="1" applyAlignment="1">
      <alignment horizontal="left" indent="1"/>
    </xf>
    <xf numFmtId="0" fontId="17" fillId="0" borderId="0" xfId="0" applyFont="1"/>
    <xf numFmtId="0" fontId="16" fillId="0" borderId="0" xfId="0" applyFont="1" applyAlignment="1">
      <alignment horizontal="left" wrapText="1"/>
    </xf>
    <xf numFmtId="0" fontId="18" fillId="0" borderId="0" xfId="0" applyFont="1" applyAlignment="1">
      <alignment horizontal="left" indent="1"/>
    </xf>
    <xf numFmtId="0" fontId="8" fillId="0" borderId="0" xfId="0" applyFont="1" applyAlignment="1">
      <alignment horizontal="left" vertical="center"/>
    </xf>
    <xf numFmtId="0" fontId="2" fillId="0" borderId="0" xfId="0" applyFont="1" applyAlignment="1">
      <alignment vertical="center"/>
    </xf>
    <xf numFmtId="0" fontId="19" fillId="0" borderId="0" xfId="2" applyFont="1" applyAlignment="1" applyProtection="1"/>
    <xf numFmtId="0" fontId="20" fillId="0" borderId="0" xfId="0" applyFont="1"/>
    <xf numFmtId="0" fontId="18" fillId="0" borderId="0" xfId="0" applyFont="1"/>
    <xf numFmtId="0" fontId="21" fillId="4" borderId="3" xfId="0" applyFont="1" applyFill="1" applyBorder="1" applyAlignment="1">
      <alignment vertical="center"/>
    </xf>
    <xf numFmtId="0" fontId="21" fillId="0" borderId="3" xfId="0" applyFont="1" applyBorder="1" applyAlignment="1">
      <alignment vertical="center"/>
    </xf>
    <xf numFmtId="0" fontId="22" fillId="0" borderId="0" xfId="0" applyFont="1" applyAlignment="1" applyProtection="1">
      <alignment vertical="center"/>
      <protection locked="0"/>
    </xf>
    <xf numFmtId="0" fontId="23" fillId="0" borderId="0" xfId="0" applyFont="1" applyAlignment="1" applyProtection="1">
      <alignment vertical="center"/>
      <protection locked="0"/>
    </xf>
    <xf numFmtId="0" fontId="24" fillId="0" borderId="0" xfId="0" applyFont="1" applyAlignment="1" applyProtection="1">
      <alignment vertical="center"/>
      <protection locked="0"/>
    </xf>
    <xf numFmtId="0" fontId="25" fillId="0" borderId="0" xfId="0" applyFont="1" applyProtection="1">
      <protection locked="0"/>
    </xf>
    <xf numFmtId="0" fontId="26" fillId="5" borderId="0" xfId="2" applyNumberFormat="1" applyFont="1" applyFill="1" applyAlignment="1" applyProtection="1">
      <alignment horizontal="right"/>
      <protection locked="0"/>
    </xf>
    <xf numFmtId="0" fontId="27" fillId="0" borderId="0" xfId="0" applyFont="1" applyProtection="1">
      <protection locked="0"/>
    </xf>
    <xf numFmtId="0" fontId="0" fillId="5" borderId="0" xfId="0" applyFill="1"/>
    <xf numFmtId="0" fontId="28" fillId="0" borderId="0" xfId="0" applyFont="1"/>
    <xf numFmtId="0" fontId="28" fillId="0" borderId="0" xfId="0" applyFont="1" applyAlignment="1">
      <alignment horizontal="right" vertical="center"/>
    </xf>
    <xf numFmtId="0" fontId="29" fillId="0" borderId="4" xfId="0" applyFont="1" applyBorder="1" applyAlignment="1" applyProtection="1">
      <alignment horizontal="center" vertical="center"/>
      <protection locked="0"/>
    </xf>
    <xf numFmtId="0" fontId="30" fillId="0" borderId="0" xfId="0" applyFont="1"/>
    <xf numFmtId="0" fontId="31" fillId="0" borderId="6" xfId="0" applyFont="1" applyBorder="1" applyAlignment="1">
      <alignment horizontal="left" vertical="center"/>
    </xf>
    <xf numFmtId="0" fontId="31" fillId="0" borderId="6" xfId="0" applyFont="1" applyBorder="1" applyAlignment="1">
      <alignment horizontal="center" vertical="center" wrapText="1"/>
    </xf>
    <xf numFmtId="0" fontId="32" fillId="0" borderId="6" xfId="0" applyFont="1" applyBorder="1" applyAlignment="1">
      <alignment horizontal="center" vertical="center" wrapText="1"/>
    </xf>
    <xf numFmtId="0" fontId="31" fillId="0" borderId="6" xfId="0" applyFont="1" applyBorder="1" applyAlignment="1">
      <alignment horizontal="center" vertical="center"/>
    </xf>
    <xf numFmtId="0" fontId="33" fillId="4" borderId="7" xfId="0" applyFont="1" applyFill="1" applyBorder="1" applyAlignment="1">
      <alignment horizontal="left" vertical="center"/>
    </xf>
    <xf numFmtId="0" fontId="33" fillId="4" borderId="7" xfId="0" applyFont="1" applyFill="1" applyBorder="1" applyAlignment="1">
      <alignment vertical="center"/>
    </xf>
    <xf numFmtId="0" fontId="21" fillId="4" borderId="7" xfId="0" applyFont="1" applyFill="1" applyBorder="1" applyAlignment="1">
      <alignment vertical="center"/>
    </xf>
    <xf numFmtId="0" fontId="21" fillId="4" borderId="7" xfId="0" applyFont="1" applyFill="1" applyBorder="1" applyAlignment="1">
      <alignment horizontal="center" vertical="center"/>
    </xf>
    <xf numFmtId="167" fontId="21" fillId="4" borderId="7" xfId="0" applyNumberFormat="1" applyFont="1" applyFill="1" applyBorder="1" applyAlignment="1">
      <alignment horizontal="right" vertical="center"/>
    </xf>
    <xf numFmtId="167" fontId="21" fillId="4" borderId="7" xfId="0" applyNumberFormat="1" applyFont="1" applyFill="1" applyBorder="1" applyAlignment="1">
      <alignment horizontal="center" vertical="center"/>
    </xf>
    <xf numFmtId="1" fontId="21" fillId="4" borderId="7" xfId="1" applyNumberFormat="1" applyFont="1" applyFill="1" applyBorder="1" applyAlignment="1" applyProtection="1">
      <alignment horizontal="center" vertical="center"/>
    </xf>
    <xf numFmtId="9" fontId="21" fillId="4" borderId="7" xfId="1" applyFont="1" applyFill="1" applyBorder="1" applyAlignment="1" applyProtection="1">
      <alignment horizontal="center" vertical="center"/>
    </xf>
    <xf numFmtId="0" fontId="21" fillId="0" borderId="3" xfId="0" applyFont="1" applyBorder="1" applyAlignment="1">
      <alignment horizontal="left" vertical="center"/>
    </xf>
    <xf numFmtId="0" fontId="21" fillId="0" borderId="3" xfId="0" applyFont="1" applyBorder="1" applyAlignment="1">
      <alignment vertical="center" wrapText="1"/>
    </xf>
    <xf numFmtId="0" fontId="34" fillId="0" borderId="8" xfId="0" applyFont="1" applyBorder="1" applyAlignment="1">
      <alignment horizontal="center" vertical="center"/>
    </xf>
    <xf numFmtId="167" fontId="34" fillId="6" borderId="8" xfId="0" applyNumberFormat="1" applyFont="1" applyFill="1" applyBorder="1" applyAlignment="1">
      <alignment horizontal="center" vertical="center"/>
    </xf>
    <xf numFmtId="167" fontId="34" fillId="0" borderId="8" xfId="0" applyNumberFormat="1" applyFont="1" applyBorder="1" applyAlignment="1">
      <alignment horizontal="center" vertical="center"/>
    </xf>
    <xf numFmtId="1" fontId="34" fillId="3" borderId="8" xfId="0" applyNumberFormat="1" applyFont="1" applyFill="1" applyBorder="1" applyAlignment="1">
      <alignment horizontal="center" vertical="center"/>
    </xf>
    <xf numFmtId="9" fontId="34" fillId="3" borderId="8" xfId="1" applyFont="1" applyFill="1" applyBorder="1" applyAlignment="1" applyProtection="1">
      <alignment horizontal="center" vertical="center"/>
    </xf>
    <xf numFmtId="0" fontId="33" fillId="4" borderId="3" xfId="0" applyFont="1" applyFill="1" applyBorder="1" applyAlignment="1">
      <alignment horizontal="left" vertical="center"/>
    </xf>
    <xf numFmtId="0" fontId="33" fillId="4" borderId="3" xfId="0" applyFont="1" applyFill="1" applyBorder="1" applyAlignment="1">
      <alignment vertical="center"/>
    </xf>
    <xf numFmtId="0" fontId="21" fillId="4" borderId="3" xfId="0" applyFont="1" applyFill="1" applyBorder="1" applyAlignment="1">
      <alignment horizontal="center" vertical="center"/>
    </xf>
    <xf numFmtId="167" fontId="21" fillId="4" borderId="3" xfId="0" applyNumberFormat="1" applyFont="1" applyFill="1" applyBorder="1" applyAlignment="1">
      <alignment horizontal="center" vertical="center"/>
    </xf>
    <xf numFmtId="1" fontId="21" fillId="4" borderId="3" xfId="1" applyNumberFormat="1" applyFont="1" applyFill="1" applyBorder="1" applyAlignment="1" applyProtection="1">
      <alignment horizontal="center" vertical="center"/>
    </xf>
    <xf numFmtId="9" fontId="21" fillId="4" borderId="3" xfId="1" applyFont="1" applyFill="1" applyBorder="1" applyAlignment="1" applyProtection="1">
      <alignment horizontal="center" vertical="center"/>
    </xf>
    <xf numFmtId="0" fontId="35" fillId="0" borderId="0" xfId="0" applyNumberFormat="1" applyFont="1" applyFill="1" applyBorder="1" applyAlignment="1" applyProtection="1">
      <alignment vertical="center" wrapText="1"/>
    </xf>
    <xf numFmtId="0" fontId="1" fillId="0" borderId="0" xfId="0" applyFont="1" applyAlignment="1">
      <alignment horizontal="right" vertical="center"/>
    </xf>
    <xf numFmtId="0" fontId="37" fillId="0" borderId="0" xfId="2" applyAlignment="1" applyProtection="1">
      <alignment horizontal="left"/>
    </xf>
    <xf numFmtId="169" fontId="8" fillId="0" borderId="9" xfId="0" applyNumberFormat="1" applyFont="1" applyBorder="1" applyAlignment="1">
      <alignment horizontal="center" vertical="center" shrinkToFit="1"/>
    </xf>
    <xf numFmtId="169" fontId="8" fillId="0" borderId="10" xfId="0" applyNumberFormat="1" applyFont="1" applyBorder="1" applyAlignment="1">
      <alignment horizontal="center" vertical="center" shrinkToFit="1"/>
    </xf>
    <xf numFmtId="0" fontId="21" fillId="0" borderId="11" xfId="0" applyFont="1" applyBorder="1" applyAlignment="1">
      <alignment horizontal="center" vertical="center" shrinkToFit="1"/>
    </xf>
    <xf numFmtId="0" fontId="21" fillId="0" borderId="12" xfId="0" applyFont="1" applyBorder="1" applyAlignment="1">
      <alignment horizontal="center" vertical="center" shrinkToFit="1"/>
    </xf>
    <xf numFmtId="1" fontId="21" fillId="4" borderId="7" xfId="0" applyNumberFormat="1" applyFont="1" applyFill="1" applyBorder="1" applyAlignment="1">
      <alignment horizontal="center" vertical="center"/>
    </xf>
    <xf numFmtId="1" fontId="39" fillId="4" borderId="7" xfId="0" applyNumberFormat="1" applyFont="1" applyFill="1" applyBorder="1" applyAlignment="1">
      <alignment horizontal="center" vertical="center"/>
    </xf>
    <xf numFmtId="0" fontId="21" fillId="4" borderId="7" xfId="0" applyFont="1" applyFill="1" applyBorder="1" applyAlignment="1">
      <alignment horizontal="left" vertical="center"/>
    </xf>
    <xf numFmtId="1" fontId="34" fillId="0" borderId="8" xfId="0" applyNumberFormat="1" applyFont="1" applyBorder="1" applyAlignment="1">
      <alignment horizontal="center" vertical="center"/>
    </xf>
    <xf numFmtId="1" fontId="40" fillId="0" borderId="8" xfId="0" applyNumberFormat="1" applyFont="1" applyBorder="1" applyAlignment="1">
      <alignment horizontal="center" vertical="center"/>
    </xf>
    <xf numFmtId="1" fontId="21" fillId="4" borderId="3" xfId="0" applyNumberFormat="1" applyFont="1" applyFill="1" applyBorder="1" applyAlignment="1">
      <alignment horizontal="center" vertical="center"/>
    </xf>
    <xf numFmtId="1" fontId="39" fillId="4" borderId="3" xfId="0" applyNumberFormat="1" applyFont="1" applyFill="1" applyBorder="1" applyAlignment="1">
      <alignment horizontal="center" vertical="center"/>
    </xf>
    <xf numFmtId="0" fontId="21" fillId="4" borderId="3" xfId="0" applyFont="1" applyFill="1" applyBorder="1" applyAlignment="1">
      <alignment horizontal="left" vertical="center"/>
    </xf>
    <xf numFmtId="169" fontId="8" fillId="0" borderId="13" xfId="0" applyNumberFormat="1" applyFont="1" applyBorder="1" applyAlignment="1">
      <alignment horizontal="center" vertical="center" shrinkToFit="1"/>
    </xf>
    <xf numFmtId="0" fontId="21" fillId="0" borderId="14" xfId="0" applyFont="1" applyBorder="1" applyAlignment="1">
      <alignment horizontal="center" vertical="center" shrinkToFit="1"/>
    </xf>
    <xf numFmtId="0" fontId="11" fillId="0" borderId="0" xfId="0" quotePrefix="1" applyFont="1" applyAlignment="1">
      <alignment horizontal="left" wrapText="1" indent="1"/>
    </xf>
    <xf numFmtId="0" fontId="11" fillId="0" borderId="0" xfId="0" quotePrefix="1" applyFont="1" applyAlignment="1">
      <alignment wrapText="1"/>
    </xf>
    <xf numFmtId="0" fontId="36" fillId="0" borderId="0" xfId="2" applyFont="1" applyBorder="1" applyAlignment="1" applyProtection="1">
      <alignment horizontal="left" vertical="center"/>
    </xf>
    <xf numFmtId="166" fontId="29" fillId="0" borderId="4" xfId="0" applyNumberFormat="1" applyFont="1" applyBorder="1" applyAlignment="1" applyProtection="1">
      <alignment horizontal="center" vertical="center" shrinkToFit="1"/>
      <protection locked="0"/>
    </xf>
    <xf numFmtId="0" fontId="38" fillId="0" borderId="9" xfId="0" applyFont="1" applyBorder="1" applyAlignment="1">
      <alignment horizontal="center" vertical="center"/>
    </xf>
    <xf numFmtId="0" fontId="38" fillId="0" borderId="10" xfId="0" applyFont="1" applyBorder="1" applyAlignment="1">
      <alignment horizontal="center" vertical="center"/>
    </xf>
    <xf numFmtId="0" fontId="38" fillId="0" borderId="13" xfId="0" applyFont="1" applyBorder="1" applyAlignment="1">
      <alignment horizontal="center" vertical="center"/>
    </xf>
    <xf numFmtId="166" fontId="29" fillId="0" borderId="5" xfId="0" applyNumberFormat="1" applyFont="1" applyBorder="1" applyAlignment="1" applyProtection="1">
      <alignment horizontal="center" vertical="center" shrinkToFit="1"/>
      <protection locked="0"/>
    </xf>
    <xf numFmtId="168" fontId="29" fillId="0" borderId="9" xfId="0" applyNumberFormat="1" applyFont="1" applyBorder="1" applyAlignment="1">
      <alignment horizontal="center" vertical="center"/>
    </xf>
    <xf numFmtId="168" fontId="29" fillId="0" borderId="10" xfId="0" applyNumberFormat="1" applyFont="1" applyBorder="1" applyAlignment="1">
      <alignment horizontal="center" vertical="center"/>
    </xf>
    <xf numFmtId="168" fontId="29" fillId="0" borderId="13" xfId="0" applyNumberFormat="1" applyFont="1" applyBorder="1" applyAlignment="1">
      <alignment horizontal="center" vertical="center"/>
    </xf>
    <xf numFmtId="0" fontId="9" fillId="0" borderId="0" xfId="0" applyFont="1" applyAlignment="1">
      <alignment horizontal="left"/>
    </xf>
  </cellXfs>
  <cellStyles count="3">
    <cellStyle name="Hyperlink" xfId="2" builtinId="8"/>
    <cellStyle name="Normal" xfId="0" builtinId="0"/>
    <cellStyle name="Percent" xfId="1" builtinId="5"/>
  </cellStyles>
  <dxfs count="65">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3</xdr:col>
      <xdr:colOff>314325</xdr:colOff>
      <xdr:row>5</xdr:row>
      <xdr:rowOff>142875</xdr:rowOff>
    </xdr:from>
    <xdr:to>
      <xdr:col>12</xdr:col>
      <xdr:colOff>57150</xdr:colOff>
      <xdr:row>10</xdr:row>
      <xdr:rowOff>80433</xdr:rowOff>
    </xdr:to>
    <xdr:sp macro="" textlink="">
      <xdr:nvSpPr>
        <xdr:cNvPr id="8236" name="Text Box 44" hidden="1"/>
        <xdr:cNvSpPr txBox="1">
          <a:spLocks noChangeArrowheads="1"/>
        </xdr:cNvSpPr>
      </xdr:nvSpPr>
      <xdr:spPr>
        <a:xfrm>
          <a:off x="4953000" y="1371600"/>
          <a:ext cx="3419475" cy="1223010"/>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Lst>
            </xdr:cNvPr>
            <xdr:cNvSpPr/>
          </xdr:nvSpPr>
          <xdr:spPr>
            <a:xfrm>
              <a:off x="0" y="0"/>
              <a:ext cx="0" cy="0"/>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pageSetUpPr fitToPage="1"/>
  </sheetPr>
  <dimension ref="A1:BN93"/>
  <sheetViews>
    <sheetView showGridLines="0" tabSelected="1" workbookViewId="0">
      <pane ySplit="7" topLeftCell="A8" activePane="bottomLeft" state="frozen"/>
      <selection pane="bottomLeft" activeCell="E15" sqref="E15"/>
    </sheetView>
  </sheetViews>
  <sheetFormatPr defaultColWidth="9.140625" defaultRowHeight="12.75"/>
  <cols>
    <col min="1" max="1" width="6.85546875" customWidth="1"/>
    <col min="2" max="2" width="49.28515625" customWidth="1"/>
    <col min="3" max="3" width="13.42578125" customWidth="1"/>
    <col min="4" max="4" width="5.28515625"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49" t="s">
        <v>0</v>
      </c>
      <c r="B1" s="50"/>
      <c r="C1" s="50"/>
      <c r="D1" s="50"/>
      <c r="E1" s="50"/>
      <c r="F1" s="50"/>
      <c r="I1" s="86"/>
      <c r="K1" s="104"/>
      <c r="L1" s="104"/>
      <c r="M1" s="104"/>
      <c r="N1" s="104"/>
      <c r="O1" s="104"/>
      <c r="P1" s="104"/>
      <c r="Q1" s="104"/>
      <c r="R1" s="104"/>
      <c r="S1" s="104"/>
      <c r="T1" s="104"/>
      <c r="U1" s="104"/>
      <c r="V1" s="104"/>
      <c r="W1" s="104"/>
      <c r="X1" s="104"/>
      <c r="Y1" s="104"/>
      <c r="Z1" s="104"/>
      <c r="AA1" s="104"/>
      <c r="AB1" s="104"/>
      <c r="AC1" s="104"/>
      <c r="AD1" s="104"/>
      <c r="AE1" s="104"/>
    </row>
    <row r="2" spans="1:66" ht="18" customHeight="1">
      <c r="A2" s="51"/>
      <c r="B2" s="52"/>
      <c r="C2" s="52"/>
      <c r="D2" s="53"/>
      <c r="E2" s="54"/>
      <c r="F2" s="54"/>
      <c r="H2" s="55"/>
    </row>
    <row r="3" spans="1:66" ht="14.25">
      <c r="A3" s="51"/>
      <c r="B3" s="1"/>
      <c r="H3" s="55"/>
      <c r="K3" s="87"/>
      <c r="L3" s="87"/>
      <c r="M3" s="87"/>
      <c r="N3" s="87"/>
      <c r="O3" s="87"/>
      <c r="P3" s="87"/>
      <c r="Q3" s="87"/>
      <c r="R3" s="87"/>
      <c r="S3" s="87"/>
      <c r="T3" s="87"/>
      <c r="U3" s="87"/>
      <c r="V3" s="87"/>
      <c r="W3" s="87"/>
      <c r="X3" s="87"/>
      <c r="Y3" s="87"/>
      <c r="Z3" s="87"/>
      <c r="AA3" s="87"/>
    </row>
    <row r="4" spans="1:66" ht="17.25" customHeight="1">
      <c r="A4" s="56"/>
      <c r="B4" s="57" t="s">
        <v>1</v>
      </c>
      <c r="C4" s="105">
        <v>45986</v>
      </c>
      <c r="D4" s="105"/>
      <c r="E4" s="105"/>
      <c r="F4" s="56"/>
      <c r="G4" s="57" t="s">
        <v>2</v>
      </c>
      <c r="H4" s="58">
        <v>1</v>
      </c>
      <c r="I4" s="1"/>
      <c r="J4" s="59"/>
      <c r="K4" s="106" t="str">
        <f>"Week "&amp;(K6-($C$4-WEEKDAY($C$4,1)+2))/7+1</f>
        <v>Week 1</v>
      </c>
      <c r="L4" s="107"/>
      <c r="M4" s="107"/>
      <c r="N4" s="107"/>
      <c r="O4" s="107"/>
      <c r="P4" s="107"/>
      <c r="Q4" s="108"/>
      <c r="R4" s="106" t="str">
        <f>"Week "&amp;(R6-($C$4-WEEKDAY($C$4,1)+2))/7+1</f>
        <v>Week 2</v>
      </c>
      <c r="S4" s="107"/>
      <c r="T4" s="107"/>
      <c r="U4" s="107"/>
      <c r="V4" s="107"/>
      <c r="W4" s="107"/>
      <c r="X4" s="108"/>
      <c r="Y4" s="106" t="str">
        <f>"Week "&amp;(Y6-($C$4-WEEKDAY($C$4,1)+2))/7+1</f>
        <v>Week 3</v>
      </c>
      <c r="Z4" s="107"/>
      <c r="AA4" s="107"/>
      <c r="AB4" s="107"/>
      <c r="AC4" s="107"/>
      <c r="AD4" s="107"/>
      <c r="AE4" s="108"/>
      <c r="AF4" s="106" t="str">
        <f>"Week "&amp;(AF6-($C$4-WEEKDAY($C$4,1)+2))/7+1</f>
        <v>Week 4</v>
      </c>
      <c r="AG4" s="107"/>
      <c r="AH4" s="107"/>
      <c r="AI4" s="107"/>
      <c r="AJ4" s="107"/>
      <c r="AK4" s="107"/>
      <c r="AL4" s="108"/>
      <c r="AM4" s="106" t="str">
        <f>"Week "&amp;(AM6-($C$4-WEEKDAY($C$4,1)+2))/7+1</f>
        <v>Week 5</v>
      </c>
      <c r="AN4" s="107"/>
      <c r="AO4" s="107"/>
      <c r="AP4" s="107"/>
      <c r="AQ4" s="107"/>
      <c r="AR4" s="107"/>
      <c r="AS4" s="108"/>
      <c r="AT4" s="106" t="str">
        <f>"Week "&amp;(AT6-($C$4-WEEKDAY($C$4,1)+2))/7+1</f>
        <v>Week 6</v>
      </c>
      <c r="AU4" s="107"/>
      <c r="AV4" s="107"/>
      <c r="AW4" s="107"/>
      <c r="AX4" s="107"/>
      <c r="AY4" s="107"/>
      <c r="AZ4" s="108"/>
      <c r="BA4" s="106" t="str">
        <f>"Week "&amp;(BA6-($C$4-WEEKDAY($C$4,1)+2))/7+1</f>
        <v>Week 7</v>
      </c>
      <c r="BB4" s="107"/>
      <c r="BC4" s="107"/>
      <c r="BD4" s="107"/>
      <c r="BE4" s="107"/>
      <c r="BF4" s="107"/>
      <c r="BG4" s="108"/>
      <c r="BH4" s="106" t="str">
        <f>"Week "&amp;(BH6-($C$4-WEEKDAY($C$4,1)+2))/7+1</f>
        <v>Week 8</v>
      </c>
      <c r="BI4" s="107"/>
      <c r="BJ4" s="107"/>
      <c r="BK4" s="107"/>
      <c r="BL4" s="107"/>
      <c r="BM4" s="107"/>
      <c r="BN4" s="108"/>
    </row>
    <row r="5" spans="1:66" ht="17.25" customHeight="1">
      <c r="A5" s="56"/>
      <c r="B5" s="57" t="s">
        <v>3</v>
      </c>
      <c r="C5" s="109" t="s">
        <v>4</v>
      </c>
      <c r="D5" s="109"/>
      <c r="E5" s="109"/>
      <c r="F5" s="56"/>
      <c r="G5" s="56"/>
      <c r="H5" s="56"/>
      <c r="I5" s="56"/>
      <c r="J5" s="59"/>
      <c r="K5" s="110">
        <f>K6</f>
        <v>45985</v>
      </c>
      <c r="L5" s="111"/>
      <c r="M5" s="111"/>
      <c r="N5" s="111"/>
      <c r="O5" s="111"/>
      <c r="P5" s="111"/>
      <c r="Q5" s="112"/>
      <c r="R5" s="110">
        <f>R6</f>
        <v>45992</v>
      </c>
      <c r="S5" s="111"/>
      <c r="T5" s="111"/>
      <c r="U5" s="111"/>
      <c r="V5" s="111"/>
      <c r="W5" s="111"/>
      <c r="X5" s="112"/>
      <c r="Y5" s="110">
        <f>Y6</f>
        <v>45999</v>
      </c>
      <c r="Z5" s="111"/>
      <c r="AA5" s="111"/>
      <c r="AB5" s="111"/>
      <c r="AC5" s="111"/>
      <c r="AD5" s="111"/>
      <c r="AE5" s="112"/>
      <c r="AF5" s="110">
        <f>AF6</f>
        <v>46006</v>
      </c>
      <c r="AG5" s="111"/>
      <c r="AH5" s="111"/>
      <c r="AI5" s="111"/>
      <c r="AJ5" s="111"/>
      <c r="AK5" s="111"/>
      <c r="AL5" s="112"/>
      <c r="AM5" s="110">
        <f>AM6</f>
        <v>46013</v>
      </c>
      <c r="AN5" s="111"/>
      <c r="AO5" s="111"/>
      <c r="AP5" s="111"/>
      <c r="AQ5" s="111"/>
      <c r="AR5" s="111"/>
      <c r="AS5" s="112"/>
      <c r="AT5" s="110">
        <f>AT6</f>
        <v>46020</v>
      </c>
      <c r="AU5" s="111"/>
      <c r="AV5" s="111"/>
      <c r="AW5" s="111"/>
      <c r="AX5" s="111"/>
      <c r="AY5" s="111"/>
      <c r="AZ5" s="112"/>
      <c r="BA5" s="110">
        <f>BA6</f>
        <v>46027</v>
      </c>
      <c r="BB5" s="111"/>
      <c r="BC5" s="111"/>
      <c r="BD5" s="111"/>
      <c r="BE5" s="111"/>
      <c r="BF5" s="111"/>
      <c r="BG5" s="112"/>
      <c r="BH5" s="110">
        <f>BH6</f>
        <v>46034</v>
      </c>
      <c r="BI5" s="111"/>
      <c r="BJ5" s="111"/>
      <c r="BK5" s="111"/>
      <c r="BL5" s="111"/>
      <c r="BM5" s="111"/>
      <c r="BN5" s="112"/>
    </row>
    <row r="6" spans="1:66">
      <c r="A6" s="59"/>
      <c r="B6" s="59"/>
      <c r="C6" s="59"/>
      <c r="D6" s="59"/>
      <c r="E6" s="59"/>
      <c r="F6" s="59"/>
      <c r="G6" s="59"/>
      <c r="H6" s="59"/>
      <c r="I6" s="59"/>
      <c r="J6" s="59"/>
      <c r="K6" s="88">
        <f>C4-WEEKDAY(C4,1)+2+7*(H4-1)</f>
        <v>45985</v>
      </c>
      <c r="L6" s="89">
        <f t="shared" ref="L6:AQ6" si="0">K6+1</f>
        <v>45986</v>
      </c>
      <c r="M6" s="89">
        <f t="shared" si="0"/>
        <v>45987</v>
      </c>
      <c r="N6" s="89">
        <f t="shared" si="0"/>
        <v>45988</v>
      </c>
      <c r="O6" s="89">
        <f t="shared" si="0"/>
        <v>45989</v>
      </c>
      <c r="P6" s="89">
        <f t="shared" si="0"/>
        <v>45990</v>
      </c>
      <c r="Q6" s="100">
        <f t="shared" si="0"/>
        <v>45991</v>
      </c>
      <c r="R6" s="88">
        <f t="shared" si="0"/>
        <v>45992</v>
      </c>
      <c r="S6" s="89">
        <f t="shared" si="0"/>
        <v>45993</v>
      </c>
      <c r="T6" s="89">
        <f t="shared" si="0"/>
        <v>45994</v>
      </c>
      <c r="U6" s="89">
        <f t="shared" si="0"/>
        <v>45995</v>
      </c>
      <c r="V6" s="89">
        <f t="shared" si="0"/>
        <v>45996</v>
      </c>
      <c r="W6" s="89">
        <f t="shared" si="0"/>
        <v>45997</v>
      </c>
      <c r="X6" s="100">
        <f t="shared" si="0"/>
        <v>45998</v>
      </c>
      <c r="Y6" s="88">
        <f t="shared" si="0"/>
        <v>45999</v>
      </c>
      <c r="Z6" s="89">
        <f t="shared" si="0"/>
        <v>46000</v>
      </c>
      <c r="AA6" s="89">
        <f t="shared" si="0"/>
        <v>46001</v>
      </c>
      <c r="AB6" s="89">
        <f t="shared" si="0"/>
        <v>46002</v>
      </c>
      <c r="AC6" s="89">
        <f t="shared" si="0"/>
        <v>46003</v>
      </c>
      <c r="AD6" s="89">
        <f t="shared" si="0"/>
        <v>46004</v>
      </c>
      <c r="AE6" s="100">
        <f t="shared" si="0"/>
        <v>46005</v>
      </c>
      <c r="AF6" s="88">
        <f t="shared" si="0"/>
        <v>46006</v>
      </c>
      <c r="AG6" s="89">
        <f t="shared" si="0"/>
        <v>46007</v>
      </c>
      <c r="AH6" s="89">
        <f t="shared" si="0"/>
        <v>46008</v>
      </c>
      <c r="AI6" s="89">
        <f t="shared" si="0"/>
        <v>46009</v>
      </c>
      <c r="AJ6" s="89">
        <f t="shared" si="0"/>
        <v>46010</v>
      </c>
      <c r="AK6" s="89">
        <f t="shared" si="0"/>
        <v>46011</v>
      </c>
      <c r="AL6" s="100">
        <f t="shared" si="0"/>
        <v>46012</v>
      </c>
      <c r="AM6" s="88">
        <f t="shared" si="0"/>
        <v>46013</v>
      </c>
      <c r="AN6" s="89">
        <f t="shared" si="0"/>
        <v>46014</v>
      </c>
      <c r="AO6" s="89">
        <f t="shared" si="0"/>
        <v>46015</v>
      </c>
      <c r="AP6" s="89">
        <f t="shared" si="0"/>
        <v>46016</v>
      </c>
      <c r="AQ6" s="89">
        <f t="shared" si="0"/>
        <v>46017</v>
      </c>
      <c r="AR6" s="89">
        <f t="shared" ref="AR6:BN6" si="1">AQ6+1</f>
        <v>46018</v>
      </c>
      <c r="AS6" s="100">
        <f t="shared" si="1"/>
        <v>46019</v>
      </c>
      <c r="AT6" s="88">
        <f t="shared" si="1"/>
        <v>46020</v>
      </c>
      <c r="AU6" s="89">
        <f t="shared" si="1"/>
        <v>46021</v>
      </c>
      <c r="AV6" s="89">
        <f t="shared" si="1"/>
        <v>46022</v>
      </c>
      <c r="AW6" s="89">
        <f t="shared" si="1"/>
        <v>46023</v>
      </c>
      <c r="AX6" s="89">
        <f t="shared" si="1"/>
        <v>46024</v>
      </c>
      <c r="AY6" s="89">
        <f t="shared" si="1"/>
        <v>46025</v>
      </c>
      <c r="AZ6" s="100">
        <f t="shared" si="1"/>
        <v>46026</v>
      </c>
      <c r="BA6" s="88">
        <f t="shared" si="1"/>
        <v>46027</v>
      </c>
      <c r="BB6" s="89">
        <f t="shared" si="1"/>
        <v>46028</v>
      </c>
      <c r="BC6" s="89">
        <f t="shared" si="1"/>
        <v>46029</v>
      </c>
      <c r="BD6" s="89">
        <f t="shared" si="1"/>
        <v>46030</v>
      </c>
      <c r="BE6" s="89">
        <f t="shared" si="1"/>
        <v>46031</v>
      </c>
      <c r="BF6" s="89">
        <f t="shared" si="1"/>
        <v>46032</v>
      </c>
      <c r="BG6" s="100">
        <f t="shared" si="1"/>
        <v>46033</v>
      </c>
      <c r="BH6" s="88">
        <f t="shared" si="1"/>
        <v>46034</v>
      </c>
      <c r="BI6" s="89">
        <f t="shared" si="1"/>
        <v>46035</v>
      </c>
      <c r="BJ6" s="89">
        <f t="shared" si="1"/>
        <v>46036</v>
      </c>
      <c r="BK6" s="89">
        <f t="shared" si="1"/>
        <v>46037</v>
      </c>
      <c r="BL6" s="89">
        <f t="shared" si="1"/>
        <v>46038</v>
      </c>
      <c r="BM6" s="89">
        <f t="shared" si="1"/>
        <v>46039</v>
      </c>
      <c r="BN6" s="100">
        <f t="shared" si="1"/>
        <v>46040</v>
      </c>
    </row>
    <row r="7" spans="1:66" s="1" customFormat="1" ht="33.75">
      <c r="A7" s="60" t="s">
        <v>5</v>
      </c>
      <c r="B7" s="60" t="s">
        <v>6</v>
      </c>
      <c r="C7" s="61" t="s">
        <v>7</v>
      </c>
      <c r="D7" s="62" t="s">
        <v>8</v>
      </c>
      <c r="E7" s="63" t="s">
        <v>9</v>
      </c>
      <c r="F7" s="63" t="s">
        <v>10</v>
      </c>
      <c r="G7" s="61" t="s">
        <v>11</v>
      </c>
      <c r="H7" s="61" t="s">
        <v>12</v>
      </c>
      <c r="I7" s="61" t="s">
        <v>13</v>
      </c>
      <c r="J7" s="61"/>
      <c r="K7" s="90" t="str">
        <f t="shared" ref="K7:AP7" si="2">CHOOSE(WEEKDAY(K6,1),"S","M","T","W","T","F","S")</f>
        <v>M</v>
      </c>
      <c r="L7" s="91" t="str">
        <f t="shared" si="2"/>
        <v>T</v>
      </c>
      <c r="M7" s="91" t="str">
        <f t="shared" si="2"/>
        <v>W</v>
      </c>
      <c r="N7" s="91" t="str">
        <f t="shared" si="2"/>
        <v>T</v>
      </c>
      <c r="O7" s="91" t="str">
        <f t="shared" si="2"/>
        <v>F</v>
      </c>
      <c r="P7" s="91" t="str">
        <f t="shared" si="2"/>
        <v>S</v>
      </c>
      <c r="Q7" s="101" t="str">
        <f t="shared" si="2"/>
        <v>S</v>
      </c>
      <c r="R7" s="90" t="str">
        <f t="shared" si="2"/>
        <v>M</v>
      </c>
      <c r="S7" s="91" t="str">
        <f t="shared" si="2"/>
        <v>T</v>
      </c>
      <c r="T7" s="91" t="str">
        <f t="shared" si="2"/>
        <v>W</v>
      </c>
      <c r="U7" s="91" t="str">
        <f t="shared" si="2"/>
        <v>T</v>
      </c>
      <c r="V7" s="91" t="str">
        <f t="shared" si="2"/>
        <v>F</v>
      </c>
      <c r="W7" s="91" t="str">
        <f t="shared" si="2"/>
        <v>S</v>
      </c>
      <c r="X7" s="101" t="str">
        <f t="shared" si="2"/>
        <v>S</v>
      </c>
      <c r="Y7" s="90" t="str">
        <f t="shared" si="2"/>
        <v>M</v>
      </c>
      <c r="Z7" s="91" t="str">
        <f t="shared" si="2"/>
        <v>T</v>
      </c>
      <c r="AA7" s="91" t="str">
        <f t="shared" si="2"/>
        <v>W</v>
      </c>
      <c r="AB7" s="91" t="str">
        <f t="shared" si="2"/>
        <v>T</v>
      </c>
      <c r="AC7" s="91" t="str">
        <f t="shared" si="2"/>
        <v>F</v>
      </c>
      <c r="AD7" s="91" t="str">
        <f t="shared" si="2"/>
        <v>S</v>
      </c>
      <c r="AE7" s="101" t="str">
        <f t="shared" si="2"/>
        <v>S</v>
      </c>
      <c r="AF7" s="90" t="str">
        <f t="shared" si="2"/>
        <v>M</v>
      </c>
      <c r="AG7" s="91" t="str">
        <f t="shared" si="2"/>
        <v>T</v>
      </c>
      <c r="AH7" s="91" t="str">
        <f t="shared" si="2"/>
        <v>W</v>
      </c>
      <c r="AI7" s="91" t="str">
        <f t="shared" si="2"/>
        <v>T</v>
      </c>
      <c r="AJ7" s="91" t="str">
        <f t="shared" si="2"/>
        <v>F</v>
      </c>
      <c r="AK7" s="91" t="str">
        <f t="shared" si="2"/>
        <v>S</v>
      </c>
      <c r="AL7" s="101" t="str">
        <f t="shared" si="2"/>
        <v>S</v>
      </c>
      <c r="AM7" s="90" t="str">
        <f t="shared" si="2"/>
        <v>M</v>
      </c>
      <c r="AN7" s="91" t="str">
        <f t="shared" si="2"/>
        <v>T</v>
      </c>
      <c r="AO7" s="91" t="str">
        <f t="shared" si="2"/>
        <v>W</v>
      </c>
      <c r="AP7" s="91" t="str">
        <f t="shared" si="2"/>
        <v>T</v>
      </c>
      <c r="AQ7" s="91" t="str">
        <f t="shared" ref="AQ7:BN7" si="3">CHOOSE(WEEKDAY(AQ6,1),"S","M","T","W","T","F","S")</f>
        <v>F</v>
      </c>
      <c r="AR7" s="91" t="str">
        <f t="shared" si="3"/>
        <v>S</v>
      </c>
      <c r="AS7" s="101" t="str">
        <f t="shared" si="3"/>
        <v>S</v>
      </c>
      <c r="AT7" s="90" t="str">
        <f t="shared" si="3"/>
        <v>M</v>
      </c>
      <c r="AU7" s="91" t="str">
        <f t="shared" si="3"/>
        <v>T</v>
      </c>
      <c r="AV7" s="91" t="str">
        <f t="shared" si="3"/>
        <v>W</v>
      </c>
      <c r="AW7" s="91" t="str">
        <f t="shared" si="3"/>
        <v>T</v>
      </c>
      <c r="AX7" s="91" t="str">
        <f t="shared" si="3"/>
        <v>F</v>
      </c>
      <c r="AY7" s="91" t="str">
        <f t="shared" si="3"/>
        <v>S</v>
      </c>
      <c r="AZ7" s="101" t="str">
        <f t="shared" si="3"/>
        <v>S</v>
      </c>
      <c r="BA7" s="90" t="str">
        <f t="shared" si="3"/>
        <v>M</v>
      </c>
      <c r="BB7" s="91" t="str">
        <f t="shared" si="3"/>
        <v>T</v>
      </c>
      <c r="BC7" s="91" t="str">
        <f t="shared" si="3"/>
        <v>W</v>
      </c>
      <c r="BD7" s="91" t="str">
        <f t="shared" si="3"/>
        <v>T</v>
      </c>
      <c r="BE7" s="91" t="str">
        <f t="shared" si="3"/>
        <v>F</v>
      </c>
      <c r="BF7" s="91" t="str">
        <f t="shared" si="3"/>
        <v>S</v>
      </c>
      <c r="BG7" s="101" t="str">
        <f t="shared" si="3"/>
        <v>S</v>
      </c>
      <c r="BH7" s="90" t="str">
        <f t="shared" si="3"/>
        <v>M</v>
      </c>
      <c r="BI7" s="91" t="str">
        <f t="shared" si="3"/>
        <v>T</v>
      </c>
      <c r="BJ7" s="91" t="str">
        <f t="shared" si="3"/>
        <v>W</v>
      </c>
      <c r="BK7" s="91" t="str">
        <f t="shared" si="3"/>
        <v>T</v>
      </c>
      <c r="BL7" s="91" t="str">
        <f t="shared" si="3"/>
        <v>F</v>
      </c>
      <c r="BM7" s="91" t="str">
        <f t="shared" si="3"/>
        <v>S</v>
      </c>
      <c r="BN7" s="101" t="str">
        <f t="shared" si="3"/>
        <v>S</v>
      </c>
    </row>
    <row r="8" spans="1:66" s="47" customFormat="1" ht="18">
      <c r="A8" s="64" t="str">
        <f>IF(ISERROR(VALUE(SUBSTITUTE(prevWBS,".",""))),"1",IF(ISERROR(FIND("`",SUBSTITUTE(prevWBS,".","`",1))),TEXT(VALUE(prevWBS)+1,"#"),TEXT(VALUE(LEFT(prevWBS,FIND("`",SUBSTITUTE(prevWBS,".","`",1))-1))+1,"#")))</f>
        <v>1</v>
      </c>
      <c r="B8" s="65" t="s">
        <v>177</v>
      </c>
      <c r="C8" s="66"/>
      <c r="D8" s="67"/>
      <c r="E8" s="68"/>
      <c r="F8" s="69" t="str">
        <f>IF(ISBLANK(E8)," - ",IF(G8=0,E8,E8+G8-1))</f>
        <v xml:space="preserve"> - </v>
      </c>
      <c r="G8" s="70"/>
      <c r="H8" s="71"/>
      <c r="I8" s="92" t="str">
        <f t="shared" ref="I8:I59" si="4">IF(OR(F8=0,E8=0)," - ",NETWORKDAYS(E8,F8))</f>
        <v xml:space="preserve"> - </v>
      </c>
      <c r="J8" s="93"/>
      <c r="K8" s="94"/>
      <c r="L8" s="94"/>
      <c r="M8" s="94"/>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94"/>
      <c r="BC8" s="94"/>
      <c r="BD8" s="94"/>
      <c r="BE8" s="94"/>
      <c r="BF8" s="94"/>
      <c r="BG8" s="94"/>
      <c r="BH8" s="94"/>
      <c r="BI8" s="94"/>
      <c r="BJ8" s="94"/>
      <c r="BK8" s="94"/>
      <c r="BL8" s="94"/>
      <c r="BM8" s="94"/>
      <c r="BN8" s="94"/>
    </row>
    <row r="9" spans="1:66" s="48" customFormat="1" ht="18">
      <c r="A9" s="72" t="str">
        <f t="shared" ref="A9:A14"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73" t="s">
        <v>176</v>
      </c>
      <c r="C9" s="48" t="s">
        <v>14</v>
      </c>
      <c r="D9" s="74"/>
      <c r="E9" s="75">
        <v>45987</v>
      </c>
      <c r="F9" s="76">
        <f>IF(ISBLANK(E9)," - ",IF(G9=0,E9,E9+G9-1))</f>
        <v>45987</v>
      </c>
      <c r="G9" s="77">
        <v>1</v>
      </c>
      <c r="H9" s="78">
        <v>1</v>
      </c>
      <c r="I9" s="95">
        <f t="shared" si="4"/>
        <v>1</v>
      </c>
      <c r="J9" s="96"/>
      <c r="K9" s="72"/>
      <c r="L9" s="72"/>
      <c r="M9" s="72"/>
      <c r="N9" s="72"/>
      <c r="O9" s="72"/>
      <c r="P9" s="72"/>
      <c r="Q9" s="72"/>
      <c r="R9" s="72"/>
      <c r="S9" s="72"/>
      <c r="T9" s="72"/>
      <c r="U9" s="72"/>
      <c r="V9" s="72"/>
      <c r="W9" s="72"/>
      <c r="X9" s="72"/>
      <c r="Y9" s="72"/>
      <c r="Z9" s="72"/>
      <c r="AA9" s="72"/>
      <c r="AB9" s="72"/>
      <c r="AC9" s="72"/>
      <c r="AD9" s="72"/>
      <c r="AE9" s="72"/>
      <c r="AF9" s="72"/>
      <c r="AG9" s="72"/>
      <c r="AH9" s="72"/>
      <c r="AI9" s="72"/>
      <c r="AJ9" s="72"/>
      <c r="AK9" s="72"/>
      <c r="AL9" s="72"/>
      <c r="AM9" s="72"/>
      <c r="AN9" s="72"/>
      <c r="AO9" s="72"/>
      <c r="AP9" s="72"/>
      <c r="AQ9" s="72"/>
      <c r="AR9" s="72"/>
      <c r="AS9" s="72"/>
      <c r="AT9" s="72"/>
      <c r="AU9" s="72"/>
      <c r="AV9" s="72"/>
      <c r="AW9" s="72"/>
      <c r="AX9" s="72"/>
      <c r="AY9" s="72"/>
      <c r="AZ9" s="72"/>
      <c r="BA9" s="72"/>
      <c r="BB9" s="72"/>
      <c r="BC9" s="72"/>
      <c r="BD9" s="72"/>
      <c r="BE9" s="72"/>
      <c r="BF9" s="72"/>
      <c r="BG9" s="72"/>
      <c r="BH9" s="72"/>
      <c r="BI9" s="72"/>
      <c r="BJ9" s="72"/>
      <c r="BK9" s="72"/>
      <c r="BL9" s="72"/>
      <c r="BM9" s="72"/>
      <c r="BN9" s="72"/>
    </row>
    <row r="10" spans="1:66" s="48" customFormat="1" ht="18">
      <c r="A10" s="72" t="str">
        <f t="shared" si="5"/>
        <v>1.2</v>
      </c>
      <c r="B10" s="73" t="s">
        <v>178</v>
      </c>
      <c r="C10" s="48" t="s">
        <v>14</v>
      </c>
      <c r="D10" s="74"/>
      <c r="E10" s="75">
        <v>45988</v>
      </c>
      <c r="F10" s="76">
        <f>IF(ISBLANK(E10)," - ",IF(G10=0,E10,E10+G10-1))</f>
        <v>46001</v>
      </c>
      <c r="G10" s="77">
        <v>14</v>
      </c>
      <c r="H10" s="78">
        <v>0</v>
      </c>
      <c r="I10" s="95">
        <f t="shared" si="4"/>
        <v>10</v>
      </c>
      <c r="J10" s="96"/>
      <c r="K10" s="72"/>
      <c r="L10" s="72"/>
      <c r="M10" s="72"/>
      <c r="N10" s="72"/>
      <c r="O10" s="72"/>
      <c r="P10" s="72"/>
      <c r="Q10" s="72"/>
      <c r="R10" s="72"/>
      <c r="S10" s="72"/>
      <c r="T10" s="72"/>
      <c r="U10" s="72"/>
      <c r="V10" s="72"/>
      <c r="W10" s="72"/>
      <c r="X10" s="72"/>
      <c r="Y10" s="72"/>
      <c r="Z10" s="72"/>
      <c r="AA10" s="72"/>
      <c r="AB10" s="72"/>
      <c r="AC10" s="72"/>
      <c r="AD10" s="72"/>
      <c r="AE10" s="72"/>
      <c r="AF10" s="72"/>
      <c r="AG10" s="72"/>
      <c r="AH10" s="72"/>
      <c r="AI10" s="72"/>
      <c r="AJ10" s="72"/>
      <c r="AK10" s="72"/>
      <c r="AL10" s="72"/>
      <c r="AM10" s="72"/>
      <c r="AN10" s="72"/>
      <c r="AO10" s="72"/>
      <c r="AP10" s="72"/>
      <c r="AQ10" s="72"/>
      <c r="AR10" s="72"/>
      <c r="AS10" s="72"/>
      <c r="AT10" s="72"/>
      <c r="AU10" s="72"/>
      <c r="AV10" s="72"/>
      <c r="AW10" s="72"/>
      <c r="AX10" s="72"/>
      <c r="AY10" s="72"/>
      <c r="AZ10" s="72"/>
      <c r="BA10" s="72"/>
      <c r="BB10" s="72"/>
      <c r="BC10" s="72"/>
      <c r="BD10" s="72"/>
      <c r="BE10" s="72"/>
      <c r="BF10" s="72"/>
      <c r="BG10" s="72"/>
      <c r="BH10" s="72"/>
      <c r="BI10" s="72"/>
      <c r="BJ10" s="72"/>
      <c r="BK10" s="72"/>
      <c r="BL10" s="72"/>
      <c r="BM10" s="72"/>
      <c r="BN10" s="72"/>
    </row>
    <row r="11" spans="1:66" s="48" customFormat="1" ht="18">
      <c r="A11" s="72" t="str">
        <f t="shared" si="5"/>
        <v>1.3</v>
      </c>
      <c r="B11" s="73" t="s">
        <v>179</v>
      </c>
      <c r="C11" s="48" t="s">
        <v>14</v>
      </c>
      <c r="D11" s="74"/>
      <c r="E11" s="75">
        <v>45995</v>
      </c>
      <c r="F11" s="76">
        <f>IF(ISBLANK(E11)," - ",IF(G11=0,E11,E11+G11-1))</f>
        <v>46001</v>
      </c>
      <c r="G11" s="77">
        <v>7</v>
      </c>
      <c r="H11" s="78">
        <v>1</v>
      </c>
      <c r="I11" s="95">
        <f t="shared" ref="I11" si="6">IF(OR(F11=0,E11=0)," - ",NETWORKDAYS(E11,F11))</f>
        <v>5</v>
      </c>
      <c r="J11" s="96"/>
      <c r="K11" s="72"/>
      <c r="L11" s="72"/>
      <c r="M11" s="72"/>
      <c r="N11" s="72"/>
      <c r="O11" s="72"/>
      <c r="P11" s="72"/>
      <c r="Q11" s="72"/>
      <c r="R11" s="72"/>
      <c r="S11" s="72"/>
      <c r="T11" s="72"/>
      <c r="U11" s="72"/>
      <c r="V11" s="72"/>
      <c r="W11" s="72"/>
      <c r="X11" s="72"/>
      <c r="Y11" s="72"/>
      <c r="Z11" s="72"/>
      <c r="AA11" s="72"/>
      <c r="AB11" s="72"/>
      <c r="AC11" s="72"/>
      <c r="AD11" s="72"/>
      <c r="AE11" s="72"/>
      <c r="AF11" s="72"/>
      <c r="AG11" s="72"/>
      <c r="AH11" s="72"/>
      <c r="AI11" s="72"/>
      <c r="AJ11" s="72"/>
      <c r="AK11" s="72"/>
      <c r="AL11" s="72"/>
      <c r="AM11" s="72"/>
      <c r="AN11" s="72"/>
      <c r="AO11" s="72"/>
      <c r="AP11" s="72"/>
      <c r="AQ11" s="72"/>
      <c r="AR11" s="72"/>
      <c r="AS11" s="72"/>
      <c r="AT11" s="72"/>
      <c r="AU11" s="72"/>
      <c r="AV11" s="72"/>
      <c r="AW11" s="72"/>
      <c r="AX11" s="72"/>
      <c r="AY11" s="72"/>
      <c r="AZ11" s="72"/>
      <c r="BA11" s="72"/>
      <c r="BB11" s="72"/>
      <c r="BC11" s="72"/>
      <c r="BD11" s="72"/>
      <c r="BE11" s="72"/>
      <c r="BF11" s="72"/>
      <c r="BG11" s="72"/>
      <c r="BH11" s="72"/>
      <c r="BI11" s="72"/>
      <c r="BJ11" s="72"/>
      <c r="BK11" s="72"/>
      <c r="BL11" s="72"/>
      <c r="BM11" s="72"/>
      <c r="BN11" s="72"/>
    </row>
    <row r="12" spans="1:66" s="48" customFormat="1" ht="18">
      <c r="A12" s="72" t="str">
        <f t="shared" si="5"/>
        <v>1.4</v>
      </c>
      <c r="B12" s="73" t="s">
        <v>181</v>
      </c>
      <c r="C12" s="48" t="s">
        <v>19</v>
      </c>
      <c r="D12" s="74"/>
      <c r="E12" s="75">
        <v>46009</v>
      </c>
      <c r="F12" s="76">
        <f>IF(ISBLANK(E12)," - ",IF(G12=0,E12,E12+G12-1))</f>
        <v>46014</v>
      </c>
      <c r="G12" s="77">
        <v>6</v>
      </c>
      <c r="H12" s="78">
        <v>0</v>
      </c>
      <c r="I12" s="95">
        <f>IF(OR(F12=0,E12=0)," - ",NETWORKDAYS(E12,F12))</f>
        <v>4</v>
      </c>
      <c r="J12" s="96"/>
      <c r="K12" s="72"/>
      <c r="L12" s="72"/>
      <c r="M12" s="72"/>
      <c r="N12" s="72"/>
      <c r="O12" s="72"/>
      <c r="P12" s="72"/>
      <c r="Q12" s="72"/>
      <c r="R12" s="72"/>
      <c r="S12" s="72"/>
      <c r="T12" s="72"/>
      <c r="U12" s="72"/>
      <c r="V12" s="72"/>
      <c r="W12" s="72"/>
      <c r="X12" s="72"/>
      <c r="Y12" s="72"/>
      <c r="Z12" s="72"/>
      <c r="AA12" s="72"/>
      <c r="AB12" s="72"/>
      <c r="AC12" s="72"/>
      <c r="AD12" s="72"/>
      <c r="AE12" s="72"/>
      <c r="AF12" s="72"/>
      <c r="AG12" s="72"/>
      <c r="AH12" s="72"/>
      <c r="AI12" s="72"/>
      <c r="AJ12" s="72"/>
      <c r="AK12" s="72"/>
      <c r="AL12" s="72"/>
      <c r="AM12" s="72"/>
      <c r="AN12" s="72"/>
      <c r="AO12" s="72"/>
      <c r="AP12" s="72"/>
      <c r="AQ12" s="72"/>
      <c r="AR12" s="72"/>
      <c r="AS12" s="72"/>
      <c r="AT12" s="72"/>
      <c r="AU12" s="72"/>
      <c r="AV12" s="72"/>
      <c r="AW12" s="72"/>
      <c r="AX12" s="72"/>
      <c r="AY12" s="72"/>
      <c r="AZ12" s="72"/>
      <c r="BA12" s="72"/>
      <c r="BB12" s="72"/>
      <c r="BC12" s="72"/>
      <c r="BD12" s="72"/>
      <c r="BE12" s="72"/>
      <c r="BF12" s="72"/>
      <c r="BG12" s="72"/>
      <c r="BH12" s="72"/>
      <c r="BI12" s="72"/>
      <c r="BJ12" s="72"/>
      <c r="BK12" s="72"/>
      <c r="BL12" s="72"/>
      <c r="BM12" s="72"/>
      <c r="BN12" s="72"/>
    </row>
    <row r="13" spans="1:66" s="48" customFormat="1" ht="18">
      <c r="A13" s="72" t="str">
        <f t="shared" si="5"/>
        <v>1.5</v>
      </c>
      <c r="B13" s="73" t="s">
        <v>180</v>
      </c>
      <c r="C13" s="48" t="s">
        <v>14</v>
      </c>
      <c r="D13" s="74"/>
      <c r="E13" s="75">
        <v>46015</v>
      </c>
      <c r="F13" s="76">
        <f>IF(ISBLANK(E13)," - ",IF(G13=0,E13,E13+G13-1))</f>
        <v>46028</v>
      </c>
      <c r="G13" s="77">
        <v>14</v>
      </c>
      <c r="H13" s="78">
        <v>0</v>
      </c>
      <c r="I13" s="95">
        <f>IF(OR(F13=0,E13=0)," - ",NETWORKDAYS(E13,F13))</f>
        <v>10</v>
      </c>
      <c r="J13" s="96"/>
      <c r="K13" s="72"/>
      <c r="L13" s="72"/>
      <c r="M13" s="72"/>
      <c r="N13" s="72"/>
      <c r="O13" s="72"/>
      <c r="P13" s="72"/>
      <c r="Q13" s="72"/>
      <c r="R13" s="72"/>
      <c r="S13" s="72"/>
      <c r="T13" s="72"/>
      <c r="U13" s="72"/>
      <c r="V13" s="72"/>
      <c r="W13" s="72"/>
      <c r="X13" s="72"/>
      <c r="Y13" s="72"/>
      <c r="Z13" s="72"/>
      <c r="AA13" s="72"/>
      <c r="AB13" s="72"/>
      <c r="AC13" s="72"/>
      <c r="AD13" s="72"/>
      <c r="AE13" s="72"/>
      <c r="AF13" s="72"/>
      <c r="AG13" s="72"/>
      <c r="AH13" s="72"/>
      <c r="AI13" s="72"/>
      <c r="AJ13" s="72"/>
      <c r="AK13" s="72"/>
      <c r="AL13" s="72"/>
      <c r="AM13" s="72"/>
      <c r="AN13" s="72"/>
      <c r="AO13" s="72"/>
      <c r="AP13" s="72"/>
      <c r="AQ13" s="72"/>
      <c r="AR13" s="72"/>
      <c r="AS13" s="72"/>
      <c r="AT13" s="72"/>
      <c r="AU13" s="72"/>
      <c r="AV13" s="72"/>
      <c r="AW13" s="72"/>
      <c r="AX13" s="72"/>
      <c r="AY13" s="72"/>
      <c r="AZ13" s="72"/>
      <c r="BA13" s="72"/>
      <c r="BB13" s="72"/>
      <c r="BC13" s="72"/>
      <c r="BD13" s="72"/>
      <c r="BE13" s="72"/>
      <c r="BF13" s="72"/>
      <c r="BG13" s="72"/>
      <c r="BH13" s="72"/>
      <c r="BI13" s="72"/>
      <c r="BJ13" s="72"/>
      <c r="BK13" s="72"/>
      <c r="BL13" s="72"/>
      <c r="BM13" s="72"/>
      <c r="BN13" s="72"/>
    </row>
    <row r="14" spans="1:66" s="48" customFormat="1" ht="24">
      <c r="A14" s="72" t="str">
        <f t="shared" si="5"/>
        <v>1.6</v>
      </c>
      <c r="B14" s="73" t="s">
        <v>182</v>
      </c>
      <c r="C14" s="48" t="s">
        <v>21</v>
      </c>
      <c r="D14" s="74"/>
      <c r="E14" s="75">
        <v>46013</v>
      </c>
      <c r="F14" s="76">
        <f>IF(ISBLANK(E14)," - ",IF(G14=0,E14,E14+G14-1))</f>
        <v>46026</v>
      </c>
      <c r="G14" s="77">
        <v>14</v>
      </c>
      <c r="H14" s="78">
        <v>0</v>
      </c>
      <c r="I14" s="95">
        <f>IF(OR(F14=0,E14=0)," - ",NETWORKDAYS(E14,F14))</f>
        <v>10</v>
      </c>
      <c r="J14" s="96"/>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2"/>
      <c r="AJ14" s="72"/>
      <c r="AK14" s="72"/>
      <c r="AL14" s="72"/>
      <c r="AM14" s="72"/>
      <c r="AN14" s="72"/>
      <c r="AO14" s="72"/>
      <c r="AP14" s="72"/>
      <c r="AQ14" s="72"/>
      <c r="AR14" s="72"/>
      <c r="AS14" s="72"/>
      <c r="AT14" s="72"/>
      <c r="AU14" s="72"/>
      <c r="AV14" s="72"/>
      <c r="AW14" s="72"/>
      <c r="AX14" s="72"/>
      <c r="AY14" s="72"/>
      <c r="AZ14" s="72"/>
      <c r="BA14" s="72"/>
      <c r="BB14" s="72"/>
      <c r="BC14" s="72"/>
      <c r="BD14" s="72"/>
      <c r="BE14" s="72"/>
      <c r="BF14" s="72"/>
      <c r="BG14" s="72"/>
      <c r="BH14" s="72"/>
      <c r="BI14" s="72"/>
      <c r="BJ14" s="72"/>
      <c r="BK14" s="72"/>
      <c r="BL14" s="72"/>
      <c r="BM14" s="72"/>
      <c r="BN14" s="72"/>
    </row>
    <row r="15" spans="1:66" s="48" customFormat="1" ht="18">
      <c r="A15" s="72"/>
      <c r="B15" s="73"/>
      <c r="D15" s="74"/>
      <c r="E15" s="75"/>
      <c r="F15" s="76"/>
      <c r="G15" s="77"/>
      <c r="H15" s="78"/>
      <c r="I15" s="95"/>
      <c r="J15" s="96"/>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c r="AN15" s="72"/>
      <c r="AO15" s="72"/>
      <c r="AP15" s="72"/>
      <c r="AQ15" s="72"/>
      <c r="AR15" s="72"/>
      <c r="AS15" s="72"/>
      <c r="AT15" s="72"/>
      <c r="AU15" s="72"/>
      <c r="AV15" s="72"/>
      <c r="AW15" s="72"/>
      <c r="AX15" s="72"/>
      <c r="AY15" s="72"/>
      <c r="AZ15" s="72"/>
      <c r="BA15" s="72"/>
      <c r="BB15" s="72"/>
      <c r="BC15" s="72"/>
      <c r="BD15" s="72"/>
      <c r="BE15" s="72"/>
      <c r="BF15" s="72"/>
      <c r="BG15" s="72"/>
      <c r="BH15" s="72"/>
      <c r="BI15" s="72"/>
      <c r="BJ15" s="72"/>
      <c r="BK15" s="72"/>
      <c r="BL15" s="72"/>
      <c r="BM15" s="72"/>
      <c r="BN15" s="72"/>
    </row>
    <row r="16" spans="1:66" s="48" customFormat="1" ht="18">
      <c r="A16" s="72"/>
      <c r="B16" s="73"/>
      <c r="D16" s="74"/>
      <c r="E16" s="75"/>
      <c r="F16" s="76"/>
      <c r="G16" s="77"/>
      <c r="H16" s="78"/>
      <c r="I16" s="95"/>
      <c r="J16" s="96"/>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2"/>
      <c r="AJ16" s="72"/>
      <c r="AK16" s="72"/>
      <c r="AL16" s="72"/>
      <c r="AM16" s="72"/>
      <c r="AN16" s="72"/>
      <c r="AO16" s="72"/>
      <c r="AP16" s="72"/>
      <c r="AQ16" s="72"/>
      <c r="AR16" s="72"/>
      <c r="AS16" s="72"/>
      <c r="AT16" s="72"/>
      <c r="AU16" s="72"/>
      <c r="AV16" s="72"/>
      <c r="AW16" s="72"/>
      <c r="AX16" s="72"/>
      <c r="AY16" s="72"/>
      <c r="AZ16" s="72"/>
      <c r="BA16" s="72"/>
      <c r="BB16" s="72"/>
      <c r="BC16" s="72"/>
      <c r="BD16" s="72"/>
      <c r="BE16" s="72"/>
      <c r="BF16" s="72"/>
      <c r="BG16" s="72"/>
      <c r="BH16" s="72"/>
      <c r="BI16" s="72"/>
      <c r="BJ16" s="72"/>
      <c r="BK16" s="72"/>
      <c r="BL16" s="72"/>
      <c r="BM16" s="72"/>
      <c r="BN16" s="72"/>
    </row>
    <row r="17" spans="1:66" s="48" customFormat="1" ht="18">
      <c r="A17" s="72"/>
      <c r="B17" s="73"/>
      <c r="D17" s="74"/>
      <c r="E17" s="75"/>
      <c r="F17" s="76"/>
      <c r="G17" s="77"/>
      <c r="H17" s="78"/>
      <c r="I17" s="95"/>
      <c r="J17" s="96"/>
      <c r="K17" s="72"/>
      <c r="L17" s="72"/>
      <c r="M17" s="72"/>
      <c r="N17" s="72"/>
      <c r="O17" s="72"/>
      <c r="P17" s="72"/>
      <c r="Q17" s="72"/>
      <c r="R17" s="72"/>
      <c r="S17" s="72"/>
      <c r="T17" s="72"/>
      <c r="U17" s="72"/>
      <c r="V17" s="72"/>
      <c r="W17" s="72"/>
      <c r="X17" s="72"/>
      <c r="Y17" s="72"/>
      <c r="Z17" s="72"/>
      <c r="AA17" s="72"/>
      <c r="AB17" s="72"/>
      <c r="AC17" s="72"/>
      <c r="AD17" s="72"/>
      <c r="AE17" s="72"/>
      <c r="AF17" s="72"/>
      <c r="AG17" s="72"/>
      <c r="AH17" s="72"/>
      <c r="AI17" s="72"/>
      <c r="AJ17" s="72"/>
      <c r="AK17" s="72"/>
      <c r="AL17" s="72"/>
      <c r="AM17" s="72"/>
      <c r="AN17" s="72"/>
      <c r="AO17" s="72"/>
      <c r="AP17" s="72"/>
      <c r="AQ17" s="72"/>
      <c r="AR17" s="72"/>
      <c r="AS17" s="72"/>
      <c r="AT17" s="72"/>
      <c r="AU17" s="72"/>
      <c r="AV17" s="72"/>
      <c r="AW17" s="72"/>
      <c r="AX17" s="72"/>
      <c r="AY17" s="72"/>
      <c r="AZ17" s="72"/>
      <c r="BA17" s="72"/>
      <c r="BB17" s="72"/>
      <c r="BC17" s="72"/>
      <c r="BD17" s="72"/>
      <c r="BE17" s="72"/>
      <c r="BF17" s="72"/>
      <c r="BG17" s="72"/>
      <c r="BH17" s="72"/>
      <c r="BI17" s="72"/>
      <c r="BJ17" s="72"/>
      <c r="BK17" s="72"/>
      <c r="BL17" s="72"/>
      <c r="BM17" s="72"/>
      <c r="BN17" s="72"/>
    </row>
    <row r="18" spans="1:66" s="48" customFormat="1" ht="18">
      <c r="A18" s="72"/>
      <c r="B18" s="73"/>
      <c r="D18" s="74"/>
      <c r="E18" s="75"/>
      <c r="F18" s="76"/>
      <c r="G18" s="77"/>
      <c r="H18" s="78"/>
      <c r="I18" s="95"/>
      <c r="J18" s="96"/>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72"/>
      <c r="BH18" s="72"/>
      <c r="BI18" s="72"/>
      <c r="BJ18" s="72"/>
      <c r="BK18" s="72"/>
      <c r="BL18" s="72"/>
      <c r="BM18" s="72"/>
      <c r="BN18" s="72"/>
    </row>
    <row r="19" spans="1:66" s="48" customFormat="1" ht="18">
      <c r="A19" s="72"/>
      <c r="B19" s="73"/>
      <c r="D19" s="74"/>
      <c r="E19" s="75"/>
      <c r="F19" s="76"/>
      <c r="G19" s="77"/>
      <c r="H19" s="78"/>
      <c r="I19" s="95"/>
      <c r="J19" s="96"/>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2"/>
      <c r="AJ19" s="72"/>
      <c r="AK19" s="72"/>
      <c r="AL19" s="72"/>
      <c r="AM19" s="72"/>
      <c r="AN19" s="72"/>
      <c r="AO19" s="72"/>
      <c r="AP19" s="72"/>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row>
    <row r="20" spans="1:66" s="48" customFormat="1" ht="18">
      <c r="A20" s="72"/>
      <c r="B20" s="73"/>
      <c r="D20" s="74"/>
      <c r="E20" s="75"/>
      <c r="F20" s="76"/>
      <c r="G20" s="77"/>
      <c r="H20" s="78"/>
      <c r="I20" s="95"/>
      <c r="J20" s="96"/>
      <c r="K20" s="72"/>
      <c r="L20" s="72"/>
      <c r="M20" s="72"/>
      <c r="N20" s="72"/>
      <c r="O20" s="72"/>
      <c r="P20" s="72"/>
      <c r="Q20" s="72"/>
      <c r="R20" s="72"/>
      <c r="S20" s="72"/>
      <c r="T20" s="72"/>
      <c r="U20" s="72"/>
      <c r="V20" s="72"/>
      <c r="W20" s="72"/>
      <c r="X20" s="72"/>
      <c r="Y20" s="72"/>
      <c r="Z20" s="72"/>
      <c r="AA20" s="72"/>
      <c r="AB20" s="72"/>
      <c r="AC20" s="72"/>
      <c r="AD20" s="72"/>
      <c r="AE20" s="72"/>
      <c r="AF20" s="72"/>
      <c r="AG20" s="72"/>
      <c r="AH20" s="72"/>
      <c r="AI20" s="72"/>
      <c r="AJ20" s="72"/>
      <c r="AK20" s="72"/>
      <c r="AL20" s="72"/>
      <c r="AM20" s="72"/>
      <c r="AN20" s="72"/>
      <c r="AO20" s="72"/>
      <c r="AP20" s="72"/>
      <c r="AQ20" s="72"/>
      <c r="AR20" s="72"/>
      <c r="AS20" s="72"/>
      <c r="AT20" s="72"/>
      <c r="AU20" s="72"/>
      <c r="AV20" s="72"/>
      <c r="AW20" s="72"/>
      <c r="AX20" s="72"/>
      <c r="AY20" s="72"/>
      <c r="AZ20" s="72"/>
      <c r="BA20" s="72"/>
      <c r="BB20" s="72"/>
      <c r="BC20" s="72"/>
      <c r="BD20" s="72"/>
      <c r="BE20" s="72"/>
      <c r="BF20" s="72"/>
      <c r="BG20" s="72"/>
      <c r="BH20" s="72"/>
      <c r="BI20" s="72"/>
      <c r="BJ20" s="72"/>
      <c r="BK20" s="72"/>
      <c r="BL20" s="72"/>
      <c r="BM20" s="72"/>
      <c r="BN20" s="72"/>
    </row>
    <row r="21" spans="1:66" s="48" customFormat="1" ht="18">
      <c r="A21" s="72"/>
      <c r="B21" s="73"/>
      <c r="D21" s="74"/>
      <c r="E21" s="75"/>
      <c r="F21" s="76"/>
      <c r="G21" s="77"/>
      <c r="H21" s="78"/>
      <c r="I21" s="95"/>
      <c r="J21" s="96"/>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2"/>
      <c r="AJ21" s="72"/>
      <c r="AK21" s="72"/>
      <c r="AL21" s="72"/>
      <c r="AM21" s="72"/>
      <c r="AN21" s="72"/>
      <c r="AO21" s="72"/>
      <c r="AP21" s="72"/>
      <c r="AQ21" s="72"/>
      <c r="AR21" s="72"/>
      <c r="AS21" s="72"/>
      <c r="AT21" s="72"/>
      <c r="AU21" s="72"/>
      <c r="AV21" s="72"/>
      <c r="AW21" s="72"/>
      <c r="AX21" s="72"/>
      <c r="AY21" s="72"/>
      <c r="AZ21" s="72"/>
      <c r="BA21" s="72"/>
      <c r="BB21" s="72"/>
      <c r="BC21" s="72"/>
      <c r="BD21" s="72"/>
      <c r="BE21" s="72"/>
      <c r="BF21" s="72"/>
      <c r="BG21" s="72"/>
      <c r="BH21" s="72"/>
      <c r="BI21" s="72"/>
      <c r="BJ21" s="72"/>
      <c r="BK21" s="72"/>
      <c r="BL21" s="72"/>
      <c r="BM21" s="72"/>
      <c r="BN21" s="72"/>
    </row>
    <row r="22" spans="1:66" s="48" customFormat="1" ht="18">
      <c r="A22" s="72"/>
      <c r="B22" s="73"/>
      <c r="D22" s="74"/>
      <c r="E22" s="75"/>
      <c r="F22" s="76"/>
      <c r="G22" s="77"/>
      <c r="H22" s="78"/>
      <c r="I22" s="95"/>
      <c r="J22" s="96"/>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2"/>
      <c r="AK22" s="72"/>
      <c r="AL22" s="72"/>
      <c r="AM22" s="72"/>
      <c r="AN22" s="72"/>
      <c r="AO22" s="72"/>
      <c r="AP22" s="72"/>
      <c r="AQ22" s="72"/>
      <c r="AR22" s="72"/>
      <c r="AS22" s="72"/>
      <c r="AT22" s="72"/>
      <c r="AU22" s="72"/>
      <c r="AV22" s="72"/>
      <c r="AW22" s="72"/>
      <c r="AX22" s="72"/>
      <c r="AY22" s="72"/>
      <c r="AZ22" s="72"/>
      <c r="BA22" s="72"/>
      <c r="BB22" s="72"/>
      <c r="BC22" s="72"/>
      <c r="BD22" s="72"/>
      <c r="BE22" s="72"/>
      <c r="BF22" s="72"/>
      <c r="BG22" s="72"/>
      <c r="BH22" s="72"/>
      <c r="BI22" s="72"/>
      <c r="BJ22" s="72"/>
      <c r="BK22" s="72"/>
      <c r="BL22" s="72"/>
      <c r="BM22" s="72"/>
      <c r="BN22" s="72"/>
    </row>
    <row r="23" spans="1:66" s="48" customFormat="1" ht="18">
      <c r="A23" s="72"/>
      <c r="B23" s="73"/>
      <c r="D23" s="74"/>
      <c r="E23" s="75"/>
      <c r="F23" s="76"/>
      <c r="G23" s="77"/>
      <c r="H23" s="78"/>
      <c r="I23" s="95"/>
      <c r="J23" s="96"/>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2"/>
      <c r="AK23" s="72"/>
      <c r="AL23" s="72"/>
      <c r="AM23" s="72"/>
      <c r="AN23" s="72"/>
      <c r="AO23" s="72"/>
      <c r="AP23" s="72"/>
      <c r="AQ23" s="72"/>
      <c r="AR23" s="72"/>
      <c r="AS23" s="72"/>
      <c r="AT23" s="72"/>
      <c r="AU23" s="72"/>
      <c r="AV23" s="72"/>
      <c r="AW23" s="72"/>
      <c r="AX23" s="72"/>
      <c r="AY23" s="72"/>
      <c r="AZ23" s="72"/>
      <c r="BA23" s="72"/>
      <c r="BB23" s="72"/>
      <c r="BC23" s="72"/>
      <c r="BD23" s="72"/>
      <c r="BE23" s="72"/>
      <c r="BF23" s="72"/>
      <c r="BG23" s="72"/>
      <c r="BH23" s="72"/>
      <c r="BI23" s="72"/>
      <c r="BJ23" s="72"/>
      <c r="BK23" s="72"/>
      <c r="BL23" s="72"/>
      <c r="BM23" s="72"/>
      <c r="BN23" s="72"/>
    </row>
    <row r="24" spans="1:66" s="48" customFormat="1" ht="18">
      <c r="A24" s="72"/>
      <c r="B24" s="73"/>
      <c r="D24" s="74"/>
      <c r="E24" s="75"/>
      <c r="F24" s="76"/>
      <c r="G24" s="77"/>
      <c r="H24" s="78"/>
      <c r="I24" s="95"/>
      <c r="J24" s="96"/>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c r="BF24" s="72"/>
      <c r="BG24" s="72"/>
      <c r="BH24" s="72"/>
      <c r="BI24" s="72"/>
      <c r="BJ24" s="72"/>
      <c r="BK24" s="72"/>
      <c r="BL24" s="72"/>
      <c r="BM24" s="72"/>
      <c r="BN24" s="72"/>
    </row>
    <row r="25" spans="1:66" s="48" customFormat="1" ht="18">
      <c r="A25" s="72"/>
      <c r="B25" s="73"/>
      <c r="D25" s="74"/>
      <c r="E25" s="75"/>
      <c r="F25" s="76"/>
      <c r="G25" s="77"/>
      <c r="H25" s="78"/>
      <c r="I25" s="95"/>
      <c r="J25" s="96"/>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2"/>
      <c r="AK25" s="72"/>
      <c r="AL25" s="72"/>
      <c r="AM25" s="72"/>
      <c r="AN25" s="72"/>
      <c r="AO25" s="72"/>
      <c r="AP25" s="72"/>
      <c r="AQ25" s="72"/>
      <c r="AR25" s="72"/>
      <c r="AS25" s="72"/>
      <c r="AT25" s="72"/>
      <c r="AU25" s="72"/>
      <c r="AV25" s="72"/>
      <c r="AW25" s="72"/>
      <c r="AX25" s="72"/>
      <c r="AY25" s="72"/>
      <c r="AZ25" s="72"/>
      <c r="BA25" s="72"/>
      <c r="BB25" s="72"/>
      <c r="BC25" s="72"/>
      <c r="BD25" s="72"/>
      <c r="BE25" s="72"/>
      <c r="BF25" s="72"/>
      <c r="BG25" s="72"/>
      <c r="BH25" s="72"/>
      <c r="BI25" s="72"/>
      <c r="BJ25" s="72"/>
      <c r="BK25" s="72"/>
      <c r="BL25" s="72"/>
      <c r="BM25" s="72"/>
      <c r="BN25" s="72"/>
    </row>
    <row r="26" spans="1:66" s="48" customFormat="1" ht="18">
      <c r="A26" s="72"/>
      <c r="B26" s="73"/>
      <c r="D26" s="74"/>
      <c r="E26" s="75"/>
      <c r="F26" s="76"/>
      <c r="G26" s="77"/>
      <c r="H26" s="78"/>
      <c r="I26" s="95"/>
      <c r="J26" s="96"/>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2"/>
      <c r="AJ26" s="72"/>
      <c r="AK26" s="72"/>
      <c r="AL26" s="72"/>
      <c r="AM26" s="72"/>
      <c r="AN26" s="72"/>
      <c r="AO26" s="72"/>
      <c r="AP26" s="72"/>
      <c r="AQ26" s="72"/>
      <c r="AR26" s="72"/>
      <c r="AS26" s="72"/>
      <c r="AT26" s="72"/>
      <c r="AU26" s="72"/>
      <c r="AV26" s="72"/>
      <c r="AW26" s="72"/>
      <c r="AX26" s="72"/>
      <c r="AY26" s="72"/>
      <c r="AZ26" s="72"/>
      <c r="BA26" s="72"/>
      <c r="BB26" s="72"/>
      <c r="BC26" s="72"/>
      <c r="BD26" s="72"/>
      <c r="BE26" s="72"/>
      <c r="BF26" s="72"/>
      <c r="BG26" s="72"/>
      <c r="BH26" s="72"/>
      <c r="BI26" s="72"/>
      <c r="BJ26" s="72"/>
      <c r="BK26" s="72"/>
      <c r="BL26" s="72"/>
      <c r="BM26" s="72"/>
      <c r="BN26" s="72"/>
    </row>
    <row r="27" spans="1:66" s="48" customFormat="1" ht="18">
      <c r="A27" s="72"/>
      <c r="B27" s="73"/>
      <c r="D27" s="74"/>
      <c r="E27" s="75"/>
      <c r="F27" s="76"/>
      <c r="G27" s="77"/>
      <c r="H27" s="78"/>
      <c r="I27" s="95"/>
      <c r="J27" s="96"/>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row>
    <row r="28" spans="1:66" s="48" customFormat="1" ht="18">
      <c r="A28" s="72"/>
      <c r="B28" s="73"/>
      <c r="D28" s="74"/>
      <c r="E28" s="75"/>
      <c r="F28" s="76"/>
      <c r="G28" s="77"/>
      <c r="H28" s="78"/>
      <c r="I28" s="95"/>
      <c r="J28" s="96"/>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72"/>
      <c r="BH28" s="72"/>
      <c r="BI28" s="72"/>
      <c r="BJ28" s="72"/>
      <c r="BK28" s="72"/>
      <c r="BL28" s="72"/>
      <c r="BM28" s="72"/>
      <c r="BN28" s="72"/>
    </row>
    <row r="29" spans="1:66" s="48" customFormat="1" ht="18">
      <c r="A29" s="72"/>
      <c r="B29" s="73"/>
      <c r="D29" s="74"/>
      <c r="E29" s="75"/>
      <c r="F29" s="76"/>
      <c r="G29" s="77"/>
      <c r="H29" s="78"/>
      <c r="I29" s="95"/>
      <c r="J29" s="96"/>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row>
    <row r="30" spans="1:66" s="48" customFormat="1" ht="18">
      <c r="A30" s="72"/>
      <c r="B30" s="73"/>
      <c r="D30" s="74"/>
      <c r="E30" s="75"/>
      <c r="F30" s="76"/>
      <c r="G30" s="77"/>
      <c r="H30" s="78"/>
      <c r="I30" s="95"/>
      <c r="J30" s="96"/>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2"/>
      <c r="AJ30" s="72"/>
      <c r="AK30" s="72"/>
      <c r="AL30" s="72"/>
      <c r="AM30" s="72"/>
      <c r="AN30" s="72"/>
      <c r="AO30" s="72"/>
      <c r="AP30" s="72"/>
      <c r="AQ30" s="72"/>
      <c r="AR30" s="72"/>
      <c r="AS30" s="72"/>
      <c r="AT30" s="72"/>
      <c r="AU30" s="72"/>
      <c r="AV30" s="72"/>
      <c r="AW30" s="72"/>
      <c r="AX30" s="72"/>
      <c r="AY30" s="72"/>
      <c r="AZ30" s="72"/>
      <c r="BA30" s="72"/>
      <c r="BB30" s="72"/>
      <c r="BC30" s="72"/>
      <c r="BD30" s="72"/>
      <c r="BE30" s="72"/>
      <c r="BF30" s="72"/>
      <c r="BG30" s="72"/>
      <c r="BH30" s="72"/>
      <c r="BI30" s="72"/>
      <c r="BJ30" s="72"/>
      <c r="BK30" s="72"/>
      <c r="BL30" s="72"/>
      <c r="BM30" s="72"/>
      <c r="BN30" s="72"/>
    </row>
    <row r="31" spans="1:66" s="48" customFormat="1" ht="18">
      <c r="A31" s="72"/>
      <c r="B31" s="73"/>
      <c r="D31" s="74"/>
      <c r="E31" s="75"/>
      <c r="F31" s="76"/>
      <c r="G31" s="77"/>
      <c r="H31" s="78"/>
      <c r="I31" s="95"/>
      <c r="J31" s="96"/>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2"/>
      <c r="AJ31" s="72"/>
      <c r="AK31" s="72"/>
      <c r="AL31" s="72"/>
      <c r="AM31" s="72"/>
      <c r="AN31" s="72"/>
      <c r="AO31" s="72"/>
      <c r="AP31" s="72"/>
      <c r="AQ31" s="72"/>
      <c r="AR31" s="72"/>
      <c r="AS31" s="72"/>
      <c r="AT31" s="72"/>
      <c r="AU31" s="72"/>
      <c r="AV31" s="72"/>
      <c r="AW31" s="72"/>
      <c r="AX31" s="72"/>
      <c r="AY31" s="72"/>
      <c r="AZ31" s="72"/>
      <c r="BA31" s="72"/>
      <c r="BB31" s="72"/>
      <c r="BC31" s="72"/>
      <c r="BD31" s="72"/>
      <c r="BE31" s="72"/>
      <c r="BF31" s="72"/>
      <c r="BG31" s="72"/>
      <c r="BH31" s="72"/>
      <c r="BI31" s="72"/>
      <c r="BJ31" s="72"/>
      <c r="BK31" s="72"/>
      <c r="BL31" s="72"/>
      <c r="BM31" s="72"/>
      <c r="BN31" s="72"/>
    </row>
    <row r="32" spans="1:66" s="48" customFormat="1" ht="18">
      <c r="A32" s="72"/>
      <c r="B32" s="73"/>
      <c r="D32" s="74"/>
      <c r="E32" s="75"/>
      <c r="F32" s="76"/>
      <c r="G32" s="77"/>
      <c r="H32" s="78"/>
      <c r="I32" s="95"/>
      <c r="J32" s="96"/>
      <c r="K32" s="72"/>
      <c r="L32" s="72"/>
      <c r="M32" s="72"/>
      <c r="N32" s="72"/>
      <c r="O32" s="72"/>
      <c r="P32" s="72"/>
      <c r="Q32" s="72"/>
      <c r="R32" s="72"/>
      <c r="S32" s="72"/>
      <c r="T32" s="72"/>
      <c r="U32" s="72"/>
      <c r="V32" s="72"/>
      <c r="W32" s="72"/>
      <c r="X32" s="72"/>
      <c r="Y32" s="72"/>
      <c r="Z32" s="72"/>
      <c r="AA32" s="72"/>
      <c r="AB32" s="72"/>
      <c r="AC32" s="72"/>
      <c r="AD32" s="72"/>
      <c r="AE32" s="72"/>
      <c r="AF32" s="72"/>
      <c r="AG32" s="72"/>
      <c r="AH32" s="72"/>
      <c r="AI32" s="72"/>
      <c r="AJ32" s="72"/>
      <c r="AK32" s="72"/>
      <c r="AL32" s="72"/>
      <c r="AM32" s="72"/>
      <c r="AN32" s="72"/>
      <c r="AO32" s="72"/>
      <c r="AP32" s="72"/>
      <c r="AQ32" s="72"/>
      <c r="AR32" s="72"/>
      <c r="AS32" s="72"/>
      <c r="AT32" s="72"/>
      <c r="AU32" s="72"/>
      <c r="AV32" s="72"/>
      <c r="AW32" s="72"/>
      <c r="AX32" s="72"/>
      <c r="AY32" s="72"/>
      <c r="AZ32" s="72"/>
      <c r="BA32" s="72"/>
      <c r="BB32" s="72"/>
      <c r="BC32" s="72"/>
      <c r="BD32" s="72"/>
      <c r="BE32" s="72"/>
      <c r="BF32" s="72"/>
      <c r="BG32" s="72"/>
      <c r="BH32" s="72"/>
      <c r="BI32" s="72"/>
      <c r="BJ32" s="72"/>
      <c r="BK32" s="72"/>
      <c r="BL32" s="72"/>
      <c r="BM32" s="72"/>
      <c r="BN32" s="72"/>
    </row>
    <row r="33" spans="1:66" s="48" customFormat="1" ht="18">
      <c r="A33" s="72"/>
      <c r="B33" s="73"/>
      <c r="D33" s="74"/>
      <c r="E33" s="75"/>
      <c r="F33" s="76"/>
      <c r="G33" s="77"/>
      <c r="H33" s="78"/>
      <c r="I33" s="95"/>
      <c r="J33" s="96"/>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row>
    <row r="34" spans="1:66" s="48" customFormat="1" ht="18">
      <c r="A34" s="72"/>
      <c r="B34" s="73"/>
      <c r="D34" s="74"/>
      <c r="E34" s="75"/>
      <c r="F34" s="76"/>
      <c r="G34" s="77"/>
      <c r="H34" s="78"/>
      <c r="I34" s="95"/>
      <c r="J34" s="96"/>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72"/>
      <c r="AO34" s="72"/>
      <c r="AP34" s="72"/>
      <c r="AQ34" s="72"/>
      <c r="AR34" s="72"/>
      <c r="AS34" s="72"/>
      <c r="AT34" s="72"/>
      <c r="AU34" s="72"/>
      <c r="AV34" s="72"/>
      <c r="AW34" s="72"/>
      <c r="AX34" s="72"/>
      <c r="AY34" s="72"/>
      <c r="AZ34" s="72"/>
      <c r="BA34" s="72"/>
      <c r="BB34" s="72"/>
      <c r="BC34" s="72"/>
      <c r="BD34" s="72"/>
      <c r="BE34" s="72"/>
      <c r="BF34" s="72"/>
      <c r="BG34" s="72"/>
      <c r="BH34" s="72"/>
      <c r="BI34" s="72"/>
      <c r="BJ34" s="72"/>
      <c r="BK34" s="72"/>
      <c r="BL34" s="72"/>
      <c r="BM34" s="72"/>
      <c r="BN34" s="72"/>
    </row>
    <row r="35" spans="1:66" s="48" customFormat="1" ht="18">
      <c r="A35" s="72"/>
      <c r="B35" s="73"/>
      <c r="D35" s="74"/>
      <c r="E35" s="75"/>
      <c r="F35" s="76"/>
      <c r="G35" s="77"/>
      <c r="H35" s="78"/>
      <c r="I35" s="95"/>
      <c r="J35" s="96"/>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row>
    <row r="36" spans="1:66" s="48" customFormat="1" ht="18">
      <c r="A36" s="72"/>
      <c r="B36" s="73"/>
      <c r="D36" s="74"/>
      <c r="E36" s="75"/>
      <c r="F36" s="76"/>
      <c r="G36" s="77"/>
      <c r="H36" s="78"/>
      <c r="I36" s="95"/>
      <c r="J36" s="96"/>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72"/>
      <c r="BH36" s="72"/>
      <c r="BI36" s="72"/>
      <c r="BJ36" s="72"/>
      <c r="BK36" s="72"/>
      <c r="BL36" s="72"/>
      <c r="BM36" s="72"/>
      <c r="BN36" s="72"/>
    </row>
    <row r="37" spans="1:66" s="48" customFormat="1" ht="18">
      <c r="A37" s="72"/>
      <c r="B37" s="73"/>
      <c r="D37" s="74"/>
      <c r="E37" s="75"/>
      <c r="F37" s="76"/>
      <c r="G37" s="77"/>
      <c r="H37" s="78"/>
      <c r="I37" s="95"/>
      <c r="J37" s="96"/>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row>
    <row r="38" spans="1:66" s="48" customFormat="1" ht="18">
      <c r="A38" s="72"/>
      <c r="B38" s="73"/>
      <c r="D38" s="74"/>
      <c r="E38" s="75"/>
      <c r="F38" s="76"/>
      <c r="G38" s="77"/>
      <c r="H38" s="78"/>
      <c r="I38" s="95"/>
      <c r="J38" s="96"/>
      <c r="K38" s="72"/>
      <c r="L38" s="72"/>
      <c r="M38" s="72"/>
      <c r="N38" s="72"/>
      <c r="O38" s="72"/>
      <c r="P38" s="72"/>
      <c r="Q38" s="72"/>
      <c r="R38" s="72"/>
      <c r="S38" s="72"/>
      <c r="T38" s="72"/>
      <c r="U38" s="72"/>
      <c r="V38" s="72"/>
      <c r="W38" s="72"/>
      <c r="X38" s="72"/>
      <c r="Y38" s="72"/>
      <c r="Z38" s="72"/>
      <c r="AA38" s="72"/>
      <c r="AB38" s="72"/>
      <c r="AC38" s="72"/>
      <c r="AD38" s="72"/>
      <c r="AE38" s="72"/>
      <c r="AF38" s="72"/>
      <c r="AG38" s="72"/>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72"/>
      <c r="BH38" s="72"/>
      <c r="BI38" s="72"/>
      <c r="BJ38" s="72"/>
      <c r="BK38" s="72"/>
      <c r="BL38" s="72"/>
      <c r="BM38" s="72"/>
      <c r="BN38" s="72"/>
    </row>
    <row r="39" spans="1:66" s="48" customFormat="1" ht="18">
      <c r="A39" s="72"/>
      <c r="B39" s="73"/>
      <c r="D39" s="74"/>
      <c r="E39" s="75"/>
      <c r="F39" s="76"/>
      <c r="G39" s="77"/>
      <c r="H39" s="78"/>
      <c r="I39" s="95"/>
      <c r="J39" s="96"/>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2"/>
      <c r="AJ39" s="72"/>
      <c r="AK39" s="72"/>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row>
    <row r="40" spans="1:66" s="48" customFormat="1" ht="18">
      <c r="A40" s="72"/>
      <c r="B40" s="73"/>
      <c r="D40" s="74"/>
      <c r="E40" s="75"/>
      <c r="F40" s="76"/>
      <c r="G40" s="77"/>
      <c r="H40" s="78"/>
      <c r="I40" s="95"/>
      <c r="J40" s="96"/>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2"/>
      <c r="AJ40" s="72"/>
      <c r="AK40" s="72"/>
      <c r="AL40" s="72"/>
      <c r="AM40" s="72"/>
      <c r="AN40" s="72"/>
      <c r="AO40" s="72"/>
      <c r="AP40" s="72"/>
      <c r="AQ40" s="72"/>
      <c r="AR40" s="72"/>
      <c r="AS40" s="72"/>
      <c r="AT40" s="72"/>
      <c r="AU40" s="72"/>
      <c r="AV40" s="72"/>
      <c r="AW40" s="72"/>
      <c r="AX40" s="72"/>
      <c r="AY40" s="72"/>
      <c r="AZ40" s="72"/>
      <c r="BA40" s="72"/>
      <c r="BB40" s="72"/>
      <c r="BC40" s="72"/>
      <c r="BD40" s="72"/>
      <c r="BE40" s="72"/>
      <c r="BF40" s="72"/>
      <c r="BG40" s="72"/>
      <c r="BH40" s="72"/>
      <c r="BI40" s="72"/>
      <c r="BJ40" s="72"/>
      <c r="BK40" s="72"/>
      <c r="BL40" s="72"/>
      <c r="BM40" s="72"/>
      <c r="BN40" s="72"/>
    </row>
    <row r="41" spans="1:66" s="48" customFormat="1" ht="18">
      <c r="A41" s="72"/>
      <c r="B41" s="73"/>
      <c r="D41" s="74"/>
      <c r="E41" s="75"/>
      <c r="F41" s="76"/>
      <c r="G41" s="77"/>
      <c r="H41" s="78"/>
      <c r="I41" s="95"/>
      <c r="J41" s="96"/>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72"/>
      <c r="BH41" s="72"/>
      <c r="BI41" s="72"/>
      <c r="BJ41" s="72"/>
      <c r="BK41" s="72"/>
      <c r="BL41" s="72"/>
      <c r="BM41" s="72"/>
      <c r="BN41" s="72"/>
    </row>
    <row r="42" spans="1:66" s="48" customFormat="1" ht="18">
      <c r="A42" s="72"/>
      <c r="B42" s="73"/>
      <c r="D42" s="74"/>
      <c r="E42" s="75"/>
      <c r="F42" s="76"/>
      <c r="G42" s="77"/>
      <c r="H42" s="78"/>
      <c r="I42" s="95"/>
      <c r="J42" s="96"/>
      <c r="K42" s="72"/>
      <c r="L42" s="72"/>
      <c r="M42" s="72"/>
      <c r="N42" s="72"/>
      <c r="O42" s="72"/>
      <c r="P42" s="72"/>
      <c r="Q42" s="72"/>
      <c r="R42" s="72"/>
      <c r="S42" s="72"/>
      <c r="T42" s="72"/>
      <c r="U42" s="72"/>
      <c r="V42" s="72"/>
      <c r="W42" s="72"/>
      <c r="X42" s="72"/>
      <c r="Y42" s="72"/>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row>
    <row r="43" spans="1:66" s="48" customFormat="1" ht="18">
      <c r="A43" s="72"/>
      <c r="B43" s="73"/>
      <c r="D43" s="74"/>
      <c r="E43" s="75"/>
      <c r="F43" s="76"/>
      <c r="G43" s="77"/>
      <c r="H43" s="78"/>
      <c r="I43" s="95"/>
      <c r="J43" s="96"/>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72"/>
      <c r="BH43" s="72"/>
      <c r="BI43" s="72"/>
      <c r="BJ43" s="72"/>
      <c r="BK43" s="72"/>
      <c r="BL43" s="72"/>
      <c r="BM43" s="72"/>
      <c r="BN43" s="72"/>
    </row>
    <row r="44" spans="1:66" s="48" customFormat="1" ht="18">
      <c r="A44" s="72"/>
      <c r="B44" s="73"/>
      <c r="D44" s="74"/>
      <c r="E44" s="75"/>
      <c r="F44" s="76"/>
      <c r="G44" s="77"/>
      <c r="H44" s="78"/>
      <c r="I44" s="95"/>
      <c r="J44" s="96"/>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72"/>
      <c r="AQ44" s="72"/>
      <c r="AR44" s="72"/>
      <c r="AS44" s="72"/>
      <c r="AT44" s="72"/>
      <c r="AU44" s="72"/>
      <c r="AV44" s="72"/>
      <c r="AW44" s="72"/>
      <c r="AX44" s="72"/>
      <c r="AY44" s="72"/>
      <c r="AZ44" s="72"/>
      <c r="BA44" s="72"/>
      <c r="BB44" s="72"/>
      <c r="BC44" s="72"/>
      <c r="BD44" s="72"/>
      <c r="BE44" s="72"/>
      <c r="BF44" s="72"/>
      <c r="BG44" s="72"/>
      <c r="BH44" s="72"/>
      <c r="BI44" s="72"/>
      <c r="BJ44" s="72"/>
      <c r="BK44" s="72"/>
      <c r="BL44" s="72"/>
      <c r="BM44" s="72"/>
      <c r="BN44" s="72"/>
    </row>
    <row r="45" spans="1:66" s="48" customFormat="1" ht="18">
      <c r="A45" s="72"/>
      <c r="B45" s="73"/>
      <c r="D45" s="74"/>
      <c r="E45" s="75"/>
      <c r="F45" s="76"/>
      <c r="G45" s="77"/>
      <c r="H45" s="78"/>
      <c r="I45" s="95"/>
      <c r="J45" s="96"/>
      <c r="K45" s="72"/>
      <c r="L45" s="72"/>
      <c r="M45" s="72"/>
      <c r="N45" s="72"/>
      <c r="O45" s="72"/>
      <c r="P45" s="72"/>
      <c r="Q45" s="72"/>
      <c r="R45" s="72"/>
      <c r="S45" s="72"/>
      <c r="T45" s="72"/>
      <c r="U45" s="72"/>
      <c r="V45" s="72"/>
      <c r="W45" s="72"/>
      <c r="X45" s="72"/>
      <c r="Y45" s="72"/>
      <c r="Z45" s="72"/>
      <c r="AA45" s="72"/>
      <c r="AB45" s="72"/>
      <c r="AC45" s="72"/>
      <c r="AD45" s="72"/>
      <c r="AE45" s="72"/>
      <c r="AF45" s="72"/>
      <c r="AG45" s="72"/>
      <c r="AH45" s="72"/>
      <c r="AI45" s="72"/>
      <c r="AJ45" s="72"/>
      <c r="AK45" s="72"/>
      <c r="AL45" s="72"/>
      <c r="AM45" s="72"/>
      <c r="AN45" s="72"/>
      <c r="AO45" s="72"/>
      <c r="AP45" s="72"/>
      <c r="AQ45" s="72"/>
      <c r="AR45" s="72"/>
      <c r="AS45" s="72"/>
      <c r="AT45" s="72"/>
      <c r="AU45" s="72"/>
      <c r="AV45" s="72"/>
      <c r="AW45" s="72"/>
      <c r="AX45" s="72"/>
      <c r="AY45" s="72"/>
      <c r="AZ45" s="72"/>
      <c r="BA45" s="72"/>
      <c r="BB45" s="72"/>
      <c r="BC45" s="72"/>
      <c r="BD45" s="72"/>
      <c r="BE45" s="72"/>
      <c r="BF45" s="72"/>
      <c r="BG45" s="72"/>
      <c r="BH45" s="72"/>
      <c r="BI45" s="72"/>
      <c r="BJ45" s="72"/>
      <c r="BK45" s="72"/>
      <c r="BL45" s="72"/>
      <c r="BM45" s="72"/>
      <c r="BN45" s="72"/>
    </row>
    <row r="46" spans="1:66" s="48" customFormat="1" ht="18">
      <c r="A46" s="72"/>
      <c r="B46" s="73"/>
      <c r="D46" s="74"/>
      <c r="E46" s="75"/>
      <c r="F46" s="76"/>
      <c r="G46" s="77"/>
      <c r="H46" s="78"/>
      <c r="I46" s="95"/>
      <c r="J46" s="96"/>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2"/>
      <c r="AK46" s="72"/>
      <c r="AL46" s="72"/>
      <c r="AM46" s="72"/>
      <c r="AN46" s="72"/>
      <c r="AO46" s="72"/>
      <c r="AP46" s="72"/>
      <c r="AQ46" s="72"/>
      <c r="AR46" s="72"/>
      <c r="AS46" s="72"/>
      <c r="AT46" s="72"/>
      <c r="AU46" s="72"/>
      <c r="AV46" s="72"/>
      <c r="AW46" s="72"/>
      <c r="AX46" s="72"/>
      <c r="AY46" s="72"/>
      <c r="AZ46" s="72"/>
      <c r="BA46" s="72"/>
      <c r="BB46" s="72"/>
      <c r="BC46" s="72"/>
      <c r="BD46" s="72"/>
      <c r="BE46" s="72"/>
      <c r="BF46" s="72"/>
      <c r="BG46" s="72"/>
      <c r="BH46" s="72"/>
      <c r="BI46" s="72"/>
      <c r="BJ46" s="72"/>
      <c r="BK46" s="72"/>
      <c r="BL46" s="72"/>
      <c r="BM46" s="72"/>
      <c r="BN46" s="72"/>
    </row>
    <row r="47" spans="1:66" s="48" customFormat="1" ht="18">
      <c r="A47" s="72"/>
      <c r="B47" s="73"/>
      <c r="D47" s="74"/>
      <c r="E47" s="75"/>
      <c r="F47" s="76"/>
      <c r="G47" s="77"/>
      <c r="H47" s="78"/>
      <c r="I47" s="95"/>
      <c r="J47" s="96"/>
      <c r="K47" s="72"/>
      <c r="L47" s="72"/>
      <c r="M47" s="72"/>
      <c r="N47" s="72"/>
      <c r="O47" s="72"/>
      <c r="P47" s="72"/>
      <c r="Q47" s="72"/>
      <c r="R47" s="72"/>
      <c r="S47" s="72"/>
      <c r="T47" s="72"/>
      <c r="U47" s="72"/>
      <c r="V47" s="72"/>
      <c r="W47" s="72"/>
      <c r="X47" s="72"/>
      <c r="Y47" s="72"/>
      <c r="Z47" s="72"/>
      <c r="AA47" s="72"/>
      <c r="AB47" s="72"/>
      <c r="AC47" s="72"/>
      <c r="AD47" s="72"/>
      <c r="AE47" s="72"/>
      <c r="AF47" s="72"/>
      <c r="AG47" s="72"/>
      <c r="AH47" s="72"/>
      <c r="AI47" s="72"/>
      <c r="AJ47" s="72"/>
      <c r="AK47" s="72"/>
      <c r="AL47" s="72"/>
      <c r="AM47" s="72"/>
      <c r="AN47" s="72"/>
      <c r="AO47" s="72"/>
      <c r="AP47" s="72"/>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row>
    <row r="48" spans="1:66" s="48" customFormat="1" ht="18">
      <c r="A48" s="72"/>
      <c r="B48" s="73"/>
      <c r="D48" s="74"/>
      <c r="E48" s="75"/>
      <c r="F48" s="76"/>
      <c r="G48" s="77"/>
      <c r="H48" s="78"/>
      <c r="I48" s="95"/>
      <c r="J48" s="96"/>
      <c r="K48" s="72"/>
      <c r="L48" s="72"/>
      <c r="M48" s="72"/>
      <c r="N48" s="72"/>
      <c r="O48" s="72"/>
      <c r="P48" s="72"/>
      <c r="Q48" s="72"/>
      <c r="R48" s="72"/>
      <c r="S48" s="72"/>
      <c r="T48" s="72"/>
      <c r="U48" s="72"/>
      <c r="V48" s="72"/>
      <c r="W48" s="72"/>
      <c r="X48" s="72"/>
      <c r="Y48" s="72"/>
      <c r="Z48" s="72"/>
      <c r="AA48" s="72"/>
      <c r="AB48" s="72"/>
      <c r="AC48" s="72"/>
      <c r="AD48" s="72"/>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2"/>
      <c r="BC48" s="72"/>
      <c r="BD48" s="72"/>
      <c r="BE48" s="72"/>
      <c r="BF48" s="72"/>
      <c r="BG48" s="72"/>
      <c r="BH48" s="72"/>
      <c r="BI48" s="72"/>
      <c r="BJ48" s="72"/>
      <c r="BK48" s="72"/>
      <c r="BL48" s="72"/>
      <c r="BM48" s="72"/>
      <c r="BN48" s="72"/>
    </row>
    <row r="49" spans="1:66" s="48" customFormat="1" ht="18">
      <c r="A49" s="72"/>
      <c r="B49" s="73"/>
      <c r="D49" s="74"/>
      <c r="E49" s="75"/>
      <c r="F49" s="76"/>
      <c r="G49" s="77"/>
      <c r="H49" s="78"/>
      <c r="I49" s="95"/>
      <c r="J49" s="96"/>
      <c r="K49" s="72"/>
      <c r="L49" s="72"/>
      <c r="M49" s="72"/>
      <c r="N49" s="72"/>
      <c r="O49" s="72"/>
      <c r="P49" s="72"/>
      <c r="Q49" s="72"/>
      <c r="R49" s="72"/>
      <c r="S49" s="72"/>
      <c r="T49" s="72"/>
      <c r="U49" s="72"/>
      <c r="V49" s="72"/>
      <c r="W49" s="72"/>
      <c r="X49" s="72"/>
      <c r="Y49" s="72"/>
      <c r="Z49" s="72"/>
      <c r="AA49" s="72"/>
      <c r="AB49" s="72"/>
      <c r="AC49" s="72"/>
      <c r="AD49" s="72"/>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row>
    <row r="50" spans="1:66" s="48" customFormat="1" ht="18">
      <c r="A50" s="72"/>
      <c r="B50" s="73"/>
      <c r="D50" s="74"/>
      <c r="E50" s="75"/>
      <c r="F50" s="76"/>
      <c r="G50" s="77"/>
      <c r="H50" s="78"/>
      <c r="I50" s="95"/>
      <c r="J50" s="96"/>
      <c r="K50" s="72"/>
      <c r="L50" s="72"/>
      <c r="M50" s="72"/>
      <c r="N50" s="72"/>
      <c r="O50" s="72"/>
      <c r="P50" s="72"/>
      <c r="Q50" s="72"/>
      <c r="R50" s="72"/>
      <c r="S50" s="72"/>
      <c r="T50" s="72"/>
      <c r="U50" s="72"/>
      <c r="V50" s="72"/>
      <c r="W50" s="72"/>
      <c r="X50" s="72"/>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row>
    <row r="51" spans="1:66" s="48" customFormat="1" ht="18">
      <c r="A51" s="72"/>
      <c r="B51" s="73"/>
      <c r="D51" s="74"/>
      <c r="E51" s="75"/>
      <c r="F51" s="76"/>
      <c r="G51" s="77"/>
      <c r="H51" s="78"/>
      <c r="I51" s="95"/>
      <c r="J51" s="96"/>
      <c r="K51" s="72"/>
      <c r="L51" s="72"/>
      <c r="M51" s="72"/>
      <c r="N51" s="72"/>
      <c r="O51" s="72"/>
      <c r="P51" s="72"/>
      <c r="Q51" s="72"/>
      <c r="R51" s="72"/>
      <c r="S51" s="72"/>
      <c r="T51" s="72"/>
      <c r="U51" s="72"/>
      <c r="V51" s="72"/>
      <c r="W51" s="72"/>
      <c r="X51" s="72"/>
      <c r="Y51" s="72"/>
      <c r="Z51" s="72"/>
      <c r="AA51" s="72"/>
      <c r="AB51" s="72"/>
      <c r="AC51" s="72"/>
      <c r="AD51" s="72"/>
      <c r="AE51" s="72"/>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row>
    <row r="52" spans="1:66" s="48" customFormat="1" ht="18">
      <c r="A52" s="72"/>
      <c r="B52" s="73"/>
      <c r="D52" s="74"/>
      <c r="E52" s="75"/>
      <c r="F52" s="76"/>
      <c r="G52" s="77"/>
      <c r="H52" s="78"/>
      <c r="I52" s="95"/>
      <c r="J52" s="96"/>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72"/>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row>
    <row r="53" spans="1:66" s="48" customFormat="1" ht="18">
      <c r="A53" s="72"/>
      <c r="B53" s="73"/>
      <c r="D53" s="74"/>
      <c r="E53" s="75"/>
      <c r="F53" s="76"/>
      <c r="G53" s="77"/>
      <c r="H53" s="78"/>
      <c r="I53" s="95"/>
      <c r="J53" s="96"/>
      <c r="K53" s="72"/>
      <c r="L53" s="72"/>
      <c r="M53" s="72"/>
      <c r="N53" s="72"/>
      <c r="O53" s="72"/>
      <c r="P53" s="72"/>
      <c r="Q53" s="72"/>
      <c r="R53" s="72"/>
      <c r="S53" s="72"/>
      <c r="T53" s="72"/>
      <c r="U53" s="72"/>
      <c r="V53" s="72"/>
      <c r="W53" s="72"/>
      <c r="X53" s="72"/>
      <c r="Y53" s="72"/>
      <c r="Z53" s="72"/>
      <c r="AA53" s="72"/>
      <c r="AB53" s="72"/>
      <c r="AC53" s="72"/>
      <c r="AD53" s="72"/>
      <c r="AE53" s="72"/>
      <c r="AF53" s="72"/>
      <c r="AG53" s="72"/>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72"/>
      <c r="BH53" s="72"/>
      <c r="BI53" s="72"/>
      <c r="BJ53" s="72"/>
      <c r="BK53" s="72"/>
      <c r="BL53" s="72"/>
      <c r="BM53" s="72"/>
      <c r="BN53" s="72"/>
    </row>
    <row r="54" spans="1:66" s="47" customFormat="1" ht="18" hidden="1">
      <c r="A54" s="79" t="str">
        <f>IF(ISERROR(VALUE(SUBSTITUTE(prevWBS,".",""))),"1",IF(ISERROR(FIND("`",SUBSTITUTE(prevWBS,".","`",1))),TEXT(VALUE(prevWBS)+1,"#"),TEXT(VALUE(LEFT(prevWBS,FIND("`",SUBSTITUTE(prevWBS,".","`",1))-1))+1,"#")))</f>
        <v>1</v>
      </c>
      <c r="B54" s="80" t="s">
        <v>15</v>
      </c>
      <c r="D54" s="81"/>
      <c r="E54" s="82"/>
      <c r="F54" s="82" t="str">
        <f t="shared" ref="F54:F59" si="7">IF(ISBLANK(E54)," - ",IF(G54=0,E54,E54+G54-1))</f>
        <v xml:space="preserve"> - </v>
      </c>
      <c r="G54" s="83"/>
      <c r="H54" s="84"/>
      <c r="I54" s="97" t="str">
        <f t="shared" si="4"/>
        <v xml:space="preserve"> - </v>
      </c>
      <c r="J54" s="98"/>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99"/>
      <c r="AU54" s="99"/>
      <c r="AV54" s="99"/>
      <c r="AW54" s="99"/>
      <c r="AX54" s="99"/>
      <c r="AY54" s="99"/>
      <c r="AZ54" s="99"/>
      <c r="BA54" s="99"/>
      <c r="BB54" s="99"/>
      <c r="BC54" s="99"/>
      <c r="BD54" s="99"/>
      <c r="BE54" s="99"/>
      <c r="BF54" s="99"/>
      <c r="BG54" s="99"/>
      <c r="BH54" s="99"/>
      <c r="BI54" s="99"/>
      <c r="BJ54" s="99"/>
      <c r="BK54" s="99"/>
      <c r="BL54" s="99"/>
      <c r="BM54" s="99"/>
      <c r="BN54" s="99"/>
    </row>
    <row r="55" spans="1:66" s="48" customFormat="1" ht="24" hidden="1">
      <c r="A55" s="72" t="str">
        <f t="shared" ref="A55:A93" si="8">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55" s="73" t="s">
        <v>16</v>
      </c>
      <c r="C55" s="48" t="s">
        <v>17</v>
      </c>
      <c r="D55" s="74"/>
      <c r="E55" s="75">
        <v>46057</v>
      </c>
      <c r="F55" s="76">
        <f t="shared" si="7"/>
        <v>46063</v>
      </c>
      <c r="G55" s="77">
        <v>7</v>
      </c>
      <c r="H55" s="78">
        <v>0</v>
      </c>
      <c r="I55" s="95">
        <f t="shared" si="4"/>
        <v>5</v>
      </c>
      <c r="J55" s="96"/>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72"/>
      <c r="BD55" s="72"/>
      <c r="BE55" s="72"/>
      <c r="BF55" s="72"/>
      <c r="BG55" s="72"/>
      <c r="BH55" s="72"/>
      <c r="BI55" s="72"/>
      <c r="BJ55" s="72"/>
      <c r="BK55" s="72"/>
      <c r="BL55" s="72"/>
      <c r="BM55" s="72"/>
      <c r="BN55" s="72"/>
    </row>
    <row r="56" spans="1:66" s="48" customFormat="1" ht="18" hidden="1">
      <c r="A56" s="72" t="str">
        <f t="shared" si="8"/>
        <v>1.2</v>
      </c>
      <c r="B56" s="73" t="s">
        <v>18</v>
      </c>
      <c r="C56" s="48" t="s">
        <v>19</v>
      </c>
      <c r="D56" s="74"/>
      <c r="E56" s="75">
        <v>46064</v>
      </c>
      <c r="F56" s="76">
        <f t="shared" si="7"/>
        <v>46070</v>
      </c>
      <c r="G56" s="77">
        <v>7</v>
      </c>
      <c r="H56" s="78">
        <v>0</v>
      </c>
      <c r="I56" s="95">
        <f t="shared" si="4"/>
        <v>5</v>
      </c>
      <c r="J56" s="96"/>
      <c r="K56" s="72"/>
      <c r="L56" s="72"/>
      <c r="M56" s="72"/>
      <c r="N56" s="72"/>
      <c r="O56" s="72"/>
      <c r="P56" s="72"/>
      <c r="Q56" s="72"/>
      <c r="R56" s="72"/>
      <c r="S56" s="72"/>
      <c r="T56" s="72"/>
      <c r="U56" s="72"/>
      <c r="V56" s="72"/>
      <c r="W56" s="72"/>
      <c r="X56" s="72"/>
      <c r="Y56" s="72"/>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row>
    <row r="57" spans="1:66" s="48" customFormat="1" ht="44.25" hidden="1" customHeight="1">
      <c r="A57" s="72" t="str">
        <f t="shared" si="8"/>
        <v>1.3</v>
      </c>
      <c r="B57" s="73" t="s">
        <v>20</v>
      </c>
      <c r="C57" s="48" t="s">
        <v>21</v>
      </c>
      <c r="D57" s="74"/>
      <c r="E57" s="75">
        <v>46064</v>
      </c>
      <c r="F57" s="76">
        <f t="shared" si="7"/>
        <v>46070</v>
      </c>
      <c r="G57" s="77">
        <v>7</v>
      </c>
      <c r="H57" s="78">
        <v>0</v>
      </c>
      <c r="I57" s="95">
        <f t="shared" si="4"/>
        <v>5</v>
      </c>
      <c r="J57" s="96"/>
      <c r="K57" s="72"/>
      <c r="L57" s="72"/>
      <c r="M57" s="72"/>
      <c r="N57" s="72"/>
      <c r="O57" s="72"/>
      <c r="P57" s="72"/>
      <c r="Q57" s="72"/>
      <c r="R57" s="72"/>
      <c r="S57" s="72"/>
      <c r="T57" s="72"/>
      <c r="U57" s="72"/>
      <c r="V57" s="72"/>
      <c r="W57" s="72"/>
      <c r="X57" s="72"/>
      <c r="Y57" s="72"/>
      <c r="Z57" s="72"/>
      <c r="AA57" s="72"/>
      <c r="AB57" s="72"/>
      <c r="AC57" s="72"/>
      <c r="AD57" s="72"/>
      <c r="AE57" s="72"/>
      <c r="AF57" s="72"/>
      <c r="AG57" s="72"/>
      <c r="AH57" s="72"/>
      <c r="AI57" s="72"/>
      <c r="AJ57" s="72"/>
      <c r="AK57" s="72"/>
      <c r="AL57" s="72"/>
      <c r="AM57" s="72"/>
      <c r="AN57" s="72"/>
      <c r="AO57" s="72"/>
      <c r="AP57" s="72"/>
      <c r="AQ57" s="72"/>
      <c r="AR57" s="72"/>
      <c r="AS57" s="72"/>
      <c r="AT57" s="72"/>
      <c r="AU57" s="72"/>
      <c r="AV57" s="72"/>
      <c r="AW57" s="72"/>
      <c r="AX57" s="72"/>
      <c r="AY57" s="72"/>
      <c r="AZ57" s="72"/>
      <c r="BA57" s="72"/>
      <c r="BB57" s="72"/>
      <c r="BC57" s="72"/>
      <c r="BD57" s="72"/>
      <c r="BE57" s="72"/>
      <c r="BF57" s="72"/>
      <c r="BG57" s="72"/>
      <c r="BH57" s="72"/>
      <c r="BI57" s="72"/>
      <c r="BJ57" s="72"/>
      <c r="BK57" s="72"/>
      <c r="BL57" s="72"/>
      <c r="BM57" s="72"/>
      <c r="BN57" s="72"/>
    </row>
    <row r="58" spans="1:66" s="48" customFormat="1" ht="24" hidden="1">
      <c r="A58" s="72" t="str">
        <f t="shared" si="8"/>
        <v>1.4</v>
      </c>
      <c r="B58" s="73" t="s">
        <v>22</v>
      </c>
      <c r="C58" s="48" t="s">
        <v>19</v>
      </c>
      <c r="D58" s="74"/>
      <c r="E58" s="75">
        <v>46071</v>
      </c>
      <c r="F58" s="76">
        <f t="shared" si="7"/>
        <v>46077</v>
      </c>
      <c r="G58" s="77">
        <v>7</v>
      </c>
      <c r="H58" s="78">
        <v>0</v>
      </c>
      <c r="I58" s="95">
        <f t="shared" si="4"/>
        <v>5</v>
      </c>
      <c r="J58" s="96"/>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72"/>
      <c r="BH58" s="72"/>
      <c r="BI58" s="72"/>
      <c r="BJ58" s="72"/>
      <c r="BK58" s="72"/>
      <c r="BL58" s="72"/>
      <c r="BM58" s="72"/>
      <c r="BN58" s="72"/>
    </row>
    <row r="59" spans="1:66" s="48" customFormat="1" ht="18" hidden="1">
      <c r="A59" s="72" t="str">
        <f t="shared" si="8"/>
        <v>1.5</v>
      </c>
      <c r="B59" s="73" t="s">
        <v>23</v>
      </c>
      <c r="C59" s="48" t="s">
        <v>21</v>
      </c>
      <c r="D59" s="74"/>
      <c r="E59" s="75">
        <v>46071</v>
      </c>
      <c r="F59" s="76">
        <f t="shared" si="7"/>
        <v>46077</v>
      </c>
      <c r="G59" s="77">
        <v>7</v>
      </c>
      <c r="H59" s="78">
        <v>0</v>
      </c>
      <c r="I59" s="95">
        <f t="shared" si="4"/>
        <v>5</v>
      </c>
      <c r="J59" s="96"/>
      <c r="K59" s="72"/>
      <c r="L59" s="72"/>
      <c r="M59" s="72"/>
      <c r="N59" s="72"/>
      <c r="O59" s="72"/>
      <c r="P59" s="72"/>
      <c r="Q59" s="72"/>
      <c r="R59" s="72"/>
      <c r="S59" s="72"/>
      <c r="T59" s="72"/>
      <c r="U59" s="72"/>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72"/>
      <c r="BH59" s="72"/>
      <c r="BI59" s="72"/>
      <c r="BJ59" s="72"/>
      <c r="BK59" s="72"/>
      <c r="BL59" s="72"/>
      <c r="BM59" s="72"/>
      <c r="BN59" s="72"/>
    </row>
    <row r="60" spans="1:66" s="48" customFormat="1" ht="18" hidden="1">
      <c r="A60" s="72" t="str">
        <f t="shared" si="8"/>
        <v>1.6</v>
      </c>
      <c r="B60" s="73" t="s">
        <v>24</v>
      </c>
      <c r="C60" s="48" t="s">
        <v>19</v>
      </c>
      <c r="D60" s="74"/>
      <c r="E60" s="75">
        <v>46078</v>
      </c>
      <c r="F60" s="76">
        <f t="shared" ref="F60:F74" si="9">IF(ISBLANK(E60)," - ",IF(G60=0,E60,E60+G60-1))</f>
        <v>46084</v>
      </c>
      <c r="G60" s="77">
        <v>7</v>
      </c>
      <c r="H60" s="78">
        <v>0</v>
      </c>
      <c r="I60" s="95">
        <f t="shared" ref="I60:I74" si="10">IF(OR(F60=0,E60=0)," - ",NETWORKDAYS(E60,F60))</f>
        <v>5</v>
      </c>
      <c r="J60" s="96"/>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72"/>
      <c r="BD60" s="72"/>
      <c r="BE60" s="72"/>
      <c r="BF60" s="72"/>
      <c r="BG60" s="72"/>
      <c r="BH60" s="72"/>
      <c r="BI60" s="72"/>
      <c r="BJ60" s="72"/>
      <c r="BK60" s="72"/>
      <c r="BL60" s="72"/>
      <c r="BM60" s="72"/>
      <c r="BN60" s="72"/>
    </row>
    <row r="61" spans="1:66" s="48" customFormat="1" ht="24" hidden="1">
      <c r="A61" s="72" t="str">
        <f t="shared" si="8"/>
        <v>1.7</v>
      </c>
      <c r="B61" s="73" t="s">
        <v>25</v>
      </c>
      <c r="C61" s="48" t="s">
        <v>21</v>
      </c>
      <c r="D61" s="74"/>
      <c r="E61" s="75">
        <v>46078</v>
      </c>
      <c r="F61" s="76">
        <f t="shared" si="9"/>
        <v>46084</v>
      </c>
      <c r="G61" s="77">
        <v>7</v>
      </c>
      <c r="H61" s="78">
        <v>0</v>
      </c>
      <c r="I61" s="95">
        <f t="shared" si="10"/>
        <v>5</v>
      </c>
      <c r="J61" s="96"/>
      <c r="K61" s="72"/>
      <c r="L61" s="72"/>
      <c r="M61" s="72"/>
      <c r="N61" s="72"/>
      <c r="O61" s="72"/>
      <c r="P61" s="72"/>
      <c r="Q61" s="72"/>
      <c r="R61" s="72"/>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c r="BN61" s="72"/>
    </row>
    <row r="62" spans="1:66" s="48" customFormat="1" ht="18" hidden="1">
      <c r="A62" s="72" t="str">
        <f t="shared" si="8"/>
        <v>1.8</v>
      </c>
      <c r="B62" s="73" t="s">
        <v>26</v>
      </c>
      <c r="C62" s="48" t="s">
        <v>27</v>
      </c>
      <c r="D62" s="74"/>
      <c r="E62" s="75">
        <v>46057</v>
      </c>
      <c r="F62" s="76">
        <f t="shared" si="9"/>
        <v>46063</v>
      </c>
      <c r="G62" s="77">
        <v>7</v>
      </c>
      <c r="H62" s="78">
        <v>0</v>
      </c>
      <c r="I62" s="95">
        <f t="shared" si="10"/>
        <v>5</v>
      </c>
      <c r="J62" s="96"/>
      <c r="K62" s="72"/>
      <c r="L62" s="72"/>
      <c r="M62" s="72"/>
      <c r="N62" s="72"/>
      <c r="O62" s="72"/>
      <c r="P62" s="72"/>
      <c r="Q62" s="72"/>
      <c r="R62" s="72"/>
      <c r="S62" s="72"/>
      <c r="T62" s="72"/>
      <c r="U62" s="72"/>
      <c r="V62" s="72"/>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72"/>
      <c r="BH62" s="72"/>
      <c r="BI62" s="72"/>
      <c r="BJ62" s="72"/>
      <c r="BK62" s="72"/>
      <c r="BL62" s="72"/>
      <c r="BM62" s="72"/>
      <c r="BN62" s="72"/>
    </row>
    <row r="63" spans="1:66" s="48" customFormat="1" ht="18" hidden="1">
      <c r="A63" s="72" t="str">
        <f t="shared" si="8"/>
        <v>1.9</v>
      </c>
      <c r="B63" s="73" t="s">
        <v>28</v>
      </c>
      <c r="C63" s="48" t="s">
        <v>19</v>
      </c>
      <c r="D63" s="74"/>
      <c r="E63" s="75">
        <v>46085</v>
      </c>
      <c r="F63" s="76">
        <f t="shared" si="9"/>
        <v>46091</v>
      </c>
      <c r="G63" s="77">
        <v>7</v>
      </c>
      <c r="H63" s="78">
        <v>0</v>
      </c>
      <c r="I63" s="95">
        <f t="shared" si="10"/>
        <v>5</v>
      </c>
      <c r="J63" s="96"/>
      <c r="K63" s="72"/>
      <c r="L63" s="72"/>
      <c r="M63" s="72"/>
      <c r="N63" s="72"/>
      <c r="O63" s="72"/>
      <c r="P63" s="72"/>
      <c r="Q63" s="72"/>
      <c r="R63" s="72"/>
      <c r="S63" s="72"/>
      <c r="T63" s="72"/>
      <c r="U63" s="72"/>
      <c r="V63" s="72"/>
      <c r="W63" s="72"/>
      <c r="X63" s="72"/>
      <c r="Y63" s="72"/>
      <c r="Z63" s="72"/>
      <c r="AA63" s="72"/>
      <c r="AB63" s="72"/>
      <c r="AC63" s="72"/>
      <c r="AD63" s="72"/>
      <c r="AE63" s="72"/>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row>
    <row r="64" spans="1:66" s="48" customFormat="1" ht="24" hidden="1">
      <c r="A64" s="72" t="str">
        <f t="shared" si="8"/>
        <v>1.10</v>
      </c>
      <c r="B64" s="73" t="s">
        <v>29</v>
      </c>
      <c r="C64" s="48" t="s">
        <v>21</v>
      </c>
      <c r="D64" s="74"/>
      <c r="E64" s="75">
        <v>46085</v>
      </c>
      <c r="F64" s="76">
        <f t="shared" si="9"/>
        <v>46091</v>
      </c>
      <c r="G64" s="77">
        <v>7</v>
      </c>
      <c r="H64" s="78">
        <v>0</v>
      </c>
      <c r="I64" s="95">
        <f t="shared" si="10"/>
        <v>5</v>
      </c>
      <c r="J64" s="96"/>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row>
    <row r="65" spans="1:66" s="48" customFormat="1" ht="18" hidden="1">
      <c r="A65" s="72" t="str">
        <f t="shared" si="8"/>
        <v>1.11</v>
      </c>
      <c r="B65" s="73" t="s">
        <v>30</v>
      </c>
      <c r="C65" s="48" t="s">
        <v>21</v>
      </c>
      <c r="D65" s="74"/>
      <c r="E65" s="75">
        <v>46092</v>
      </c>
      <c r="F65" s="76">
        <f t="shared" si="9"/>
        <v>46098</v>
      </c>
      <c r="G65" s="77">
        <v>7</v>
      </c>
      <c r="H65" s="78">
        <v>0</v>
      </c>
      <c r="I65" s="95">
        <f t="shared" si="10"/>
        <v>5</v>
      </c>
      <c r="J65" s="96"/>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row>
    <row r="66" spans="1:66" s="48" customFormat="1" ht="18" hidden="1">
      <c r="A66" s="72" t="str">
        <f t="shared" si="8"/>
        <v>1.12</v>
      </c>
      <c r="B66" s="73" t="s">
        <v>31</v>
      </c>
      <c r="C66" s="48" t="s">
        <v>19</v>
      </c>
      <c r="D66" s="74"/>
      <c r="E66" s="75">
        <v>46092</v>
      </c>
      <c r="F66" s="76">
        <f t="shared" si="9"/>
        <v>46098</v>
      </c>
      <c r="G66" s="77">
        <v>7</v>
      </c>
      <c r="H66" s="78">
        <v>0</v>
      </c>
      <c r="I66" s="95">
        <f t="shared" si="10"/>
        <v>5</v>
      </c>
      <c r="J66" s="96"/>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row>
    <row r="67" spans="1:66" s="48" customFormat="1" ht="18" hidden="1">
      <c r="A67" s="72" t="str">
        <f t="shared" si="8"/>
        <v>1.13</v>
      </c>
      <c r="B67" s="73" t="s">
        <v>32</v>
      </c>
      <c r="C67" s="48" t="s">
        <v>21</v>
      </c>
      <c r="D67" s="74"/>
      <c r="E67" s="75">
        <v>46099</v>
      </c>
      <c r="F67" s="76">
        <f t="shared" si="9"/>
        <v>46105</v>
      </c>
      <c r="G67" s="77">
        <v>7</v>
      </c>
      <c r="H67" s="78">
        <v>0</v>
      </c>
      <c r="I67" s="95">
        <f t="shared" si="10"/>
        <v>5</v>
      </c>
      <c r="J67" s="96"/>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row>
    <row r="68" spans="1:66" s="48" customFormat="1" ht="18" hidden="1">
      <c r="A68" s="72" t="str">
        <f t="shared" si="8"/>
        <v>1.14</v>
      </c>
      <c r="B68" s="73" t="s">
        <v>33</v>
      </c>
      <c r="C68" s="48" t="s">
        <v>21</v>
      </c>
      <c r="D68" s="74"/>
      <c r="E68" s="75">
        <v>46106</v>
      </c>
      <c r="F68" s="76">
        <f t="shared" ref="F68" si="11">IF(ISBLANK(E68)," - ",IF(G68=0,E68,E68+G68-1))</f>
        <v>46112</v>
      </c>
      <c r="G68" s="77">
        <v>7</v>
      </c>
      <c r="H68" s="78">
        <v>0</v>
      </c>
      <c r="I68" s="95">
        <f t="shared" ref="I68" si="12">IF(OR(F68=0,E68=0)," - ",NETWORKDAYS(E68,F68))</f>
        <v>5</v>
      </c>
      <c r="J68" s="96"/>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row>
    <row r="69" spans="1:66" s="48" customFormat="1" ht="18" hidden="1">
      <c r="A69" s="72" t="str">
        <f t="shared" si="8"/>
        <v>1.15</v>
      </c>
      <c r="B69" s="73" t="s">
        <v>34</v>
      </c>
      <c r="C69" s="48" t="s">
        <v>21</v>
      </c>
      <c r="D69" s="74"/>
      <c r="E69" s="75">
        <v>46106</v>
      </c>
      <c r="F69" s="76">
        <f t="shared" ref="F69" si="13">IF(ISBLANK(E69)," - ",IF(G69=0,E69,E69+G69-1))</f>
        <v>46112</v>
      </c>
      <c r="G69" s="77">
        <v>7</v>
      </c>
      <c r="H69" s="78">
        <v>0</v>
      </c>
      <c r="I69" s="95">
        <f t="shared" ref="I69" si="14">IF(OR(F69=0,E69=0)," - ",NETWORKDAYS(E69,F69))</f>
        <v>5</v>
      </c>
      <c r="J69" s="96"/>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row>
    <row r="70" spans="1:66" s="48" customFormat="1" ht="18" hidden="1">
      <c r="A70" s="72" t="str">
        <f t="shared" si="8"/>
        <v>1.16</v>
      </c>
      <c r="B70" s="73" t="s">
        <v>35</v>
      </c>
      <c r="C70" s="48" t="s">
        <v>21</v>
      </c>
      <c r="D70" s="74"/>
      <c r="E70" s="75">
        <v>46113</v>
      </c>
      <c r="F70" s="76">
        <f t="shared" si="9"/>
        <v>46119</v>
      </c>
      <c r="G70" s="77">
        <v>7</v>
      </c>
      <c r="H70" s="78">
        <v>0</v>
      </c>
      <c r="I70" s="95">
        <f t="shared" si="10"/>
        <v>5</v>
      </c>
      <c r="J70" s="96"/>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row>
    <row r="71" spans="1:66" s="48" customFormat="1" ht="18" hidden="1">
      <c r="A71" s="72" t="str">
        <f t="shared" si="8"/>
        <v>1.17</v>
      </c>
      <c r="B71" s="73" t="s">
        <v>36</v>
      </c>
      <c r="C71" s="48" t="s">
        <v>19</v>
      </c>
      <c r="D71" s="74"/>
      <c r="E71" s="75">
        <v>46113</v>
      </c>
      <c r="F71" s="76">
        <f t="shared" si="9"/>
        <v>46119</v>
      </c>
      <c r="G71" s="77">
        <v>7</v>
      </c>
      <c r="H71" s="78">
        <v>0</v>
      </c>
      <c r="I71" s="95">
        <f t="shared" si="10"/>
        <v>5</v>
      </c>
      <c r="J71" s="96"/>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row>
    <row r="72" spans="1:66" s="48" customFormat="1" ht="18" hidden="1">
      <c r="A72" s="72" t="str">
        <f t="shared" si="8"/>
        <v>1.18</v>
      </c>
      <c r="B72" s="73" t="s">
        <v>37</v>
      </c>
      <c r="C72" s="48" t="s">
        <v>21</v>
      </c>
      <c r="D72" s="74"/>
      <c r="E72" s="75">
        <v>46120</v>
      </c>
      <c r="F72" s="76">
        <f t="shared" si="9"/>
        <v>46126</v>
      </c>
      <c r="G72" s="77">
        <v>7</v>
      </c>
      <c r="H72" s="78">
        <v>0</v>
      </c>
      <c r="I72" s="95">
        <f t="shared" si="10"/>
        <v>5</v>
      </c>
      <c r="J72" s="96"/>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row>
    <row r="73" spans="1:66" s="48" customFormat="1" ht="18" hidden="1">
      <c r="A73" s="72" t="str">
        <f t="shared" si="8"/>
        <v>1.19</v>
      </c>
      <c r="B73" s="73" t="s">
        <v>38</v>
      </c>
      <c r="C73" s="48" t="s">
        <v>19</v>
      </c>
      <c r="D73" s="74"/>
      <c r="E73" s="75">
        <v>46120</v>
      </c>
      <c r="F73" s="76">
        <f t="shared" si="9"/>
        <v>46126</v>
      </c>
      <c r="G73" s="77">
        <v>7</v>
      </c>
      <c r="H73" s="78">
        <v>0</v>
      </c>
      <c r="I73" s="95">
        <f t="shared" si="10"/>
        <v>5</v>
      </c>
      <c r="J73" s="96"/>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row>
    <row r="74" spans="1:66" s="48" customFormat="1" ht="18" hidden="1">
      <c r="A74" s="72" t="str">
        <f t="shared" si="8"/>
        <v>1.20</v>
      </c>
      <c r="B74" s="73" t="s">
        <v>39</v>
      </c>
      <c r="C74" s="48" t="s">
        <v>21</v>
      </c>
      <c r="D74" s="74"/>
      <c r="E74" s="75">
        <v>46127</v>
      </c>
      <c r="F74" s="76">
        <f t="shared" si="9"/>
        <v>46133</v>
      </c>
      <c r="G74" s="77">
        <v>7</v>
      </c>
      <c r="H74" s="78">
        <v>0</v>
      </c>
      <c r="I74" s="95">
        <f t="shared" si="10"/>
        <v>5</v>
      </c>
      <c r="J74" s="96"/>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row>
    <row r="75" spans="1:66" s="48" customFormat="1" ht="18" hidden="1">
      <c r="A75" s="72" t="str">
        <f t="shared" si="8"/>
        <v>1.21</v>
      </c>
      <c r="B75" s="73" t="s">
        <v>40</v>
      </c>
      <c r="C75" s="48" t="s">
        <v>19</v>
      </c>
      <c r="D75" s="74"/>
      <c r="E75" s="75">
        <v>46127</v>
      </c>
      <c r="F75" s="76">
        <f t="shared" ref="F75:F85" si="15">IF(ISBLANK(E75)," - ",IF(G75=0,E75,E75+G75-1))</f>
        <v>46133</v>
      </c>
      <c r="G75" s="77">
        <v>7</v>
      </c>
      <c r="H75" s="78">
        <v>0</v>
      </c>
      <c r="I75" s="95">
        <f t="shared" ref="I75:I83" si="16">IF(OR(F75=0,E75=0)," - ",NETWORKDAYS(E75,F75))</f>
        <v>5</v>
      </c>
      <c r="J75" s="96"/>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row>
    <row r="76" spans="1:66" s="48" customFormat="1" ht="18" hidden="1">
      <c r="A76" s="72" t="str">
        <f t="shared" si="8"/>
        <v>1.22</v>
      </c>
      <c r="B76" s="73" t="s">
        <v>41</v>
      </c>
      <c r="C76" s="48" t="s">
        <v>21</v>
      </c>
      <c r="D76" s="74"/>
      <c r="E76" s="75">
        <v>46134</v>
      </c>
      <c r="F76" s="76">
        <f t="shared" si="15"/>
        <v>46140</v>
      </c>
      <c r="G76" s="77">
        <v>7</v>
      </c>
      <c r="H76" s="78">
        <v>0</v>
      </c>
      <c r="I76" s="95">
        <f t="shared" si="16"/>
        <v>5</v>
      </c>
      <c r="J76" s="96"/>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row>
    <row r="77" spans="1:66" s="48" customFormat="1" ht="18" hidden="1">
      <c r="A77" s="72" t="str">
        <f t="shared" si="8"/>
        <v>1.23</v>
      </c>
      <c r="B77" s="73" t="s">
        <v>42</v>
      </c>
      <c r="C77" s="48" t="s">
        <v>19</v>
      </c>
      <c r="D77" s="74"/>
      <c r="E77" s="75">
        <v>46134</v>
      </c>
      <c r="F77" s="76">
        <f t="shared" ref="F77:F78" si="17">IF(ISBLANK(E77)," - ",IF(G77=0,E77,E77+G77-1))</f>
        <v>46140</v>
      </c>
      <c r="G77" s="77">
        <v>7</v>
      </c>
      <c r="H77" s="78">
        <v>0</v>
      </c>
      <c r="I77" s="95">
        <f t="shared" ref="I77:I78" si="18">IF(OR(F77=0,E77=0)," - ",NETWORKDAYS(E77,F77))</f>
        <v>5</v>
      </c>
      <c r="J77" s="96"/>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row>
    <row r="78" spans="1:66" s="48" customFormat="1" ht="18" hidden="1">
      <c r="A78" s="72" t="str">
        <f t="shared" si="8"/>
        <v>1.24</v>
      </c>
      <c r="B78" s="73" t="s">
        <v>43</v>
      </c>
      <c r="C78" s="48" t="s">
        <v>21</v>
      </c>
      <c r="D78" s="74"/>
      <c r="E78" s="75">
        <v>46141</v>
      </c>
      <c r="F78" s="76">
        <f t="shared" si="17"/>
        <v>46147</v>
      </c>
      <c r="G78" s="77">
        <v>7</v>
      </c>
      <c r="H78" s="78">
        <v>0</v>
      </c>
      <c r="I78" s="95">
        <f t="shared" si="18"/>
        <v>5</v>
      </c>
      <c r="J78" s="96"/>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row>
    <row r="79" spans="1:66" s="48" customFormat="1" ht="18" hidden="1">
      <c r="A79" s="72" t="str">
        <f t="shared" si="8"/>
        <v>1.25</v>
      </c>
      <c r="B79" s="73" t="s">
        <v>44</v>
      </c>
      <c r="C79" s="48" t="s">
        <v>21</v>
      </c>
      <c r="D79" s="74"/>
      <c r="E79" s="75">
        <v>46141</v>
      </c>
      <c r="F79" s="76">
        <f t="shared" ref="F79:F81" si="19">IF(ISBLANK(E79)," - ",IF(G79=0,E79,E79+G79-1))</f>
        <v>46147</v>
      </c>
      <c r="G79" s="77">
        <v>7</v>
      </c>
      <c r="H79" s="78">
        <v>0</v>
      </c>
      <c r="I79" s="95">
        <f t="shared" ref="I79:I81" si="20">IF(OR(F79=0,E79=0)," - ",NETWORKDAYS(E79,F79))</f>
        <v>5</v>
      </c>
      <c r="J79" s="96"/>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row>
    <row r="80" spans="1:66" s="48" customFormat="1" ht="18" hidden="1">
      <c r="A80" s="72" t="str">
        <f t="shared" si="8"/>
        <v>1.26</v>
      </c>
      <c r="B80" s="73" t="s">
        <v>45</v>
      </c>
      <c r="C80" s="48" t="s">
        <v>21</v>
      </c>
      <c r="D80" s="74"/>
      <c r="E80" s="75">
        <v>46148</v>
      </c>
      <c r="F80" s="76">
        <f t="shared" si="19"/>
        <v>46154</v>
      </c>
      <c r="G80" s="77">
        <v>7</v>
      </c>
      <c r="H80" s="78">
        <v>0</v>
      </c>
      <c r="I80" s="95">
        <f t="shared" si="20"/>
        <v>5</v>
      </c>
      <c r="J80" s="96"/>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row>
    <row r="81" spans="1:66" s="48" customFormat="1" ht="18" hidden="1">
      <c r="A81" s="72" t="str">
        <f t="shared" si="8"/>
        <v>1.27</v>
      </c>
      <c r="B81" s="73" t="s">
        <v>46</v>
      </c>
      <c r="C81" s="48" t="s">
        <v>21</v>
      </c>
      <c r="D81" s="74"/>
      <c r="E81" s="75">
        <v>46148</v>
      </c>
      <c r="F81" s="76">
        <f t="shared" si="19"/>
        <v>46154</v>
      </c>
      <c r="G81" s="77">
        <v>7</v>
      </c>
      <c r="H81" s="78">
        <v>0</v>
      </c>
      <c r="I81" s="95">
        <f t="shared" si="20"/>
        <v>5</v>
      </c>
      <c r="J81" s="96"/>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row>
    <row r="82" spans="1:66" s="47" customFormat="1" ht="18" hidden="1">
      <c r="A82" s="79" t="str">
        <f>IF(ISERROR(VALUE(SUBSTITUTE(prevWBS,".",""))),"1",IF(ISERROR(FIND("`",SUBSTITUTE(prevWBS,".","`",1))),TEXT(VALUE(prevWBS)+1,"#"),TEXT(VALUE(LEFT(prevWBS,FIND("`",SUBSTITUTE(prevWBS,".","`",1))-1))+1,"#")))</f>
        <v>2</v>
      </c>
      <c r="B82" s="80" t="s">
        <v>47</v>
      </c>
      <c r="D82" s="81"/>
      <c r="E82" s="82"/>
      <c r="F82" s="82" t="str">
        <f t="shared" si="15"/>
        <v xml:space="preserve"> - </v>
      </c>
      <c r="G82" s="83"/>
      <c r="H82" s="84"/>
      <c r="I82" s="97" t="str">
        <f t="shared" si="16"/>
        <v xml:space="preserve"> - </v>
      </c>
      <c r="J82" s="98"/>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row>
    <row r="83" spans="1:66" s="48" customFormat="1" ht="18" hidden="1">
      <c r="A83" s="72" t="str">
        <f t="shared" si="8"/>
        <v>2.1</v>
      </c>
      <c r="B83" s="85" t="s">
        <v>48</v>
      </c>
      <c r="C83" s="48" t="s">
        <v>27</v>
      </c>
      <c r="D83" s="74"/>
      <c r="E83" s="75">
        <v>46034</v>
      </c>
      <c r="F83" s="76">
        <f t="shared" si="15"/>
        <v>46038</v>
      </c>
      <c r="G83" s="77">
        <v>5</v>
      </c>
      <c r="H83" s="78">
        <v>0</v>
      </c>
      <c r="I83" s="95">
        <f t="shared" si="16"/>
        <v>5</v>
      </c>
      <c r="J83" s="96"/>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row>
    <row r="84" spans="1:66" s="48" customFormat="1" ht="18" hidden="1">
      <c r="A84" s="72" t="str">
        <f t="shared" si="8"/>
        <v>2.2</v>
      </c>
      <c r="B84" s="85" t="s">
        <v>49</v>
      </c>
      <c r="C84" s="48" t="s">
        <v>14</v>
      </c>
      <c r="D84" s="74"/>
      <c r="E84" s="75">
        <v>46023</v>
      </c>
      <c r="F84" s="76">
        <f t="shared" si="15"/>
        <v>46032</v>
      </c>
      <c r="G84" s="77">
        <v>10</v>
      </c>
      <c r="H84" s="78">
        <v>0</v>
      </c>
      <c r="I84" s="95">
        <v>6</v>
      </c>
      <c r="J84" s="96"/>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row>
    <row r="85" spans="1:66" s="48" customFormat="1" ht="45" hidden="1" customHeight="1">
      <c r="A85" s="72" t="str">
        <f t="shared" si="8"/>
        <v>2.3</v>
      </c>
      <c r="B85" s="85" t="s">
        <v>50</v>
      </c>
      <c r="C85" s="48" t="s">
        <v>17</v>
      </c>
      <c r="D85" s="74"/>
      <c r="E85" s="75">
        <v>46034</v>
      </c>
      <c r="F85" s="76">
        <f t="shared" si="15"/>
        <v>46038</v>
      </c>
      <c r="G85" s="77">
        <v>5</v>
      </c>
      <c r="H85" s="78">
        <v>0</v>
      </c>
      <c r="I85" s="95">
        <v>5</v>
      </c>
      <c r="J85" s="96"/>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row>
    <row r="86" spans="1:66" s="47" customFormat="1" ht="18" hidden="1">
      <c r="A86" s="79" t="str">
        <f>IF(ISERROR(VALUE(SUBSTITUTE(prevWBS,".",""))),"1",IF(ISERROR(FIND("`",SUBSTITUTE(prevWBS,".","`",1))),TEXT(VALUE(prevWBS)+1,"#"),TEXT(VALUE(LEFT(prevWBS,FIND("`",SUBSTITUTE(prevWBS,".","`",1))-1))+1,"#")))</f>
        <v>3</v>
      </c>
      <c r="B86" s="80" t="s">
        <v>51</v>
      </c>
      <c r="D86" s="81"/>
      <c r="E86" s="82"/>
      <c r="F86" s="82" t="str">
        <f t="shared" ref="F86:F91" si="21">IF(ISBLANK(E86)," - ",IF(G86=0,E86,E86+G86-1))</f>
        <v xml:space="preserve"> - </v>
      </c>
      <c r="G86" s="83"/>
      <c r="H86" s="84"/>
      <c r="I86" s="97" t="str">
        <f t="shared" ref="I86" si="22">IF(OR(F86=0,E86=0)," - ",NETWORKDAYS(E86,F86))</f>
        <v xml:space="preserve"> - </v>
      </c>
      <c r="J86" s="98"/>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row>
    <row r="87" spans="1:66" s="48" customFormat="1" ht="18" hidden="1">
      <c r="A87" s="72" t="str">
        <f t="shared" si="8"/>
        <v>3.1</v>
      </c>
      <c r="B87" s="85" t="s">
        <v>52</v>
      </c>
      <c r="C87" s="48" t="s">
        <v>27</v>
      </c>
      <c r="D87" s="74"/>
      <c r="E87" s="75">
        <v>46041</v>
      </c>
      <c r="F87" s="76">
        <f t="shared" si="21"/>
        <v>46044</v>
      </c>
      <c r="G87" s="77">
        <v>4</v>
      </c>
      <c r="H87" s="78">
        <v>0</v>
      </c>
      <c r="I87" s="95">
        <v>4</v>
      </c>
      <c r="J87" s="96"/>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row>
    <row r="88" spans="1:66" s="48" customFormat="1" ht="18" hidden="1">
      <c r="A88" s="72" t="str">
        <f t="shared" si="8"/>
        <v>3.2</v>
      </c>
      <c r="B88" s="85" t="s">
        <v>53</v>
      </c>
      <c r="C88" s="48" t="s">
        <v>17</v>
      </c>
      <c r="D88" s="74"/>
      <c r="E88" s="75">
        <v>46041</v>
      </c>
      <c r="F88" s="76">
        <f t="shared" si="21"/>
        <v>46044</v>
      </c>
      <c r="G88" s="77">
        <v>4</v>
      </c>
      <c r="H88" s="78">
        <v>0</v>
      </c>
      <c r="I88" s="95">
        <v>4</v>
      </c>
      <c r="J88" s="96"/>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row>
    <row r="89" spans="1:66" s="48" customFormat="1" ht="18" hidden="1">
      <c r="A89" s="72" t="str">
        <f t="shared" si="8"/>
        <v>3.3</v>
      </c>
      <c r="B89" s="85" t="s">
        <v>54</v>
      </c>
      <c r="C89" s="48" t="s">
        <v>19</v>
      </c>
      <c r="D89" s="74"/>
      <c r="E89" s="75">
        <v>46045</v>
      </c>
      <c r="F89" s="76">
        <f t="shared" si="21"/>
        <v>46050</v>
      </c>
      <c r="G89" s="77">
        <v>6</v>
      </c>
      <c r="H89" s="78">
        <v>0</v>
      </c>
      <c r="I89" s="95">
        <v>4</v>
      </c>
      <c r="J89" s="96"/>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row>
    <row r="90" spans="1:66" s="48" customFormat="1" ht="18" hidden="1">
      <c r="A90" s="72" t="str">
        <f t="shared" si="8"/>
        <v>3.4</v>
      </c>
      <c r="B90" s="85" t="s">
        <v>55</v>
      </c>
      <c r="C90" s="48" t="s">
        <v>19</v>
      </c>
      <c r="D90" s="74"/>
      <c r="E90" s="75">
        <v>46051</v>
      </c>
      <c r="F90" s="76">
        <f t="shared" si="21"/>
        <v>46056</v>
      </c>
      <c r="G90" s="77">
        <v>6</v>
      </c>
      <c r="H90" s="78">
        <v>0</v>
      </c>
      <c r="I90" s="95">
        <v>4</v>
      </c>
      <c r="J90" s="96"/>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row>
    <row r="91" spans="1:66" s="48" customFormat="1" ht="18" hidden="1">
      <c r="A91" s="72" t="str">
        <f t="shared" si="8"/>
        <v>3.5</v>
      </c>
      <c r="B91" s="85" t="s">
        <v>56</v>
      </c>
      <c r="C91" s="48" t="s">
        <v>21</v>
      </c>
      <c r="D91" s="74"/>
      <c r="E91" s="75">
        <v>46045</v>
      </c>
      <c r="F91" s="76">
        <f t="shared" si="21"/>
        <v>46050</v>
      </c>
      <c r="G91" s="77">
        <v>6</v>
      </c>
      <c r="H91" s="78">
        <v>0</v>
      </c>
      <c r="I91" s="95">
        <v>4</v>
      </c>
      <c r="J91" s="96"/>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row>
    <row r="92" spans="1:66" s="47" customFormat="1" ht="18" hidden="1">
      <c r="A92" s="79" t="str">
        <f>IF(ISERROR(VALUE(SUBSTITUTE(prevWBS,".",""))),"1",IF(ISERROR(FIND("`",SUBSTITUTE(prevWBS,".","`",1))),TEXT(VALUE(prevWBS)+1,"#"),TEXT(VALUE(LEFT(prevWBS,FIND("`",SUBSTITUTE(prevWBS,".","`",1))-1))+1,"#")))</f>
        <v>4</v>
      </c>
      <c r="B92" s="80" t="s">
        <v>57</v>
      </c>
      <c r="D92" s="81"/>
      <c r="E92" s="82"/>
      <c r="F92" s="82" t="str">
        <f t="shared" ref="F92:F93" si="23">IF(ISBLANK(E92)," - ",IF(G92=0,E92,E92+G92-1))</f>
        <v xml:space="preserve"> - </v>
      </c>
      <c r="G92" s="83"/>
      <c r="H92" s="84"/>
      <c r="I92" s="97" t="str">
        <f t="shared" ref="I92" si="24">IF(OR(F92=0,E92=0)," - ",NETWORKDAYS(E92,F92))</f>
        <v xml:space="preserve"> - </v>
      </c>
      <c r="J92" s="98"/>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row>
    <row r="93" spans="1:66" s="48" customFormat="1" ht="18" hidden="1">
      <c r="A93" s="72" t="str">
        <f t="shared" si="8"/>
        <v>4.1</v>
      </c>
      <c r="B93" s="85" t="s">
        <v>58</v>
      </c>
      <c r="C93" s="48" t="s">
        <v>27</v>
      </c>
      <c r="D93" s="74"/>
      <c r="E93" s="75">
        <v>46051</v>
      </c>
      <c r="F93" s="76">
        <f t="shared" si="23"/>
        <v>46056</v>
      </c>
      <c r="G93" s="77">
        <v>6</v>
      </c>
      <c r="H93" s="78">
        <v>0</v>
      </c>
      <c r="I93" s="95">
        <v>4</v>
      </c>
      <c r="J93" s="96"/>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row>
  </sheetData>
  <sheetProtection formatCells="0" formatColumns="0" formatRows="0" insertRows="0" deleteRows="0"/>
  <mergeCells count="19">
    <mergeCell ref="AM5:AS5"/>
    <mergeCell ref="AT5:AZ5"/>
    <mergeCell ref="BA5:BG5"/>
    <mergeCell ref="BH5:BN5"/>
    <mergeCell ref="C5:E5"/>
    <mergeCell ref="K5:Q5"/>
    <mergeCell ref="R5:X5"/>
    <mergeCell ref="Y5:AE5"/>
    <mergeCell ref="AF5:AL5"/>
    <mergeCell ref="AF4:AL4"/>
    <mergeCell ref="AM4:AS4"/>
    <mergeCell ref="AT4:AZ4"/>
    <mergeCell ref="BA4:BG4"/>
    <mergeCell ref="BH4:BN4"/>
    <mergeCell ref="K1:AE1"/>
    <mergeCell ref="C4:E4"/>
    <mergeCell ref="K4:Q4"/>
    <mergeCell ref="R4:X4"/>
    <mergeCell ref="Y4:AE4"/>
  </mergeCells>
  <conditionalFormatting sqref="H53">
    <cfRule type="dataBar" priority="17">
      <dataBar>
        <cfvo type="num" val="0"/>
        <cfvo type="num" val="1"/>
        <color theme="0" tint="-0.34998626667073579"/>
      </dataBar>
      <extLst>
        <ext xmlns:x14="http://schemas.microsoft.com/office/spreadsheetml/2009/9/main" uri="{B025F937-C7B1-47D3-B67F-A62EFF666E3E}">
          <x14:id>{18038711-1C51-4067-AAD1-36976C973DDF}</x14:id>
        </ext>
      </extLst>
    </cfRule>
  </conditionalFormatting>
  <conditionalFormatting sqref="K53:BN53">
    <cfRule type="expression" dxfId="58" priority="18">
      <formula>K$6=TODAY()</formula>
    </cfRule>
    <cfRule type="expression" dxfId="57" priority="19">
      <formula>AND($E53&lt;=K$6,ROUNDDOWN(($F53-$E53+1)*$H53,0)+$E53-1&gt;=K$6)</formula>
    </cfRule>
    <cfRule type="expression" dxfId="56" priority="20">
      <formula>AND(NOT(ISBLANK($E53)),$E53&lt;=K$6,$F53&gt;=K$6)</formula>
    </cfRule>
  </conditionalFormatting>
  <conditionalFormatting sqref="H68">
    <cfRule type="dataBar" priority="53">
      <dataBar>
        <cfvo type="num" val="0"/>
        <cfvo type="num" val="1"/>
        <color theme="0" tint="-0.34998626667073579"/>
      </dataBar>
      <extLst>
        <ext xmlns:x14="http://schemas.microsoft.com/office/spreadsheetml/2009/9/main" uri="{B025F937-C7B1-47D3-B67F-A62EFF666E3E}">
          <x14:id>{C530BE72-4D90-48AA-9629-A6D8685FF7E1}</x14:id>
        </ext>
      </extLst>
    </cfRule>
  </conditionalFormatting>
  <conditionalFormatting sqref="K68:BN68">
    <cfRule type="expression" dxfId="55" priority="54">
      <formula>K$6=TODAY()</formula>
    </cfRule>
    <cfRule type="expression" dxfId="54" priority="55">
      <formula>AND($E68&lt;=K$6,ROUNDDOWN(($F68-$E68+1)*$H68,0)+$E68-1&gt;=K$6)</formula>
    </cfRule>
    <cfRule type="expression" dxfId="53" priority="56">
      <formula>AND(NOT(ISBLANK($E68)),$E68&lt;=K$6,$F68&gt;=K$6)</formula>
    </cfRule>
  </conditionalFormatting>
  <conditionalFormatting sqref="H69">
    <cfRule type="dataBar" priority="49">
      <dataBar>
        <cfvo type="num" val="0"/>
        <cfvo type="num" val="1"/>
        <color theme="0" tint="-0.34998626667073579"/>
      </dataBar>
      <extLst>
        <ext xmlns:x14="http://schemas.microsoft.com/office/spreadsheetml/2009/9/main" uri="{B025F937-C7B1-47D3-B67F-A62EFF666E3E}">
          <x14:id>{BC417A2E-EDEC-48BB-8CF7-14F4E1459B73}</x14:id>
        </ext>
      </extLst>
    </cfRule>
  </conditionalFormatting>
  <conditionalFormatting sqref="K69:BN69">
    <cfRule type="expression" dxfId="52" priority="50">
      <formula>K$6=TODAY()</formula>
    </cfRule>
    <cfRule type="expression" dxfId="51" priority="51">
      <formula>AND($E69&lt;=K$6,ROUNDDOWN(($F69-$E69+1)*$H69,0)+$E69-1&gt;=K$6)</formula>
    </cfRule>
    <cfRule type="expression" dxfId="50" priority="52">
      <formula>AND(NOT(ISBLANK($E69)),$E69&lt;=K$6,$F69&gt;=K$6)</formula>
    </cfRule>
  </conditionalFormatting>
  <conditionalFormatting sqref="H77">
    <cfRule type="dataBar" priority="45">
      <dataBar>
        <cfvo type="num" val="0"/>
        <cfvo type="num" val="1"/>
        <color theme="0" tint="-0.34998626667073579"/>
      </dataBar>
      <extLst>
        <ext xmlns:x14="http://schemas.microsoft.com/office/spreadsheetml/2009/9/main" uri="{B025F937-C7B1-47D3-B67F-A62EFF666E3E}">
          <x14:id>{B825B53B-C445-4AF1-A1C9-24F55514967F}</x14:id>
        </ext>
      </extLst>
    </cfRule>
  </conditionalFormatting>
  <conditionalFormatting sqref="K77:BN77">
    <cfRule type="expression" dxfId="49" priority="46">
      <formula>K$6=TODAY()</formula>
    </cfRule>
    <cfRule type="expression" dxfId="48" priority="47">
      <formula>AND($E77&lt;=K$6,ROUNDDOWN(($F77-$E77+1)*$H77,0)+$E77-1&gt;=K$6)</formula>
    </cfRule>
    <cfRule type="expression" dxfId="47" priority="48">
      <formula>AND(NOT(ISBLANK($E77)),$E77&lt;=K$6,$F77&gt;=K$6)</formula>
    </cfRule>
  </conditionalFormatting>
  <conditionalFormatting sqref="H78">
    <cfRule type="dataBar" priority="37">
      <dataBar>
        <cfvo type="num" val="0"/>
        <cfvo type="num" val="1"/>
        <color theme="0" tint="-0.34998626667073579"/>
      </dataBar>
      <extLst>
        <ext xmlns:x14="http://schemas.microsoft.com/office/spreadsheetml/2009/9/main" uri="{B025F937-C7B1-47D3-B67F-A62EFF666E3E}">
          <x14:id>{32D9DDF4-BD94-4793-AE9B-FE2FBDFA7856}</x14:id>
        </ext>
      </extLst>
    </cfRule>
  </conditionalFormatting>
  <conditionalFormatting sqref="K78:BN78">
    <cfRule type="expression" dxfId="46" priority="38">
      <formula>K$6=TODAY()</formula>
    </cfRule>
    <cfRule type="expression" dxfId="45" priority="39">
      <formula>AND($E78&lt;=K$6,ROUNDDOWN(($F78-$E78+1)*$H78,0)+$E78-1&gt;=K$6)</formula>
    </cfRule>
    <cfRule type="expression" dxfId="44" priority="40">
      <formula>AND(NOT(ISBLANK($E78)),$E78&lt;=K$6,$F78&gt;=K$6)</formula>
    </cfRule>
  </conditionalFormatting>
  <conditionalFormatting sqref="H79">
    <cfRule type="dataBar" priority="33">
      <dataBar>
        <cfvo type="num" val="0"/>
        <cfvo type="num" val="1"/>
        <color theme="0" tint="-0.34998626667073579"/>
      </dataBar>
      <extLst>
        <ext xmlns:x14="http://schemas.microsoft.com/office/spreadsheetml/2009/9/main" uri="{B025F937-C7B1-47D3-B67F-A62EFF666E3E}">
          <x14:id>{CDA6B999-EA4A-4F00-A87D-1573D8CFFDF6}</x14:id>
        </ext>
      </extLst>
    </cfRule>
  </conditionalFormatting>
  <conditionalFormatting sqref="K79:BN79">
    <cfRule type="expression" dxfId="43" priority="34">
      <formula>K$6=TODAY()</formula>
    </cfRule>
    <cfRule type="expression" dxfId="42" priority="35">
      <formula>AND($E79&lt;=K$6,ROUNDDOWN(($F79-$E79+1)*$H79,0)+$E79-1&gt;=K$6)</formula>
    </cfRule>
    <cfRule type="expression" dxfId="41" priority="36">
      <formula>AND(NOT(ISBLANK($E79)),$E79&lt;=K$6,$F79&gt;=K$6)</formula>
    </cfRule>
  </conditionalFormatting>
  <conditionalFormatting sqref="H80">
    <cfRule type="dataBar" priority="25">
      <dataBar>
        <cfvo type="num" val="0"/>
        <cfvo type="num" val="1"/>
        <color theme="0" tint="-0.34998626667073579"/>
      </dataBar>
      <extLst>
        <ext xmlns:x14="http://schemas.microsoft.com/office/spreadsheetml/2009/9/main" uri="{B025F937-C7B1-47D3-B67F-A62EFF666E3E}">
          <x14:id>{9FA44BF1-07A8-40B7-A681-1603381191D6}</x14:id>
        </ext>
      </extLst>
    </cfRule>
  </conditionalFormatting>
  <conditionalFormatting sqref="K80:BN80">
    <cfRule type="expression" dxfId="40" priority="26">
      <formula>K$6=TODAY()</formula>
    </cfRule>
    <cfRule type="expression" dxfId="39" priority="27">
      <formula>AND($E80&lt;=K$6,ROUNDDOWN(($F80-$E80+1)*$H80,0)+$E80-1&gt;=K$6)</formula>
    </cfRule>
    <cfRule type="expression" dxfId="38" priority="28">
      <formula>AND(NOT(ISBLANK($E80)),$E80&lt;=K$6,$F80&gt;=K$6)</formula>
    </cfRule>
  </conditionalFormatting>
  <conditionalFormatting sqref="H81">
    <cfRule type="dataBar" priority="21">
      <dataBar>
        <cfvo type="num" val="0"/>
        <cfvo type="num" val="1"/>
        <color theme="0" tint="-0.34998626667073579"/>
      </dataBar>
      <extLst>
        <ext xmlns:x14="http://schemas.microsoft.com/office/spreadsheetml/2009/9/main" uri="{B025F937-C7B1-47D3-B67F-A62EFF666E3E}">
          <x14:id>{E198A18C-3180-47BB-A3D6-D1BD6CF7A47B}</x14:id>
        </ext>
      </extLst>
    </cfRule>
  </conditionalFormatting>
  <conditionalFormatting sqref="K81:BN81">
    <cfRule type="expression" dxfId="37" priority="22">
      <formula>K$6=TODAY()</formula>
    </cfRule>
    <cfRule type="expression" dxfId="36" priority="23">
      <formula>AND($E81&lt;=K$6,ROUNDDOWN(($F81-$E81+1)*$H81,0)+$E81-1&gt;=K$6)</formula>
    </cfRule>
    <cfRule type="expression" dxfId="35" priority="24">
      <formula>AND(NOT(ISBLANK($E81)),$E81&lt;=K$6,$F81&gt;=K$6)</formula>
    </cfRule>
  </conditionalFormatting>
  <conditionalFormatting sqref="H82">
    <cfRule type="dataBar" priority="93">
      <dataBar>
        <cfvo type="num" val="0"/>
        <cfvo type="num" val="1"/>
        <color theme="0" tint="-0.34998626667073579"/>
      </dataBar>
      <extLst>
        <ext xmlns:x14="http://schemas.microsoft.com/office/spreadsheetml/2009/9/main" uri="{B025F937-C7B1-47D3-B67F-A62EFF666E3E}">
          <x14:id>{F2C4E8BE-E9F1-411E-8E8C-E6A0455E7970}</x14:id>
        </ext>
      </extLst>
    </cfRule>
  </conditionalFormatting>
  <conditionalFormatting sqref="K82:BN82">
    <cfRule type="expression" dxfId="34" priority="94">
      <formula>K$6=TODAY()</formula>
    </cfRule>
  </conditionalFormatting>
  <conditionalFormatting sqref="H86">
    <cfRule type="dataBar" priority="81">
      <dataBar>
        <cfvo type="num" val="0"/>
        <cfvo type="num" val="1"/>
        <color theme="0" tint="-0.34998626667073579"/>
      </dataBar>
      <extLst>
        <ext xmlns:x14="http://schemas.microsoft.com/office/spreadsheetml/2009/9/main" uri="{B025F937-C7B1-47D3-B67F-A62EFF666E3E}">
          <x14:id>{7115B53C-8BF4-4DDE-BD65-604BF2BB9182}</x14:id>
        </ext>
      </extLst>
    </cfRule>
  </conditionalFormatting>
  <conditionalFormatting sqref="K86:BN86">
    <cfRule type="expression" dxfId="33" priority="82">
      <formula>K$6=TODAY()</formula>
    </cfRule>
  </conditionalFormatting>
  <conditionalFormatting sqref="H92">
    <cfRule type="dataBar" priority="61">
      <dataBar>
        <cfvo type="num" val="0"/>
        <cfvo type="num" val="1"/>
        <color theme="0" tint="-0.34998626667073579"/>
      </dataBar>
      <extLst>
        <ext xmlns:x14="http://schemas.microsoft.com/office/spreadsheetml/2009/9/main" uri="{B025F937-C7B1-47D3-B67F-A62EFF666E3E}">
          <x14:id>{68563805-B176-4434-B2D9-A70288D20EC7}</x14:id>
        </ext>
      </extLst>
    </cfRule>
  </conditionalFormatting>
  <conditionalFormatting sqref="K92:BN92">
    <cfRule type="expression" dxfId="32" priority="62">
      <formula>K$6=TODAY()</formula>
    </cfRule>
  </conditionalFormatting>
  <conditionalFormatting sqref="H93">
    <cfRule type="dataBar" priority="57">
      <dataBar>
        <cfvo type="num" val="0"/>
        <cfvo type="num" val="1"/>
        <color theme="0" tint="-0.34998626667073579"/>
      </dataBar>
      <extLst>
        <ext xmlns:x14="http://schemas.microsoft.com/office/spreadsheetml/2009/9/main" uri="{B025F937-C7B1-47D3-B67F-A62EFF666E3E}">
          <x14:id>{BB099FFF-31C7-4B09-8063-DECC3404DC11}</x14:id>
        </ext>
      </extLst>
    </cfRule>
  </conditionalFormatting>
  <conditionalFormatting sqref="K93:BN93">
    <cfRule type="expression" dxfId="31" priority="58">
      <formula>K$6=TODAY()</formula>
    </cfRule>
  </conditionalFormatting>
  <conditionalFormatting sqref="H60:H64">
    <cfRule type="dataBar" priority="113">
      <dataBar>
        <cfvo type="num" val="0"/>
        <cfvo type="num" val="1"/>
        <color theme="0" tint="-0.34998626667073579"/>
      </dataBar>
      <extLst>
        <ext xmlns:x14="http://schemas.microsoft.com/office/spreadsheetml/2009/9/main" uri="{B025F937-C7B1-47D3-B67F-A62EFF666E3E}">
          <x14:id>{9FF63461-3137-4ABA-BA5F-46E33D64C3C9}</x14:id>
        </ext>
      </extLst>
    </cfRule>
  </conditionalFormatting>
  <conditionalFormatting sqref="H65:H67">
    <cfRule type="dataBar" priority="109">
      <dataBar>
        <cfvo type="num" val="0"/>
        <cfvo type="num" val="1"/>
        <color theme="0" tint="-0.34998626667073579"/>
      </dataBar>
      <extLst>
        <ext xmlns:x14="http://schemas.microsoft.com/office/spreadsheetml/2009/9/main" uri="{B025F937-C7B1-47D3-B67F-A62EFF666E3E}">
          <x14:id>{3734F903-8821-4E86-8F9F-738722BD5F02}</x14:id>
        </ext>
      </extLst>
    </cfRule>
  </conditionalFormatting>
  <conditionalFormatting sqref="H70:H74">
    <cfRule type="dataBar" priority="105">
      <dataBar>
        <cfvo type="num" val="0"/>
        <cfvo type="num" val="1"/>
        <color theme="0" tint="-0.34998626667073579"/>
      </dataBar>
      <extLst>
        <ext xmlns:x14="http://schemas.microsoft.com/office/spreadsheetml/2009/9/main" uri="{B025F937-C7B1-47D3-B67F-A62EFF666E3E}">
          <x14:id>{4B51E4AB-2BD4-4AB0-9A8F-3F8073806174}</x14:id>
        </ext>
      </extLst>
    </cfRule>
  </conditionalFormatting>
  <conditionalFormatting sqref="H75:H76">
    <cfRule type="dataBar" priority="101">
      <dataBar>
        <cfvo type="num" val="0"/>
        <cfvo type="num" val="1"/>
        <color theme="0" tint="-0.34998626667073579"/>
      </dataBar>
      <extLst>
        <ext xmlns:x14="http://schemas.microsoft.com/office/spreadsheetml/2009/9/main" uri="{B025F937-C7B1-47D3-B67F-A62EFF666E3E}">
          <x14:id>{618181FE-7582-4C82-9517-17FA2CDC9CBC}</x14:id>
        </ext>
      </extLst>
    </cfRule>
  </conditionalFormatting>
  <conditionalFormatting sqref="H83:H85">
    <cfRule type="dataBar" priority="89">
      <dataBar>
        <cfvo type="num" val="0"/>
        <cfvo type="num" val="1"/>
        <color theme="0" tint="-0.34998626667073579"/>
      </dataBar>
      <extLst>
        <ext xmlns:x14="http://schemas.microsoft.com/office/spreadsheetml/2009/9/main" uri="{B025F937-C7B1-47D3-B67F-A62EFF666E3E}">
          <x14:id>{383FBCAF-9DEB-4AC2-B745-E229F8D2BAB3}</x14:id>
        </ext>
      </extLst>
    </cfRule>
  </conditionalFormatting>
  <conditionalFormatting sqref="H87:H91">
    <cfRule type="dataBar" priority="73">
      <dataBar>
        <cfvo type="num" val="0"/>
        <cfvo type="num" val="1"/>
        <color theme="0" tint="-0.34998626667073579"/>
      </dataBar>
      <extLst>
        <ext xmlns:x14="http://schemas.microsoft.com/office/spreadsheetml/2009/9/main" uri="{B025F937-C7B1-47D3-B67F-A62EFF666E3E}">
          <x14:id>{E795F590-C254-4B2C-B592-C5426107257E}</x14:id>
        </ext>
      </extLst>
    </cfRule>
  </conditionalFormatting>
  <conditionalFormatting sqref="K6:BN7">
    <cfRule type="expression" dxfId="30" priority="169">
      <formula>K$6=TODAY()</formula>
    </cfRule>
  </conditionalFormatting>
  <conditionalFormatting sqref="K6:BN10 K54:BN59 K15:BN52">
    <cfRule type="expression" dxfId="29" priority="132">
      <formula>K$6=TODAY()</formula>
    </cfRule>
  </conditionalFormatting>
  <conditionalFormatting sqref="H8:H10 H54:H59 H15:H52">
    <cfRule type="dataBar" priority="126">
      <dataBar>
        <cfvo type="num" val="0"/>
        <cfvo type="num" val="1"/>
        <color theme="0" tint="-0.34998626667073579"/>
      </dataBar>
      <extLst>
        <ext xmlns:x14="http://schemas.microsoft.com/office/spreadsheetml/2009/9/main" uri="{B025F937-C7B1-47D3-B67F-A62EFF666E3E}">
          <x14:id>{FC995155-1237-4645-8842-80DD26D23F80}</x14:id>
        </ext>
      </extLst>
    </cfRule>
  </conditionalFormatting>
  <conditionalFormatting sqref="K8:BN10 K70:BN76 K82:BN93 K54:BN67 K15:BN52">
    <cfRule type="expression" dxfId="28" priority="172">
      <formula>AND($E8&lt;=K$6,ROUNDDOWN(($F8-$E8+1)*$H8,0)+$E8-1&gt;=K$6)</formula>
    </cfRule>
    <cfRule type="expression" dxfId="27" priority="173">
      <formula>AND(NOT(ISBLANK($E8)),$E8&lt;=K$6,$F8&gt;=K$6)</formula>
    </cfRule>
  </conditionalFormatting>
  <conditionalFormatting sqref="K60:BN64">
    <cfRule type="expression" dxfId="26" priority="114">
      <formula>K$6=TODAY()</formula>
    </cfRule>
  </conditionalFormatting>
  <conditionalFormatting sqref="K65:BN67">
    <cfRule type="expression" dxfId="25" priority="110">
      <formula>K$6=TODAY()</formula>
    </cfRule>
  </conditionalFormatting>
  <conditionalFormatting sqref="K70:BN74">
    <cfRule type="expression" dxfId="24" priority="106">
      <formula>K$6=TODAY()</formula>
    </cfRule>
  </conditionalFormatting>
  <conditionalFormatting sqref="K75:BN76">
    <cfRule type="expression" dxfId="23" priority="102">
      <formula>K$6=TODAY()</formula>
    </cfRule>
  </conditionalFormatting>
  <conditionalFormatting sqref="K83:BN85">
    <cfRule type="expression" dxfId="22" priority="90">
      <formula>K$6=TODAY()</formula>
    </cfRule>
  </conditionalFormatting>
  <conditionalFormatting sqref="K87:BN91">
    <cfRule type="expression" dxfId="21" priority="74">
      <formula>K$6=TODAY()</formula>
    </cfRule>
  </conditionalFormatting>
  <conditionalFormatting sqref="K11:BN11">
    <cfRule type="expression" dxfId="17" priority="14">
      <formula>K$6=TODAY()</formula>
    </cfRule>
  </conditionalFormatting>
  <conditionalFormatting sqref="H11">
    <cfRule type="dataBar" priority="13">
      <dataBar>
        <cfvo type="num" val="0"/>
        <cfvo type="num" val="1"/>
        <color theme="0" tint="-0.34998626667073579"/>
      </dataBar>
      <extLst>
        <ext xmlns:x14="http://schemas.microsoft.com/office/spreadsheetml/2009/9/main" uri="{B025F937-C7B1-47D3-B67F-A62EFF666E3E}">
          <x14:id>{F8F65440-31C9-4BD4-A6C3-1FDF50F5ED81}</x14:id>
        </ext>
      </extLst>
    </cfRule>
  </conditionalFormatting>
  <conditionalFormatting sqref="K11:BN11">
    <cfRule type="expression" dxfId="16" priority="15">
      <formula>AND($E11&lt;=K$6,ROUNDDOWN(($F11-$E11+1)*$H11,0)+$E11-1&gt;=K$6)</formula>
    </cfRule>
    <cfRule type="expression" dxfId="15" priority="16">
      <formula>AND(NOT(ISBLANK($E11)),$E11&lt;=K$6,$F11&gt;=K$6)</formula>
    </cfRule>
  </conditionalFormatting>
  <conditionalFormatting sqref="K12:BN12">
    <cfRule type="expression" dxfId="14" priority="10">
      <formula>K$6=TODAY()</formula>
    </cfRule>
  </conditionalFormatting>
  <conditionalFormatting sqref="H12">
    <cfRule type="dataBar" priority="9">
      <dataBar>
        <cfvo type="num" val="0"/>
        <cfvo type="num" val="1"/>
        <color theme="0" tint="-0.34998626667073579"/>
      </dataBar>
      <extLst>
        <ext xmlns:x14="http://schemas.microsoft.com/office/spreadsheetml/2009/9/main" uri="{B025F937-C7B1-47D3-B67F-A62EFF666E3E}">
          <x14:id>{A6174771-9951-4F64-B878-54171BAF2310}</x14:id>
        </ext>
      </extLst>
    </cfRule>
  </conditionalFormatting>
  <conditionalFormatting sqref="K12:BN12">
    <cfRule type="expression" dxfId="13" priority="11">
      <formula>AND($E12&lt;=K$6,ROUNDDOWN(($F12-$E12+1)*$H12,0)+$E12-1&gt;=K$6)</formula>
    </cfRule>
    <cfRule type="expression" dxfId="12" priority="12">
      <formula>AND(NOT(ISBLANK($E12)),$E12&lt;=K$6,$F12&gt;=K$6)</formula>
    </cfRule>
  </conditionalFormatting>
  <conditionalFormatting sqref="K13:BN13">
    <cfRule type="expression" dxfId="11" priority="6">
      <formula>K$6=TODAY()</formula>
    </cfRule>
  </conditionalFormatting>
  <conditionalFormatting sqref="H13">
    <cfRule type="dataBar" priority="5">
      <dataBar>
        <cfvo type="num" val="0"/>
        <cfvo type="num" val="1"/>
        <color theme="0" tint="-0.34998626667073579"/>
      </dataBar>
      <extLst>
        <ext xmlns:x14="http://schemas.microsoft.com/office/spreadsheetml/2009/9/main" uri="{B025F937-C7B1-47D3-B67F-A62EFF666E3E}">
          <x14:id>{5100C74B-549F-4DAB-9646-F23542235418}</x14:id>
        </ext>
      </extLst>
    </cfRule>
  </conditionalFormatting>
  <conditionalFormatting sqref="K13:BN13">
    <cfRule type="expression" dxfId="9" priority="7">
      <formula>AND($E13&lt;=K$6,ROUNDDOWN(($F13-$E13+1)*$H13,0)+$E13-1&gt;=K$6)</formula>
    </cfRule>
    <cfRule type="expression" dxfId="8" priority="8">
      <formula>AND(NOT(ISBLANK($E13)),$E13&lt;=K$6,$F13&gt;=K$6)</formula>
    </cfRule>
  </conditionalFormatting>
  <conditionalFormatting sqref="K14:BN14">
    <cfRule type="expression" dxfId="5" priority="2">
      <formula>K$6=TODAY()</formula>
    </cfRule>
  </conditionalFormatting>
  <conditionalFormatting sqref="H14">
    <cfRule type="dataBar" priority="1">
      <dataBar>
        <cfvo type="num" val="0"/>
        <cfvo type="num" val="1"/>
        <color theme="0" tint="-0.34998626667073579"/>
      </dataBar>
      <extLst>
        <ext xmlns:x14="http://schemas.microsoft.com/office/spreadsheetml/2009/9/main" uri="{B025F937-C7B1-47D3-B67F-A62EFF666E3E}">
          <x14:id>{28280670-5D74-4460-AFD6-C722D1E63835}</x14:id>
        </ext>
      </extLst>
    </cfRule>
  </conditionalFormatting>
  <conditionalFormatting sqref="K14:BN14">
    <cfRule type="expression" dxfId="3" priority="3">
      <formula>AND($E14&lt;=K$6,ROUNDDOWN(($F14-$E14+1)*$H14,0)+$E14-1&gt;=K$6)</formula>
    </cfRule>
    <cfRule type="expression" dxfId="2" priority="4">
      <formula>AND(NOT(ISBLANK($E14)),$E14&lt;=K$6,$F14&gt;=K$6)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5" bottom="0.5" header="0.5" footer="0.25"/>
  <pageSetup scale="53" orientation="landscape"/>
  <headerFooter alignWithMargins="0"/>
  <ignoredErrors>
    <ignoredError sqref="A54" formula="1"/>
    <ignoredError sqref="H56 H57:H58 G54:H54 E54" unlockedFormula="1"/>
  </ignoredErrors>
  <drawing r:id="rId1"/>
  <legacyDrawing r:id="rId2"/>
  <mc:AlternateContent xmlns:mc="http://schemas.openxmlformats.org/markup-compatibility/2006">
    <mc:Choice Requires="x14">
      <controls>
        <mc:AlternateContent xmlns:mc="http://schemas.openxmlformats.org/markup-compatibility/2006">
          <mc:Choice Requires="x14">
            <control shapeId="8238" r:id="rId3"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18038711-1C51-4067-AAD1-36976C973DDF}">
            <x14:dataBar minLength="0" maxLength="100" gradient="0">
              <x14:cfvo type="num">
                <xm:f>0</xm:f>
              </x14:cfvo>
              <x14:cfvo type="num">
                <xm:f>1</xm:f>
              </x14:cfvo>
              <x14:negativeFillColor rgb="FFFF0000"/>
              <x14:axisColor rgb="FF000000"/>
            </x14:dataBar>
          </x14:cfRule>
          <xm:sqref>H53</xm:sqref>
        </x14:conditionalFormatting>
        <x14:conditionalFormatting xmlns:xm="http://schemas.microsoft.com/office/excel/2006/main">
          <x14:cfRule type="dataBar" id="{C530BE72-4D90-48AA-9629-A6D8685FF7E1}">
            <x14:dataBar minLength="0" maxLength="100" gradient="0">
              <x14:cfvo type="num">
                <xm:f>0</xm:f>
              </x14:cfvo>
              <x14:cfvo type="num">
                <xm:f>1</xm:f>
              </x14:cfvo>
              <x14:negativeFillColor rgb="FFFF0000"/>
              <x14:axisColor rgb="FF000000"/>
            </x14:dataBar>
          </x14:cfRule>
          <xm:sqref>H68</xm:sqref>
        </x14:conditionalFormatting>
        <x14:conditionalFormatting xmlns:xm="http://schemas.microsoft.com/office/excel/2006/main">
          <x14:cfRule type="dataBar" id="{BC417A2E-EDEC-48BB-8CF7-14F4E1459B73}">
            <x14:dataBar minLength="0" maxLength="100" gradient="0">
              <x14:cfvo type="num">
                <xm:f>0</xm:f>
              </x14:cfvo>
              <x14:cfvo type="num">
                <xm:f>1</xm:f>
              </x14:cfvo>
              <x14:negativeFillColor rgb="FFFF0000"/>
              <x14:axisColor rgb="FF000000"/>
            </x14:dataBar>
          </x14:cfRule>
          <xm:sqref>H69</xm:sqref>
        </x14:conditionalFormatting>
        <x14:conditionalFormatting xmlns:xm="http://schemas.microsoft.com/office/excel/2006/main">
          <x14:cfRule type="dataBar" id="{B825B53B-C445-4AF1-A1C9-24F55514967F}">
            <x14:dataBar minLength="0" maxLength="100" gradient="0">
              <x14:cfvo type="num">
                <xm:f>0</xm:f>
              </x14:cfvo>
              <x14:cfvo type="num">
                <xm:f>1</xm:f>
              </x14:cfvo>
              <x14:negativeFillColor rgb="FFFF0000"/>
              <x14:axisColor rgb="FF000000"/>
            </x14:dataBar>
          </x14:cfRule>
          <xm:sqref>H77</xm:sqref>
        </x14:conditionalFormatting>
        <x14:conditionalFormatting xmlns:xm="http://schemas.microsoft.com/office/excel/2006/main">
          <x14:cfRule type="dataBar" id="{32D9DDF4-BD94-4793-AE9B-FE2FBDFA7856}">
            <x14:dataBar minLength="0" maxLength="100" gradient="0">
              <x14:cfvo type="num">
                <xm:f>0</xm:f>
              </x14:cfvo>
              <x14:cfvo type="num">
                <xm:f>1</xm:f>
              </x14:cfvo>
              <x14:negativeFillColor rgb="FFFF0000"/>
              <x14:axisColor rgb="FF000000"/>
            </x14:dataBar>
          </x14:cfRule>
          <xm:sqref>H78</xm:sqref>
        </x14:conditionalFormatting>
        <x14:conditionalFormatting xmlns:xm="http://schemas.microsoft.com/office/excel/2006/main">
          <x14:cfRule type="dataBar" id="{CDA6B999-EA4A-4F00-A87D-1573D8CFFDF6}">
            <x14:dataBar minLength="0" maxLength="100" gradient="0">
              <x14:cfvo type="num">
                <xm:f>0</xm:f>
              </x14:cfvo>
              <x14:cfvo type="num">
                <xm:f>1</xm:f>
              </x14:cfvo>
              <x14:negativeFillColor rgb="FFFF0000"/>
              <x14:axisColor rgb="FF000000"/>
            </x14:dataBar>
          </x14:cfRule>
          <xm:sqref>H79</xm:sqref>
        </x14:conditionalFormatting>
        <x14:conditionalFormatting xmlns:xm="http://schemas.microsoft.com/office/excel/2006/main">
          <x14:cfRule type="dataBar" id="{9FA44BF1-07A8-40B7-A681-1603381191D6}">
            <x14:dataBar minLength="0" maxLength="100" gradient="0">
              <x14:cfvo type="num">
                <xm:f>0</xm:f>
              </x14:cfvo>
              <x14:cfvo type="num">
                <xm:f>1</xm:f>
              </x14:cfvo>
              <x14:negativeFillColor rgb="FFFF0000"/>
              <x14:axisColor rgb="FF000000"/>
            </x14:dataBar>
          </x14:cfRule>
          <xm:sqref>H80</xm:sqref>
        </x14:conditionalFormatting>
        <x14:conditionalFormatting xmlns:xm="http://schemas.microsoft.com/office/excel/2006/main">
          <x14:cfRule type="dataBar" id="{E198A18C-3180-47BB-A3D6-D1BD6CF7A47B}">
            <x14:dataBar minLength="0" maxLength="100" gradient="0">
              <x14:cfvo type="num">
                <xm:f>0</xm:f>
              </x14:cfvo>
              <x14:cfvo type="num">
                <xm:f>1</xm:f>
              </x14:cfvo>
              <x14:negativeFillColor rgb="FFFF0000"/>
              <x14:axisColor rgb="FF000000"/>
            </x14:dataBar>
          </x14:cfRule>
          <xm:sqref>H81</xm:sqref>
        </x14:conditionalFormatting>
        <x14:conditionalFormatting xmlns:xm="http://schemas.microsoft.com/office/excel/2006/main">
          <x14:cfRule type="dataBar" id="{F2C4E8BE-E9F1-411E-8E8C-E6A0455E7970}">
            <x14:dataBar minLength="0" maxLength="100" gradient="0">
              <x14:cfvo type="num">
                <xm:f>0</xm:f>
              </x14:cfvo>
              <x14:cfvo type="num">
                <xm:f>1</xm:f>
              </x14:cfvo>
              <x14:negativeFillColor rgb="FFFF0000"/>
              <x14:axisColor rgb="FF000000"/>
            </x14:dataBar>
          </x14:cfRule>
          <xm:sqref>H82</xm:sqref>
        </x14:conditionalFormatting>
        <x14:conditionalFormatting xmlns:xm="http://schemas.microsoft.com/office/excel/2006/main">
          <x14:cfRule type="dataBar" id="{7115B53C-8BF4-4DDE-BD65-604BF2BB9182}">
            <x14:dataBar minLength="0" maxLength="100" gradient="0">
              <x14:cfvo type="num">
                <xm:f>0</xm:f>
              </x14:cfvo>
              <x14:cfvo type="num">
                <xm:f>1</xm:f>
              </x14:cfvo>
              <x14:negativeFillColor rgb="FFFF0000"/>
              <x14:axisColor rgb="FF000000"/>
            </x14:dataBar>
          </x14:cfRule>
          <xm:sqref>H86</xm:sqref>
        </x14:conditionalFormatting>
        <x14:conditionalFormatting xmlns:xm="http://schemas.microsoft.com/office/excel/2006/main">
          <x14:cfRule type="dataBar" id="{68563805-B176-4434-B2D9-A70288D20EC7}">
            <x14:dataBar minLength="0" maxLength="100" gradient="0">
              <x14:cfvo type="num">
                <xm:f>0</xm:f>
              </x14:cfvo>
              <x14:cfvo type="num">
                <xm:f>1</xm:f>
              </x14:cfvo>
              <x14:negativeFillColor rgb="FFFF0000"/>
              <x14:axisColor rgb="FF000000"/>
            </x14:dataBar>
          </x14:cfRule>
          <xm:sqref>H92</xm:sqref>
        </x14:conditionalFormatting>
        <x14:conditionalFormatting xmlns:xm="http://schemas.microsoft.com/office/excel/2006/main">
          <x14:cfRule type="dataBar" id="{BB099FFF-31C7-4B09-8063-DECC3404DC11}">
            <x14:dataBar minLength="0" maxLength="100" gradient="0">
              <x14:cfvo type="num">
                <xm:f>0</xm:f>
              </x14:cfvo>
              <x14:cfvo type="num">
                <xm:f>1</xm:f>
              </x14:cfvo>
              <x14:negativeFillColor rgb="FFFF0000"/>
              <x14:axisColor rgb="FF000000"/>
            </x14:dataBar>
          </x14:cfRule>
          <xm:sqref>H93</xm:sqref>
        </x14:conditionalFormatting>
        <x14:conditionalFormatting xmlns:xm="http://schemas.microsoft.com/office/excel/2006/main">
          <x14:cfRule type="dataBar" id="{9FF63461-3137-4ABA-BA5F-46E33D64C3C9}">
            <x14:dataBar minLength="0" maxLength="100" gradient="0">
              <x14:cfvo type="num">
                <xm:f>0</xm:f>
              </x14:cfvo>
              <x14:cfvo type="num">
                <xm:f>1</xm:f>
              </x14:cfvo>
              <x14:negativeFillColor rgb="FFFF0000"/>
              <x14:axisColor rgb="FF000000"/>
            </x14:dataBar>
          </x14:cfRule>
          <xm:sqref>H60:H64</xm:sqref>
        </x14:conditionalFormatting>
        <x14:conditionalFormatting xmlns:xm="http://schemas.microsoft.com/office/excel/2006/main">
          <x14:cfRule type="dataBar" id="{3734F903-8821-4E86-8F9F-738722BD5F02}">
            <x14:dataBar minLength="0" maxLength="100" gradient="0">
              <x14:cfvo type="num">
                <xm:f>0</xm:f>
              </x14:cfvo>
              <x14:cfvo type="num">
                <xm:f>1</xm:f>
              </x14:cfvo>
              <x14:negativeFillColor rgb="FFFF0000"/>
              <x14:axisColor rgb="FF000000"/>
            </x14:dataBar>
          </x14:cfRule>
          <xm:sqref>H65:H67</xm:sqref>
        </x14:conditionalFormatting>
        <x14:conditionalFormatting xmlns:xm="http://schemas.microsoft.com/office/excel/2006/main">
          <x14:cfRule type="dataBar" id="{4B51E4AB-2BD4-4AB0-9A8F-3F8073806174}">
            <x14:dataBar minLength="0" maxLength="100" gradient="0">
              <x14:cfvo type="num">
                <xm:f>0</xm:f>
              </x14:cfvo>
              <x14:cfvo type="num">
                <xm:f>1</xm:f>
              </x14:cfvo>
              <x14:negativeFillColor rgb="FFFF0000"/>
              <x14:axisColor rgb="FF000000"/>
            </x14:dataBar>
          </x14:cfRule>
          <xm:sqref>H70:H74</xm:sqref>
        </x14:conditionalFormatting>
        <x14:conditionalFormatting xmlns:xm="http://schemas.microsoft.com/office/excel/2006/main">
          <x14:cfRule type="dataBar" id="{618181FE-7582-4C82-9517-17FA2CDC9CBC}">
            <x14:dataBar minLength="0" maxLength="100" gradient="0">
              <x14:cfvo type="num">
                <xm:f>0</xm:f>
              </x14:cfvo>
              <x14:cfvo type="num">
                <xm:f>1</xm:f>
              </x14:cfvo>
              <x14:negativeFillColor rgb="FFFF0000"/>
              <x14:axisColor rgb="FF000000"/>
            </x14:dataBar>
          </x14:cfRule>
          <xm:sqref>H75:H76</xm:sqref>
        </x14:conditionalFormatting>
        <x14:conditionalFormatting xmlns:xm="http://schemas.microsoft.com/office/excel/2006/main">
          <x14:cfRule type="dataBar" id="{383FBCAF-9DEB-4AC2-B745-E229F8D2BAB3}">
            <x14:dataBar minLength="0" maxLength="100" gradient="0">
              <x14:cfvo type="num">
                <xm:f>0</xm:f>
              </x14:cfvo>
              <x14:cfvo type="num">
                <xm:f>1</xm:f>
              </x14:cfvo>
              <x14:negativeFillColor rgb="FFFF0000"/>
              <x14:axisColor rgb="FF000000"/>
            </x14:dataBar>
          </x14:cfRule>
          <xm:sqref>H83:H85</xm:sqref>
        </x14:conditionalFormatting>
        <x14:conditionalFormatting xmlns:xm="http://schemas.microsoft.com/office/excel/2006/main">
          <x14:cfRule type="dataBar" id="{E795F590-C254-4B2C-B592-C5426107257E}">
            <x14:dataBar minLength="0" maxLength="100" gradient="0">
              <x14:cfvo type="num">
                <xm:f>0</xm:f>
              </x14:cfvo>
              <x14:cfvo type="num">
                <xm:f>1</xm:f>
              </x14:cfvo>
              <x14:negativeFillColor rgb="FFFF0000"/>
              <x14:axisColor rgb="FF000000"/>
            </x14:dataBar>
          </x14:cfRule>
          <xm:sqref>H87:H91</xm:sqref>
        </x14:conditionalFormatting>
        <x14:conditionalFormatting xmlns:xm="http://schemas.microsoft.com/office/excel/2006/main">
          <x14:cfRule type="dataBar" id="{FC995155-1237-4645-8842-80DD26D23F80}">
            <x14:dataBar minLength="0" maxLength="100" gradient="0">
              <x14:cfvo type="num">
                <xm:f>0</xm:f>
              </x14:cfvo>
              <x14:cfvo type="num">
                <xm:f>1</xm:f>
              </x14:cfvo>
              <x14:negativeFillColor rgb="FFFF0000"/>
              <x14:axisColor rgb="FF000000"/>
            </x14:dataBar>
          </x14:cfRule>
          <xm:sqref>H8:H10 H54:H59 H15:H52</xm:sqref>
        </x14:conditionalFormatting>
        <x14:conditionalFormatting xmlns:xm="http://schemas.microsoft.com/office/excel/2006/main">
          <x14:cfRule type="dataBar" id="{F8F65440-31C9-4BD4-A6C3-1FDF50F5ED81}">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A6174771-9951-4F64-B878-54171BAF2310}">
            <x14:dataBar minLength="0" maxLength="100" gradient="0">
              <x14:cfvo type="num">
                <xm:f>0</xm:f>
              </x14:cfvo>
              <x14:cfvo type="num">
                <xm:f>1</xm:f>
              </x14:cfvo>
              <x14:negativeFillColor rgb="FFFF0000"/>
              <x14:axisColor rgb="FF000000"/>
            </x14:dataBar>
          </x14:cfRule>
          <xm:sqref>H12</xm:sqref>
        </x14:conditionalFormatting>
        <x14:conditionalFormatting xmlns:xm="http://schemas.microsoft.com/office/excel/2006/main">
          <x14:cfRule type="dataBar" id="{5100C74B-549F-4DAB-9646-F23542235418}">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28280670-5D74-4460-AFD6-C722D1E63835}">
            <x14:dataBar minLength="0" maxLength="100" gradient="0">
              <x14:cfvo type="num">
                <xm:f>0</xm:f>
              </x14:cfvo>
              <x14:cfvo type="num">
                <xm:f>1</xm:f>
              </x14:cfvo>
              <x14:negativeFillColor rgb="FFFF0000"/>
              <x14:axisColor rgb="FF000000"/>
            </x14:dataBar>
          </x14:cfRule>
          <xm:sqref>H14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43" t="s">
        <v>59</v>
      </c>
    </row>
    <row r="4" spans="1:3">
      <c r="C4" s="28" t="s">
        <v>60</v>
      </c>
    </row>
    <row r="5" spans="1:3">
      <c r="C5" s="1" t="s">
        <v>61</v>
      </c>
    </row>
    <row r="6" spans="1:3">
      <c r="C6" s="1"/>
    </row>
    <row r="7" spans="1:3" ht="18">
      <c r="C7" s="44" t="s">
        <v>62</v>
      </c>
    </row>
    <row r="8" spans="1:3">
      <c r="C8" s="45" t="s">
        <v>63</v>
      </c>
    </row>
    <row r="10" spans="1:3">
      <c r="C10" s="1" t="s">
        <v>64</v>
      </c>
    </row>
    <row r="11" spans="1:3">
      <c r="C11" s="1" t="s">
        <v>65</v>
      </c>
    </row>
    <row r="13" spans="1:3" ht="18">
      <c r="C13" s="44" t="s">
        <v>66</v>
      </c>
    </row>
    <row r="16" spans="1:3" ht="15.75">
      <c r="A16" s="19" t="s">
        <v>67</v>
      </c>
    </row>
    <row r="18" spans="2:2" ht="15">
      <c r="B18" s="46" t="s">
        <v>68</v>
      </c>
    </row>
    <row r="19" spans="2:2">
      <c r="B19" s="1" t="s">
        <v>69</v>
      </c>
    </row>
    <row r="20" spans="2:2">
      <c r="B20" s="1" t="s">
        <v>70</v>
      </c>
    </row>
    <row r="22" spans="2:2" ht="15">
      <c r="B22" s="46" t="s">
        <v>71</v>
      </c>
    </row>
    <row r="23" spans="2:2">
      <c r="B23" s="1" t="s">
        <v>72</v>
      </c>
    </row>
    <row r="24" spans="2:2">
      <c r="B24" s="1" t="s">
        <v>73</v>
      </c>
    </row>
    <row r="26" spans="2:2" ht="15">
      <c r="B26" s="46" t="s">
        <v>74</v>
      </c>
    </row>
    <row r="27" spans="2:2">
      <c r="B27" s="1" t="s">
        <v>75</v>
      </c>
    </row>
    <row r="28" spans="2:2">
      <c r="B28" s="1" t="s">
        <v>76</v>
      </c>
    </row>
    <row r="29" spans="2:2">
      <c r="B29" s="1" t="s">
        <v>77</v>
      </c>
    </row>
    <row r="30" spans="2:2">
      <c r="B30" t="s">
        <v>78</v>
      </c>
    </row>
    <row r="31" spans="2:2">
      <c r="B31" t="s">
        <v>79</v>
      </c>
    </row>
    <row r="32" spans="2:2">
      <c r="B32" t="s">
        <v>80</v>
      </c>
    </row>
    <row r="34" spans="2:2" ht="15">
      <c r="B34" s="46" t="s">
        <v>81</v>
      </c>
    </row>
    <row r="35" spans="2:2">
      <c r="B35" s="1" t="s">
        <v>82</v>
      </c>
    </row>
    <row r="36" spans="2:2">
      <c r="B36" s="1" t="s">
        <v>83</v>
      </c>
    </row>
    <row r="37" spans="2:2">
      <c r="B37" s="1" t="s">
        <v>84</v>
      </c>
    </row>
    <row r="39" spans="2:2" ht="15">
      <c r="B39" s="46" t="s">
        <v>85</v>
      </c>
    </row>
    <row r="40" spans="2:2">
      <c r="B40" s="1" t="s">
        <v>86</v>
      </c>
    </row>
    <row r="42" spans="2:2" ht="15">
      <c r="B42" s="46" t="s">
        <v>87</v>
      </c>
    </row>
    <row r="43" spans="2:2">
      <c r="B43" s="1" t="s">
        <v>88</v>
      </c>
    </row>
    <row r="44" spans="2:2">
      <c r="B44" s="1" t="s">
        <v>89</v>
      </c>
    </row>
    <row r="46" spans="2:2" ht="18">
      <c r="B46" s="44" t="s">
        <v>90</v>
      </c>
    </row>
  </sheetData>
  <hyperlinks>
    <hyperlink ref="C7" r:id="rId1"/>
    <hyperlink ref="B46" r:id="rId2" tooltip="Go to Vertex42.com"/>
    <hyperlink ref="C13" r:id="rId3"/>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C94"/>
  <sheetViews>
    <sheetView showGridLines="0" workbookViewId="0"/>
  </sheetViews>
  <sheetFormatPr defaultColWidth="8.85546875" defaultRowHeight="12.75"/>
  <cols>
    <col min="1" max="1" width="5.5703125" style="1" customWidth="1"/>
    <col min="2" max="2" width="90.42578125" style="1" customWidth="1"/>
    <col min="3" max="3" width="16.42578125" style="1" customWidth="1"/>
    <col min="4" max="16384" width="8.85546875" style="1"/>
  </cols>
  <sheetData>
    <row r="1" spans="1:3" ht="30" customHeight="1">
      <c r="A1" s="2" t="s">
        <v>91</v>
      </c>
      <c r="B1" s="15"/>
    </row>
    <row r="2" spans="1:3" ht="14.25">
      <c r="A2" s="16" t="s">
        <v>63</v>
      </c>
      <c r="B2" s="17"/>
    </row>
    <row r="3" spans="1:3">
      <c r="B3" s="17"/>
    </row>
    <row r="4" spans="1:3" ht="18">
      <c r="A4" s="18" t="s">
        <v>92</v>
      </c>
      <c r="B4" s="19"/>
    </row>
    <row r="5" spans="1:3" ht="57">
      <c r="B5" s="20" t="s">
        <v>93</v>
      </c>
    </row>
    <row r="7" spans="1:3" ht="28.5">
      <c r="B7" s="20" t="s">
        <v>94</v>
      </c>
    </row>
    <row r="9" spans="1:3" ht="14.25">
      <c r="B9" s="16" t="s">
        <v>95</v>
      </c>
    </row>
    <row r="11" spans="1:3" ht="28.5">
      <c r="B11" s="21" t="s">
        <v>96</v>
      </c>
    </row>
    <row r="13" spans="1:3" ht="18">
      <c r="A13" s="113" t="s">
        <v>97</v>
      </c>
      <c r="B13" s="113"/>
    </row>
    <row r="15" spans="1:3" s="14" customFormat="1" ht="18">
      <c r="A15" s="22"/>
      <c r="B15" s="23" t="s">
        <v>98</v>
      </c>
    </row>
    <row r="16" spans="1:3" s="14" customFormat="1" ht="18">
      <c r="A16" s="22"/>
      <c r="B16" s="23" t="s">
        <v>99</v>
      </c>
      <c r="C16" s="24" t="s">
        <v>100</v>
      </c>
    </row>
    <row r="17" spans="1:3" ht="18">
      <c r="A17" s="25"/>
      <c r="B17" s="23" t="s">
        <v>101</v>
      </c>
    </row>
    <row r="18" spans="1:3" ht="18">
      <c r="A18" s="25"/>
      <c r="B18" s="23" t="s">
        <v>102</v>
      </c>
    </row>
    <row r="19" spans="1:3" ht="18">
      <c r="A19" s="25"/>
      <c r="B19" s="23" t="s">
        <v>103</v>
      </c>
    </row>
    <row r="20" spans="1:3" s="14" customFormat="1" ht="18">
      <c r="A20" s="22"/>
      <c r="B20" s="23" t="s">
        <v>104</v>
      </c>
      <c r="C20" s="26" t="s">
        <v>105</v>
      </c>
    </row>
    <row r="21" spans="1:3" ht="18">
      <c r="A21" s="25"/>
      <c r="B21" s="23" t="s">
        <v>106</v>
      </c>
    </row>
    <row r="22" spans="1:3" ht="18">
      <c r="A22" s="25"/>
      <c r="B22" s="27" t="s">
        <v>107</v>
      </c>
    </row>
    <row r="23" spans="1:3" ht="18">
      <c r="A23" s="25"/>
      <c r="B23" s="28"/>
    </row>
    <row r="24" spans="1:3" ht="18">
      <c r="A24" s="113" t="s">
        <v>108</v>
      </c>
      <c r="B24" s="113"/>
    </row>
    <row r="25" spans="1:3" ht="43.5">
      <c r="A25" s="25"/>
      <c r="B25" s="23" t="s">
        <v>109</v>
      </c>
    </row>
    <row r="26" spans="1:3" ht="18">
      <c r="A26" s="25"/>
      <c r="B26" s="23"/>
    </row>
    <row r="27" spans="1:3" ht="18">
      <c r="A27" s="25"/>
      <c r="B27" s="29" t="s">
        <v>110</v>
      </c>
    </row>
    <row r="28" spans="1:3" ht="18">
      <c r="A28" s="25"/>
      <c r="B28" s="23" t="s">
        <v>111</v>
      </c>
    </row>
    <row r="29" spans="1:3" ht="28.5">
      <c r="A29" s="25"/>
      <c r="B29" s="23" t="s">
        <v>112</v>
      </c>
    </row>
    <row r="30" spans="1:3" ht="18">
      <c r="A30" s="25"/>
      <c r="B30" s="23"/>
    </row>
    <row r="31" spans="1:3" ht="18">
      <c r="A31" s="25"/>
      <c r="B31" s="29" t="s">
        <v>113</v>
      </c>
    </row>
    <row r="32" spans="1:3" ht="18">
      <c r="A32" s="25"/>
      <c r="B32" s="23" t="s">
        <v>114</v>
      </c>
    </row>
    <row r="33" spans="1:2" ht="18">
      <c r="A33" s="25"/>
      <c r="B33" s="23" t="s">
        <v>115</v>
      </c>
    </row>
    <row r="34" spans="1:2" ht="18">
      <c r="A34" s="25"/>
      <c r="B34" s="28"/>
    </row>
    <row r="35" spans="1:2" ht="28.5">
      <c r="A35" s="25"/>
      <c r="B35" s="23" t="s">
        <v>116</v>
      </c>
    </row>
    <row r="36" spans="1:2" ht="18">
      <c r="A36" s="25"/>
      <c r="B36" s="30" t="s">
        <v>117</v>
      </c>
    </row>
    <row r="37" spans="1:2" ht="18">
      <c r="A37" s="25"/>
      <c r="B37" s="28"/>
    </row>
    <row r="38" spans="1:2" ht="18">
      <c r="A38" s="113" t="s">
        <v>118</v>
      </c>
      <c r="B38" s="113"/>
    </row>
    <row r="39" spans="1:2" ht="28.5">
      <c r="B39" s="23" t="s">
        <v>119</v>
      </c>
    </row>
    <row r="41" spans="1:2" ht="14.25">
      <c r="B41" s="23" t="s">
        <v>120</v>
      </c>
    </row>
    <row r="43" spans="1:2" ht="28.5">
      <c r="B43" s="23" t="s">
        <v>121</v>
      </c>
    </row>
    <row r="45" spans="1:2" ht="28.5">
      <c r="B45" s="23" t="s">
        <v>122</v>
      </c>
    </row>
    <row r="46" spans="1:2">
      <c r="B46" s="31"/>
    </row>
    <row r="47" spans="1:2" ht="28.5">
      <c r="B47" s="23" t="s">
        <v>123</v>
      </c>
    </row>
    <row r="49" spans="1:2" ht="18">
      <c r="A49" s="113" t="s">
        <v>124</v>
      </c>
      <c r="B49" s="113"/>
    </row>
    <row r="50" spans="1:2" ht="28.5">
      <c r="B50" s="23" t="s">
        <v>125</v>
      </c>
    </row>
    <row r="52" spans="1:2" ht="14.25">
      <c r="A52" s="32" t="s">
        <v>126</v>
      </c>
      <c r="B52" s="23" t="s">
        <v>127</v>
      </c>
    </row>
    <row r="53" spans="1:2" ht="14.25">
      <c r="A53" s="32" t="s">
        <v>128</v>
      </c>
      <c r="B53" s="23" t="s">
        <v>129</v>
      </c>
    </row>
    <row r="54" spans="1:2" ht="14.25">
      <c r="A54" s="32" t="s">
        <v>130</v>
      </c>
      <c r="B54" s="23" t="s">
        <v>131</v>
      </c>
    </row>
    <row r="55" spans="1:2" ht="28.5">
      <c r="A55" s="21"/>
      <c r="B55" s="23" t="s">
        <v>132</v>
      </c>
    </row>
    <row r="56" spans="1:2" ht="28.5">
      <c r="A56" s="21"/>
      <c r="B56" s="23" t="s">
        <v>133</v>
      </c>
    </row>
    <row r="57" spans="1:2" ht="14.25">
      <c r="A57" s="32" t="s">
        <v>134</v>
      </c>
      <c r="B57" s="23" t="s">
        <v>135</v>
      </c>
    </row>
    <row r="58" spans="1:2" ht="14.25">
      <c r="A58" s="21"/>
      <c r="B58" s="23" t="s">
        <v>136</v>
      </c>
    </row>
    <row r="59" spans="1:2" ht="14.25">
      <c r="A59" s="21"/>
      <c r="B59" s="23" t="s">
        <v>137</v>
      </c>
    </row>
    <row r="60" spans="1:2" ht="14.25">
      <c r="A60" s="32" t="s">
        <v>138</v>
      </c>
      <c r="B60" s="23" t="s">
        <v>139</v>
      </c>
    </row>
    <row r="61" spans="1:2" ht="28.5">
      <c r="A61" s="21"/>
      <c r="B61" s="23" t="s">
        <v>140</v>
      </c>
    </row>
    <row r="62" spans="1:2" ht="14.25">
      <c r="A62" s="32" t="s">
        <v>141</v>
      </c>
      <c r="B62" s="23" t="s">
        <v>142</v>
      </c>
    </row>
    <row r="63" spans="1:2" ht="14.25">
      <c r="A63" s="33"/>
      <c r="B63" s="23" t="s">
        <v>143</v>
      </c>
    </row>
    <row r="64" spans="1:2">
      <c r="B64" s="34"/>
    </row>
    <row r="65" spans="1:2" ht="18">
      <c r="A65" s="113" t="s">
        <v>144</v>
      </c>
      <c r="B65" s="113"/>
    </row>
    <row r="66" spans="1:2" ht="42.75">
      <c r="B66" s="23" t="s">
        <v>145</v>
      </c>
    </row>
    <row r="68" spans="1:2" ht="18">
      <c r="A68" s="113" t="s">
        <v>146</v>
      </c>
      <c r="B68" s="113"/>
    </row>
    <row r="69" spans="1:2" ht="15">
      <c r="A69" s="35" t="s">
        <v>147</v>
      </c>
      <c r="B69" s="36" t="s">
        <v>148</v>
      </c>
    </row>
    <row r="70" spans="1:2" ht="28.5">
      <c r="A70" s="33"/>
      <c r="B70" s="37" t="s">
        <v>149</v>
      </c>
    </row>
    <row r="71" spans="1:2" ht="14.25">
      <c r="A71" s="33"/>
      <c r="B71" s="38"/>
    </row>
    <row r="72" spans="1:2" ht="15">
      <c r="A72" s="35" t="s">
        <v>147</v>
      </c>
      <c r="B72" s="36" t="s">
        <v>150</v>
      </c>
    </row>
    <row r="73" spans="1:2" ht="28.5">
      <c r="A73" s="33"/>
      <c r="B73" s="37" t="s">
        <v>151</v>
      </c>
    </row>
    <row r="74" spans="1:2" ht="14.25">
      <c r="A74" s="33"/>
      <c r="B74" s="38"/>
    </row>
    <row r="75" spans="1:2" ht="15">
      <c r="A75" s="35" t="s">
        <v>147</v>
      </c>
      <c r="B75" s="39" t="s">
        <v>152</v>
      </c>
    </row>
    <row r="76" spans="1:2" ht="42.75">
      <c r="A76" s="33"/>
      <c r="B76" s="20" t="s">
        <v>153</v>
      </c>
    </row>
    <row r="77" spans="1:2" ht="14.25">
      <c r="A77" s="33"/>
      <c r="B77" s="33"/>
    </row>
    <row r="78" spans="1:2" ht="15">
      <c r="A78" s="35" t="s">
        <v>147</v>
      </c>
      <c r="B78" s="39" t="s">
        <v>154</v>
      </c>
    </row>
    <row r="79" spans="1:2" ht="28.5">
      <c r="A79" s="33"/>
      <c r="B79" s="20" t="s">
        <v>155</v>
      </c>
    </row>
    <row r="80" spans="1:2" ht="14.25">
      <c r="A80" s="33"/>
      <c r="B80" s="33"/>
    </row>
    <row r="81" spans="1:2" ht="15">
      <c r="A81" s="35" t="s">
        <v>147</v>
      </c>
      <c r="B81" s="39" t="s">
        <v>156</v>
      </c>
    </row>
    <row r="82" spans="1:2" ht="14.25">
      <c r="A82" s="33"/>
      <c r="B82" s="40" t="s">
        <v>157</v>
      </c>
    </row>
    <row r="83" spans="1:2" ht="14.25">
      <c r="A83" s="33"/>
      <c r="B83" s="40" t="s">
        <v>158</v>
      </c>
    </row>
    <row r="84" spans="1:2" ht="14.25">
      <c r="A84" s="33"/>
      <c r="B84" s="40" t="s">
        <v>159</v>
      </c>
    </row>
    <row r="85" spans="1:2" ht="15">
      <c r="A85" s="33"/>
      <c r="B85" s="41"/>
    </row>
    <row r="86" spans="1:2" ht="15">
      <c r="A86" s="35" t="s">
        <v>147</v>
      </c>
      <c r="B86" s="39" t="s">
        <v>160</v>
      </c>
    </row>
    <row r="87" spans="1:2" ht="42.75">
      <c r="A87" s="33"/>
      <c r="B87" s="20" t="s">
        <v>161</v>
      </c>
    </row>
    <row r="88" spans="1:2" ht="14.25">
      <c r="A88" s="33"/>
      <c r="B88" s="102" t="s">
        <v>162</v>
      </c>
    </row>
    <row r="89" spans="1:2" ht="57">
      <c r="A89" s="33"/>
      <c r="B89" s="103" t="s">
        <v>163</v>
      </c>
    </row>
    <row r="90" spans="1:2" ht="14.25">
      <c r="A90" s="33"/>
      <c r="B90" s="33"/>
    </row>
    <row r="91" spans="1:2" ht="15">
      <c r="A91" s="35" t="s">
        <v>147</v>
      </c>
      <c r="B91" s="39" t="s">
        <v>164</v>
      </c>
    </row>
    <row r="92" spans="1:2" ht="28.5">
      <c r="A92" s="21"/>
      <c r="B92" s="40" t="s">
        <v>165</v>
      </c>
    </row>
    <row r="94" spans="1:2">
      <c r="A94" s="42" t="s">
        <v>166</v>
      </c>
    </row>
  </sheetData>
  <mergeCells count="6">
    <mergeCell ref="A68:B68"/>
    <mergeCell ref="A13:B13"/>
    <mergeCell ref="A24:B24"/>
    <mergeCell ref="A38:B38"/>
    <mergeCell ref="A49:B49"/>
    <mergeCell ref="A65:B65"/>
  </mergeCells>
  <hyperlinks>
    <hyperlink ref="B9" r:id="rId1"/>
    <hyperlink ref="A2" r:id="rId2"/>
    <hyperlink ref="B36" r:id="rId3"/>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9"/>
  <sheetViews>
    <sheetView showGridLines="0" workbookViewId="0"/>
  </sheetViews>
  <sheetFormatPr defaultColWidth="8.85546875" defaultRowHeight="12.75"/>
  <cols>
    <col min="1" max="1" width="5.5703125" style="1" customWidth="1"/>
    <col min="2" max="2" width="82.140625" style="1" customWidth="1"/>
  </cols>
  <sheetData>
    <row r="1" spans="1:3" ht="30" customHeight="1">
      <c r="A1" s="2" t="s">
        <v>167</v>
      </c>
      <c r="B1" s="2"/>
    </row>
    <row r="2" spans="1:3" ht="15">
      <c r="B2" s="3"/>
    </row>
    <row r="3" spans="1:3" ht="15">
      <c r="A3" s="4"/>
      <c r="B3" s="5" t="s">
        <v>168</v>
      </c>
      <c r="C3" s="6"/>
    </row>
    <row r="4" spans="1:3" ht="14.25">
      <c r="A4" s="7"/>
      <c r="B4" s="8" t="s">
        <v>63</v>
      </c>
      <c r="C4" s="9"/>
    </row>
    <row r="5" spans="1:3" ht="15">
      <c r="A5" s="7"/>
      <c r="B5" s="10"/>
      <c r="C5" s="9"/>
    </row>
    <row r="6" spans="1:3" ht="15.75">
      <c r="A6" s="7"/>
      <c r="B6" s="11" t="s">
        <v>166</v>
      </c>
      <c r="C6" s="9"/>
    </row>
    <row r="7" spans="1:3" ht="15">
      <c r="A7" s="7"/>
      <c r="B7" s="10"/>
      <c r="C7" s="9"/>
    </row>
    <row r="8" spans="1:3" ht="30">
      <c r="A8" s="7"/>
      <c r="B8" s="10" t="s">
        <v>169</v>
      </c>
      <c r="C8" s="9"/>
    </row>
    <row r="9" spans="1:3" ht="15">
      <c r="A9" s="7"/>
      <c r="B9" s="10"/>
      <c r="C9" s="9"/>
    </row>
    <row r="10" spans="1:3" ht="46.5">
      <c r="A10" s="7"/>
      <c r="B10" s="10" t="s">
        <v>170</v>
      </c>
      <c r="C10" s="9"/>
    </row>
    <row r="11" spans="1:3" ht="15">
      <c r="A11" s="7"/>
      <c r="B11" s="10"/>
      <c r="C11" s="9"/>
    </row>
    <row r="12" spans="1:3" ht="45">
      <c r="A12" s="7"/>
      <c r="B12" s="10" t="s">
        <v>171</v>
      </c>
      <c r="C12" s="9"/>
    </row>
    <row r="13" spans="1:3" ht="15">
      <c r="A13" s="7"/>
      <c r="B13" s="10"/>
      <c r="C13" s="9"/>
    </row>
    <row r="14" spans="1:3" ht="60">
      <c r="A14" s="7"/>
      <c r="B14" s="10" t="s">
        <v>172</v>
      </c>
      <c r="C14" s="9"/>
    </row>
    <row r="15" spans="1:3" ht="15">
      <c r="A15" s="7"/>
      <c r="B15" s="10"/>
      <c r="C15" s="9"/>
    </row>
    <row r="16" spans="1:3" ht="30.75">
      <c r="A16" s="7"/>
      <c r="B16" s="10" t="s">
        <v>173</v>
      </c>
      <c r="C16" s="9"/>
    </row>
    <row r="17" spans="1:3" ht="15">
      <c r="A17" s="7"/>
      <c r="B17" s="10"/>
      <c r="C17" s="9"/>
    </row>
    <row r="18" spans="1:3" ht="15.75">
      <c r="A18" s="7"/>
      <c r="B18" s="11" t="s">
        <v>174</v>
      </c>
      <c r="C18" s="9"/>
    </row>
    <row r="19" spans="1:3" ht="15">
      <c r="A19" s="7"/>
      <c r="B19" s="12" t="s">
        <v>175</v>
      </c>
      <c r="C19" s="9"/>
    </row>
    <row r="20" spans="1:3" ht="15">
      <c r="A20" s="7"/>
      <c r="B20" s="13"/>
      <c r="C20" s="9"/>
    </row>
    <row r="21" spans="1:3">
      <c r="A21" s="7"/>
      <c r="B21" s="7"/>
      <c r="C21" s="9"/>
    </row>
    <row r="22" spans="1:3">
      <c r="A22" s="7"/>
      <c r="B22" s="7"/>
      <c r="C22" s="9"/>
    </row>
    <row r="23" spans="1:3">
      <c r="A23" s="7"/>
      <c r="B23" s="7"/>
      <c r="C23" s="9"/>
    </row>
    <row r="24" spans="1:3">
      <c r="A24" s="7"/>
      <c r="B24" s="7"/>
      <c r="C24" s="9"/>
    </row>
    <row r="25" spans="1:3">
      <c r="A25" s="7"/>
      <c r="B25" s="7"/>
      <c r="C25" s="9"/>
    </row>
    <row r="26" spans="1:3">
      <c r="A26" s="7"/>
      <c r="B26" s="7"/>
      <c r="C26" s="9"/>
    </row>
    <row r="27" spans="1:3">
      <c r="A27" s="7"/>
      <c r="B27" s="7"/>
      <c r="C27" s="9"/>
    </row>
    <row r="28" spans="1:3">
      <c r="A28" s="7"/>
      <c r="B28" s="7"/>
      <c r="C28" s="9"/>
    </row>
    <row r="29" spans="1:3">
      <c r="A29" s="7"/>
      <c r="B29" s="7"/>
      <c r="C29" s="9"/>
    </row>
  </sheetData>
  <hyperlinks>
    <hyperlink ref="B4" r:id="rId1"/>
    <hyperlink ref="B19" r:id="rId2"/>
  </hyperlinks>
  <pageMargins left="0.7" right="0.7" top="0.75" bottom="0.75" header="0.3" footer="0.3"/>
  <pageSetup orientation="portrait"/>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GanttChart</vt:lpstr>
      <vt:lpstr>GanttChartPro</vt:lpstr>
      <vt:lpstr>Help</vt:lpstr>
      <vt:lpstr>TermsOfUse</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BC</cp:lastModifiedBy>
  <cp:lastPrinted>2025-11-24T02:54:00Z</cp:lastPrinted>
  <dcterms:created xsi:type="dcterms:W3CDTF">2010-06-09T16:05:00Z</dcterms:created>
  <dcterms:modified xsi:type="dcterms:W3CDTF">2025-12-20T03:02:33Z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8BC01C34AA7C4290B4DBEC7AD5B576BD_12</vt:lpwstr>
  </property>
  <property fmtid="{D5CDD505-2E9C-101B-9397-08002B2CF9AE}" pid="6" name="KSOProductBuildVer">
    <vt:lpwstr>1033-12.2.0.23155</vt:lpwstr>
  </property>
</Properties>
</file>
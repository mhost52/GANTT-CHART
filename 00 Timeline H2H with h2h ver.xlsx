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w\GANTT CHART\"/>
    </mc:Choice>
  </mc:AlternateContent>
  <xr:revisionPtr revIDLastSave="0" documentId="8_{5A9459C6-09F7-4CE5-B534-6EF271E88BF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heet1" sheetId="1" r:id="rId1"/>
    <sheet name="hth" sheetId="4" r:id="rId2"/>
    <sheet name="hth 75%" sheetId="2" r:id="rId3"/>
    <sheet name="hth 50%" sheetId="3" r:id="rId4"/>
  </sheets>
  <definedNames>
    <definedName name="_xlnm.Print_Area" localSheetId="1">hth!$B$1:$AM$29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3" l="1"/>
  <c r="AV4" i="3"/>
  <c r="AU4" i="3"/>
  <c r="AT4" i="3"/>
  <c r="AS4" i="3"/>
  <c r="AR4" i="3"/>
  <c r="AQ4" i="3"/>
  <c r="AP4" i="3"/>
  <c r="AO4" i="3"/>
  <c r="AN4" i="3"/>
  <c r="D25" i="3"/>
  <c r="B23" i="3"/>
  <c r="B17" i="3"/>
  <c r="D13" i="3"/>
  <c r="D7" i="3"/>
  <c r="D9" i="3" s="1"/>
  <c r="D11" i="3" s="1"/>
  <c r="W4" i="3"/>
  <c r="X4" i="3" s="1"/>
  <c r="Y4" i="3" s="1"/>
  <c r="Z4" i="3" s="1"/>
  <c r="AA4" i="3" s="1"/>
  <c r="AB4" i="3" s="1"/>
  <c r="AC4" i="3" s="1"/>
  <c r="AD4" i="3" s="1"/>
  <c r="AE4" i="3" s="1"/>
  <c r="AF4" i="3" s="1"/>
  <c r="AG4" i="3" s="1"/>
  <c r="AH4" i="3" s="1"/>
  <c r="AI4" i="3" s="1"/>
  <c r="AJ4" i="3" s="1"/>
  <c r="AK4" i="3" s="1"/>
  <c r="AL4" i="3" s="1"/>
  <c r="AM4" i="3" s="1"/>
  <c r="J4" i="3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I4" i="3"/>
  <c r="G4" i="3"/>
  <c r="AT4" i="2"/>
  <c r="AS4" i="2"/>
  <c r="AR4" i="2"/>
  <c r="AQ4" i="2"/>
  <c r="AP4" i="2"/>
  <c r="AO4" i="2"/>
  <c r="AN4" i="2"/>
  <c r="D25" i="2"/>
  <c r="B23" i="2"/>
  <c r="B17" i="2"/>
  <c r="D13" i="2"/>
  <c r="D7" i="2"/>
  <c r="D9" i="2" s="1"/>
  <c r="D11" i="2" s="1"/>
  <c r="W4" i="2"/>
  <c r="X4" i="2" s="1"/>
  <c r="Y4" i="2" s="1"/>
  <c r="Z4" i="2" s="1"/>
  <c r="AA4" i="2" s="1"/>
  <c r="AB4" i="2" s="1"/>
  <c r="AC4" i="2" s="1"/>
  <c r="AD4" i="2" s="1"/>
  <c r="AE4" i="2" s="1"/>
  <c r="AF4" i="2" s="1"/>
  <c r="AG4" i="2" s="1"/>
  <c r="AH4" i="2" s="1"/>
  <c r="AI4" i="2" s="1"/>
  <c r="AJ4" i="2" s="1"/>
  <c r="AK4" i="2" s="1"/>
  <c r="AL4" i="2" s="1"/>
  <c r="AM4" i="2" s="1"/>
  <c r="J4" i="2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I4" i="2"/>
  <c r="G4" i="2"/>
  <c r="D25" i="4"/>
  <c r="D13" i="4" l="1"/>
  <c r="B23" i="4"/>
  <c r="B17" i="4"/>
  <c r="W4" i="4"/>
  <c r="X4" i="4" s="1"/>
  <c r="Y4" i="4" s="1"/>
  <c r="Z4" i="4" s="1"/>
  <c r="AA4" i="4" s="1"/>
  <c r="AB4" i="4" s="1"/>
  <c r="AC4" i="4" s="1"/>
  <c r="AD4" i="4" s="1"/>
  <c r="AE4" i="4" s="1"/>
  <c r="AF4" i="4" s="1"/>
  <c r="AG4" i="4" s="1"/>
  <c r="AH4" i="4" s="1"/>
  <c r="AI4" i="4" s="1"/>
  <c r="AJ4" i="4" s="1"/>
  <c r="AK4" i="4" s="1"/>
  <c r="AL4" i="4" s="1"/>
  <c r="AM4" i="4" s="1"/>
  <c r="D7" i="4"/>
  <c r="D9" i="4" s="1"/>
  <c r="D11" i="4" s="1"/>
  <c r="I4" i="4"/>
  <c r="J4" i="4" s="1"/>
  <c r="K4" i="4" s="1"/>
  <c r="L4" i="4" s="1"/>
  <c r="M4" i="4" s="1"/>
  <c r="N4" i="4" s="1"/>
  <c r="O4" i="4" s="1"/>
  <c r="P4" i="4" s="1"/>
  <c r="Q4" i="4" s="1"/>
  <c r="R4" i="4" s="1"/>
  <c r="S4" i="4" s="1"/>
  <c r="T4" i="4" s="1"/>
  <c r="U4" i="4" s="1"/>
  <c r="G4" i="4"/>
  <c r="F4" i="1" l="1"/>
  <c r="H4" i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D6" i="1"/>
  <c r="D7" i="1" s="1"/>
  <c r="D8" i="1" s="1"/>
  <c r="D9" i="1" s="1"/>
  <c r="D10" i="1" s="1"/>
  <c r="D11" i="1" s="1"/>
  <c r="D12" i="1" s="1"/>
  <c r="D13" i="1" s="1"/>
</calcChain>
</file>

<file path=xl/sharedStrings.xml><?xml version="1.0" encoding="utf-8"?>
<sst xmlns="http://schemas.openxmlformats.org/spreadsheetml/2006/main" count="217" uniqueCount="29">
  <si>
    <t>No.</t>
  </si>
  <si>
    <t>Task</t>
  </si>
  <si>
    <t>Duplikasi UI</t>
  </si>
  <si>
    <t>Benchmark Aplikasi</t>
  </si>
  <si>
    <t>Bisnis Blueprint</t>
  </si>
  <si>
    <t>Persiapan Infrastruktur</t>
  </si>
  <si>
    <t>Week Ending</t>
  </si>
  <si>
    <t>Relate Modul Dengan Database Internal</t>
  </si>
  <si>
    <t>Test API CEISA dan Data Referensi</t>
  </si>
  <si>
    <t>Test entry data</t>
  </si>
  <si>
    <t>Relate Table</t>
  </si>
  <si>
    <t>Reporting</t>
  </si>
  <si>
    <t>Running Live Production</t>
  </si>
  <si>
    <t xml:space="preserve">PT LEUWITEX </t>
  </si>
  <si>
    <t>TAHUN 2025 - 2026</t>
  </si>
  <si>
    <t>Project Development Host to Host (MODUL BC 4.0)</t>
  </si>
  <si>
    <t xml:space="preserve"> </t>
  </si>
  <si>
    <t>plan</t>
  </si>
  <si>
    <t>act</t>
  </si>
  <si>
    <t>done</t>
  </si>
  <si>
    <t>ongoing</t>
  </si>
  <si>
    <t>Templating service relate CEISA</t>
  </si>
  <si>
    <t>UPDATE :</t>
  </si>
  <si>
    <t>PROJECT DEVELOPMENT HOST TO HOST (MODUL BC 4.0)</t>
  </si>
  <si>
    <t>Keterangan :</t>
  </si>
  <si>
    <t>- PIC Bapak Ibrahim 100% untuk App Beacukai</t>
  </si>
  <si>
    <t>- PIC Bapak Ibrahim 75% untuk App Beacukai</t>
  </si>
  <si>
    <t>- PIC Bapak Ibrahim 50% untuk App Beacukai</t>
  </si>
  <si>
    <t>H2H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</si>
</sst>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14" fontId="0" fillId="0" borderId="2" xfId="0" applyNumberFormat="1" applyBorder="1" applyAlignment="1">
      <alignment vertical="center" textRotation="158"/>
    </xf>
    <xf numFmtId="14" fontId="0" fillId="0" borderId="3" xfId="0" applyNumberFormat="1" applyBorder="1" applyAlignment="1">
      <alignment vertical="center" textRotation="158"/>
    </xf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14" fontId="0" fillId="2" borderId="5" xfId="0" applyNumberForma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14" fontId="0" fillId="2" borderId="8" xfId="0" applyNumberFormat="1" applyFill="1" applyBorder="1"/>
    <xf numFmtId="14" fontId="0" fillId="2" borderId="9" xfId="0" applyNumberFormat="1" applyFill="1" applyBorder="1"/>
    <xf numFmtId="0" fontId="1" fillId="0" borderId="0" xfId="0" applyFont="1"/>
    <xf numFmtId="0" fontId="0" fillId="0" borderId="10" xfId="0" applyBorder="1" applyAlignment="1">
      <alignment vertical="center"/>
    </xf>
    <xf numFmtId="14" fontId="0" fillId="0" borderId="11" xfId="0" applyNumberFormat="1" applyBorder="1"/>
    <xf numFmtId="14" fontId="0" fillId="0" borderId="12" xfId="0" applyNumberFormat="1" applyBorder="1"/>
    <xf numFmtId="0" fontId="0" fillId="0" borderId="13" xfId="0" applyBorder="1" applyAlignment="1">
      <alignment vertical="center"/>
    </xf>
    <xf numFmtId="14" fontId="0" fillId="0" borderId="14" xfId="0" applyNumberFormat="1" applyBorder="1"/>
    <xf numFmtId="14" fontId="0" fillId="0" borderId="15" xfId="0" applyNumberFormat="1" applyBorder="1"/>
    <xf numFmtId="0" fontId="1" fillId="0" borderId="0" xfId="0" applyFont="1" applyAlignment="1">
      <alignment vertical="center"/>
    </xf>
    <xf numFmtId="0" fontId="0" fillId="0" borderId="5" xfId="0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0" borderId="18" xfId="0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14" fontId="5" fillId="0" borderId="2" xfId="0" applyNumberFormat="1" applyFont="1" applyBorder="1" applyAlignment="1">
      <alignment vertical="center" textRotation="158"/>
    </xf>
    <xf numFmtId="14" fontId="5" fillId="0" borderId="3" xfId="0" applyNumberFormat="1" applyFont="1" applyBorder="1" applyAlignment="1">
      <alignment vertical="center" textRotation="158"/>
    </xf>
    <xf numFmtId="14" fontId="6" fillId="5" borderId="3" xfId="0" applyNumberFormat="1" applyFont="1" applyFill="1" applyBorder="1" applyAlignment="1">
      <alignment vertical="center" textRotation="158"/>
    </xf>
    <xf numFmtId="14" fontId="5" fillId="0" borderId="5" xfId="0" applyNumberFormat="1" applyFont="1" applyBorder="1" applyAlignment="1">
      <alignment vertical="center"/>
    </xf>
    <xf numFmtId="14" fontId="5" fillId="0" borderId="14" xfId="0" applyNumberFormat="1" applyFont="1" applyBorder="1" applyAlignment="1">
      <alignment vertical="center"/>
    </xf>
    <xf numFmtId="14" fontId="5" fillId="0" borderId="11" xfId="0" applyNumberFormat="1" applyFont="1" applyBorder="1" applyAlignment="1">
      <alignment vertical="center"/>
    </xf>
    <xf numFmtId="14" fontId="5" fillId="2" borderId="5" xfId="0" applyNumberFormat="1" applyFont="1" applyFill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5" borderId="18" xfId="0" applyFont="1" applyFill="1" applyBorder="1" applyAlignment="1">
      <alignment vertical="center"/>
    </xf>
    <xf numFmtId="0" fontId="5" fillId="0" borderId="18" xfId="0" applyFont="1" applyBorder="1" applyAlignment="1">
      <alignment vertical="center"/>
    </xf>
    <xf numFmtId="14" fontId="5" fillId="3" borderId="5" xfId="0" applyNumberFormat="1" applyFont="1" applyFill="1" applyBorder="1" applyAlignment="1">
      <alignment vertical="center"/>
    </xf>
    <xf numFmtId="0" fontId="6" fillId="5" borderId="5" xfId="0" applyFont="1" applyFill="1" applyBorder="1" applyAlignment="1">
      <alignment vertical="center"/>
    </xf>
    <xf numFmtId="0" fontId="5" fillId="4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9" fontId="5" fillId="0" borderId="5" xfId="0" applyNumberFormat="1" applyFont="1" applyBorder="1" applyAlignment="1">
      <alignment vertical="center"/>
    </xf>
    <xf numFmtId="14" fontId="6" fillId="5" borderId="5" xfId="0" applyNumberFormat="1" applyFont="1" applyFill="1" applyBorder="1" applyAlignment="1">
      <alignment vertical="center"/>
    </xf>
    <xf numFmtId="0" fontId="0" fillId="0" borderId="0" xfId="0" quotePrefix="1" applyAlignment="1">
      <alignment vertical="center"/>
    </xf>
    <xf numFmtId="0" fontId="2" fillId="0" borderId="0" xfId="0" applyFont="1" applyAlignment="1">
      <alignment vertical="center"/>
    </xf>
    <xf numFmtId="0" fontId="0" fillId="6" borderId="5" xfId="0" applyFill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15" fontId="3" fillId="0" borderId="0" xfId="0" applyNumberFormat="1" applyFont="1" applyAlignment="1">
      <alignment horizontal="center" vertical="center"/>
    </xf>
    <xf numFmtId="0" fontId="5" fillId="6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showGridLines="0" workbookViewId="0">
      <selection activeCell="A8" sqref="A8:XFD8"/>
    </sheetView>
  </sheetViews>
  <sheetFormatPr defaultRowHeight="15" x14ac:dyDescent="0.25"/>
  <cols>
    <col min="2" max="2" width="4.140625" bestFit="1" customWidth="1"/>
    <col min="3" max="3" width="36.85546875" bestFit="1" customWidth="1"/>
    <col min="4" max="4" width="12.5703125" customWidth="1"/>
    <col min="5" max="5" width="4.7109375" customWidth="1"/>
    <col min="6" max="21" width="7.28515625" bestFit="1" customWidth="1"/>
  </cols>
  <sheetData>
    <row r="1" spans="1:21" s="16" customFormat="1" ht="21" x14ac:dyDescent="0.35">
      <c r="B1" s="16" t="s">
        <v>15</v>
      </c>
    </row>
    <row r="2" spans="1:21" s="16" customFormat="1" ht="21" x14ac:dyDescent="0.35">
      <c r="B2" s="16" t="s">
        <v>13</v>
      </c>
    </row>
    <row r="3" spans="1:21" s="16" customFormat="1" ht="21.75" thickBot="1" x14ac:dyDescent="0.4">
      <c r="B3" s="16" t="s">
        <v>14</v>
      </c>
    </row>
    <row r="4" spans="1:21" s="1" customFormat="1" ht="57" x14ac:dyDescent="0.25">
      <c r="B4" s="2" t="s">
        <v>0</v>
      </c>
      <c r="C4" s="3" t="s">
        <v>1</v>
      </c>
      <c r="D4" s="20" t="s">
        <v>6</v>
      </c>
      <c r="E4" s="17"/>
      <c r="F4" s="4">
        <f>G4-14</f>
        <v>45948</v>
      </c>
      <c r="G4" s="4">
        <v>45962</v>
      </c>
      <c r="H4" s="4">
        <f>G4+7</f>
        <v>45969</v>
      </c>
      <c r="I4" s="4">
        <f t="shared" ref="I4:T4" si="0">H4+7</f>
        <v>45976</v>
      </c>
      <c r="J4" s="4">
        <f t="shared" si="0"/>
        <v>45983</v>
      </c>
      <c r="K4" s="4">
        <f t="shared" si="0"/>
        <v>45990</v>
      </c>
      <c r="L4" s="4">
        <f t="shared" si="0"/>
        <v>45997</v>
      </c>
      <c r="M4" s="4">
        <f t="shared" si="0"/>
        <v>46004</v>
      </c>
      <c r="N4" s="4">
        <f t="shared" si="0"/>
        <v>46011</v>
      </c>
      <c r="O4" s="4">
        <f t="shared" si="0"/>
        <v>46018</v>
      </c>
      <c r="P4" s="4">
        <f t="shared" si="0"/>
        <v>46025</v>
      </c>
      <c r="Q4" s="4">
        <f t="shared" si="0"/>
        <v>46032</v>
      </c>
      <c r="R4" s="4">
        <f t="shared" si="0"/>
        <v>46039</v>
      </c>
      <c r="S4" s="4">
        <f t="shared" si="0"/>
        <v>46046</v>
      </c>
      <c r="T4" s="4">
        <f t="shared" si="0"/>
        <v>46053</v>
      </c>
      <c r="U4" s="5">
        <v>46054</v>
      </c>
    </row>
    <row r="5" spans="1:21" x14ac:dyDescent="0.25">
      <c r="B5" s="6">
        <v>1</v>
      </c>
      <c r="C5" s="7" t="s">
        <v>3</v>
      </c>
      <c r="D5" s="21">
        <v>45962</v>
      </c>
      <c r="E5" s="18"/>
      <c r="F5" s="9"/>
      <c r="G5" s="9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10"/>
    </row>
    <row r="6" spans="1:21" x14ac:dyDescent="0.25">
      <c r="B6" s="6">
        <v>2</v>
      </c>
      <c r="C6" s="7" t="s">
        <v>4</v>
      </c>
      <c r="D6" s="21">
        <f>D5+14</f>
        <v>45976</v>
      </c>
      <c r="E6" s="18"/>
      <c r="F6" s="8"/>
      <c r="G6" s="9"/>
      <c r="H6" s="9"/>
      <c r="I6" s="9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10"/>
    </row>
    <row r="7" spans="1:21" x14ac:dyDescent="0.25">
      <c r="B7" s="6">
        <v>3</v>
      </c>
      <c r="C7" s="7" t="s">
        <v>5</v>
      </c>
      <c r="D7" s="21">
        <f>D6+14</f>
        <v>45990</v>
      </c>
      <c r="E7" s="18"/>
      <c r="F7" s="8"/>
      <c r="G7" s="7"/>
      <c r="H7" s="7"/>
      <c r="I7" s="9"/>
      <c r="J7" s="9"/>
      <c r="K7" s="9"/>
      <c r="L7" s="7"/>
      <c r="M7" s="7"/>
      <c r="N7" s="7"/>
      <c r="O7" s="7"/>
      <c r="P7" s="7"/>
      <c r="Q7" s="7"/>
      <c r="R7" s="7"/>
      <c r="S7" s="7"/>
      <c r="T7" s="7"/>
      <c r="U7" s="10"/>
    </row>
    <row r="8" spans="1:21" x14ac:dyDescent="0.25">
      <c r="A8" t="s">
        <v>16</v>
      </c>
      <c r="B8" s="6">
        <v>4</v>
      </c>
      <c r="C8" s="7" t="s">
        <v>2</v>
      </c>
      <c r="D8" s="21">
        <f>D7+14</f>
        <v>46004</v>
      </c>
      <c r="E8" s="18"/>
      <c r="F8" s="8"/>
      <c r="G8" s="7"/>
      <c r="H8" s="7"/>
      <c r="I8" s="7"/>
      <c r="J8" s="7"/>
      <c r="K8" s="9"/>
      <c r="L8" s="9"/>
      <c r="M8" s="9"/>
      <c r="N8" s="7"/>
      <c r="O8" s="7"/>
      <c r="P8" s="7"/>
      <c r="Q8" s="7"/>
      <c r="R8" s="7"/>
      <c r="S8" s="7"/>
      <c r="T8" s="7"/>
      <c r="U8" s="10"/>
    </row>
    <row r="9" spans="1:21" x14ac:dyDescent="0.25">
      <c r="B9" s="6">
        <v>5</v>
      </c>
      <c r="C9" s="7" t="s">
        <v>7</v>
      </c>
      <c r="D9" s="21">
        <f>D8+14</f>
        <v>46018</v>
      </c>
      <c r="E9" s="18"/>
      <c r="F9" s="8"/>
      <c r="G9" s="7"/>
      <c r="H9" s="7"/>
      <c r="I9" s="7"/>
      <c r="J9" s="7"/>
      <c r="K9" s="7"/>
      <c r="L9" s="7"/>
      <c r="M9" s="9"/>
      <c r="N9" s="9"/>
      <c r="O9" s="9"/>
      <c r="P9" s="7"/>
      <c r="Q9" s="7"/>
      <c r="R9" s="7"/>
      <c r="S9" s="7"/>
      <c r="T9" s="7"/>
      <c r="U9" s="10"/>
    </row>
    <row r="10" spans="1:21" x14ac:dyDescent="0.25">
      <c r="B10" s="6">
        <v>6</v>
      </c>
      <c r="C10" s="7" t="s">
        <v>8</v>
      </c>
      <c r="D10" s="21">
        <f>D9+14</f>
        <v>46032</v>
      </c>
      <c r="E10" s="18"/>
      <c r="F10" s="8"/>
      <c r="G10" s="7"/>
      <c r="H10" s="7"/>
      <c r="I10" s="7"/>
      <c r="J10" s="7"/>
      <c r="K10" s="7"/>
      <c r="L10" s="7"/>
      <c r="M10" s="7"/>
      <c r="N10" s="7"/>
      <c r="O10" s="9"/>
      <c r="P10" s="9"/>
      <c r="Q10" s="9"/>
      <c r="R10" s="7"/>
      <c r="S10" s="7"/>
      <c r="T10" s="7"/>
      <c r="U10" s="10"/>
    </row>
    <row r="11" spans="1:21" x14ac:dyDescent="0.25">
      <c r="B11" s="6">
        <v>7</v>
      </c>
      <c r="C11" s="7" t="s">
        <v>9</v>
      </c>
      <c r="D11" s="21">
        <f>D10+7</f>
        <v>46039</v>
      </c>
      <c r="E11" s="18"/>
      <c r="F11" s="8"/>
      <c r="G11" s="7"/>
      <c r="H11" s="7"/>
      <c r="I11" s="7"/>
      <c r="J11" s="7"/>
      <c r="K11" s="7"/>
      <c r="L11" s="7"/>
      <c r="M11" s="7"/>
      <c r="N11" s="7"/>
      <c r="O11" s="7"/>
      <c r="P11" s="7"/>
      <c r="Q11" s="9"/>
      <c r="R11" s="9"/>
      <c r="S11" s="7"/>
      <c r="T11" s="7"/>
      <c r="U11" s="10"/>
    </row>
    <row r="12" spans="1:21" x14ac:dyDescent="0.25">
      <c r="B12" s="6">
        <v>8</v>
      </c>
      <c r="C12" s="7" t="s">
        <v>10</v>
      </c>
      <c r="D12" s="21">
        <f t="shared" ref="D12:D13" si="1">D11+7</f>
        <v>46046</v>
      </c>
      <c r="E12" s="18"/>
      <c r="F12" s="8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9"/>
      <c r="S12" s="9"/>
      <c r="T12" s="7"/>
      <c r="U12" s="10"/>
    </row>
    <row r="13" spans="1:21" x14ac:dyDescent="0.25">
      <c r="B13" s="6">
        <v>9</v>
      </c>
      <c r="C13" s="7" t="s">
        <v>11</v>
      </c>
      <c r="D13" s="21">
        <f t="shared" si="1"/>
        <v>46053</v>
      </c>
      <c r="E13" s="18"/>
      <c r="F13" s="8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9"/>
      <c r="T13" s="9"/>
      <c r="U13" s="10"/>
    </row>
    <row r="14" spans="1:21" ht="15.75" thickBot="1" x14ac:dyDescent="0.3">
      <c r="B14" s="11">
        <v>10</v>
      </c>
      <c r="C14" s="12" t="s">
        <v>12</v>
      </c>
      <c r="D14" s="22">
        <v>46054</v>
      </c>
      <c r="E14" s="19"/>
      <c r="F14" s="13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4"/>
      <c r="U14" s="15"/>
    </row>
  </sheetData>
  <pageMargins left="0.7" right="0.7" top="0.75" bottom="0.75" header="0.3" footer="0.3"/>
  <pageSetup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29"/>
  <sheetViews>
    <sheetView showGridLines="0" zoomScaleNormal="100" workbookViewId="0">
      <pane xSplit="6" ySplit="4" topLeftCell="G14" activePane="bottomRight" state="frozen"/>
      <selection pane="topRight" activeCell="G1" sqref="G1"/>
      <selection pane="bottomLeft" activeCell="A5" sqref="A5"/>
      <selection pane="bottomRight" activeCell="B28" sqref="B28:C29"/>
    </sheetView>
  </sheetViews>
  <sheetFormatPr defaultRowHeight="15" x14ac:dyDescent="0.25"/>
  <cols>
    <col min="1" max="1" width="5.28515625" style="1" customWidth="1"/>
    <col min="2" max="2" width="4.140625" style="1" bestFit="1" customWidth="1"/>
    <col min="3" max="3" width="36.85546875" style="1" bestFit="1" customWidth="1"/>
    <col min="4" max="4" width="26.140625" style="1" customWidth="1"/>
    <col min="5" max="5" width="5.28515625" style="1" customWidth="1"/>
    <col min="6" max="6" width="4.140625" style="1" customWidth="1"/>
    <col min="7" max="15" width="6.5703125" style="1" customWidth="1"/>
    <col min="16" max="24" width="6.5703125" style="1" hidden="1" customWidth="1"/>
    <col min="25" max="28" width="6.5703125" style="1" customWidth="1"/>
    <col min="29" max="30" width="6.5703125" style="51" customWidth="1"/>
    <col min="31" max="39" width="6.5703125" style="1" customWidth="1"/>
    <col min="40" max="16384" width="9.140625" style="1"/>
  </cols>
  <sheetData>
    <row r="1" spans="1:39" s="23" customFormat="1" ht="23.25" x14ac:dyDescent="0.25">
      <c r="B1" s="27" t="s">
        <v>23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8"/>
      <c r="AD1" s="28"/>
      <c r="AE1" s="27"/>
      <c r="AF1" s="27"/>
      <c r="AG1" s="27"/>
      <c r="AH1" s="27"/>
      <c r="AI1" s="27"/>
      <c r="AJ1" s="27"/>
      <c r="AK1" s="27"/>
      <c r="AL1" s="27"/>
      <c r="AM1" s="27"/>
    </row>
    <row r="2" spans="1:39" s="23" customFormat="1" ht="23.25" x14ac:dyDescent="0.25">
      <c r="B2" s="27" t="s">
        <v>13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8"/>
      <c r="AD2" s="28"/>
      <c r="AE2" s="27"/>
      <c r="AF2" s="27"/>
      <c r="AG2" s="27"/>
      <c r="AH2" s="27" t="s">
        <v>22</v>
      </c>
      <c r="AI2" s="27"/>
      <c r="AK2" s="57">
        <v>46092</v>
      </c>
      <c r="AL2" s="57"/>
      <c r="AM2" s="57"/>
    </row>
    <row r="3" spans="1:39" s="23" customFormat="1" ht="24" thickBot="1" x14ac:dyDescent="0.3">
      <c r="B3" s="27" t="s">
        <v>14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8"/>
      <c r="AD3" s="28"/>
      <c r="AE3" s="27"/>
      <c r="AF3" s="27"/>
      <c r="AG3" s="27"/>
      <c r="AH3" s="27"/>
      <c r="AI3" s="27"/>
      <c r="AJ3" s="27"/>
      <c r="AK3" s="27"/>
      <c r="AL3" s="27"/>
      <c r="AM3" s="27"/>
    </row>
    <row r="4" spans="1:39" ht="117" customHeight="1" x14ac:dyDescent="0.25">
      <c r="B4" s="29" t="s">
        <v>0</v>
      </c>
      <c r="C4" s="30" t="s">
        <v>1</v>
      </c>
      <c r="D4" s="31" t="s">
        <v>6</v>
      </c>
      <c r="E4" s="32"/>
      <c r="F4" s="33"/>
      <c r="G4" s="34">
        <f>H4-14</f>
        <v>45948</v>
      </c>
      <c r="H4" s="34">
        <v>45962</v>
      </c>
      <c r="I4" s="34">
        <f>H4+7</f>
        <v>45969</v>
      </c>
      <c r="J4" s="34">
        <f t="shared" ref="J4:U4" si="0">I4+7</f>
        <v>45976</v>
      </c>
      <c r="K4" s="34">
        <f t="shared" si="0"/>
        <v>45983</v>
      </c>
      <c r="L4" s="34">
        <f t="shared" si="0"/>
        <v>45990</v>
      </c>
      <c r="M4" s="34">
        <f t="shared" si="0"/>
        <v>45997</v>
      </c>
      <c r="N4" s="34">
        <f t="shared" si="0"/>
        <v>46004</v>
      </c>
      <c r="O4" s="34">
        <f t="shared" si="0"/>
        <v>46011</v>
      </c>
      <c r="P4" s="34">
        <f t="shared" si="0"/>
        <v>46018</v>
      </c>
      <c r="Q4" s="34">
        <f t="shared" si="0"/>
        <v>46025</v>
      </c>
      <c r="R4" s="34">
        <f t="shared" si="0"/>
        <v>46032</v>
      </c>
      <c r="S4" s="34">
        <f t="shared" si="0"/>
        <v>46039</v>
      </c>
      <c r="T4" s="34">
        <f t="shared" si="0"/>
        <v>46046</v>
      </c>
      <c r="U4" s="34">
        <f t="shared" si="0"/>
        <v>46053</v>
      </c>
      <c r="V4" s="35">
        <v>46054</v>
      </c>
      <c r="W4" s="35">
        <f>7+V4</f>
        <v>46061</v>
      </c>
      <c r="X4" s="35">
        <f t="shared" ref="X4:AB4" si="1">7+W4</f>
        <v>46068</v>
      </c>
      <c r="Y4" s="35">
        <f t="shared" si="1"/>
        <v>46075</v>
      </c>
      <c r="Z4" s="35">
        <f t="shared" si="1"/>
        <v>46082</v>
      </c>
      <c r="AA4" s="35">
        <f t="shared" si="1"/>
        <v>46089</v>
      </c>
      <c r="AB4" s="35">
        <f t="shared" si="1"/>
        <v>46096</v>
      </c>
      <c r="AC4" s="36">
        <f t="shared" ref="AC4" si="2">7+AB4</f>
        <v>46103</v>
      </c>
      <c r="AD4" s="36">
        <f t="shared" ref="AD4" si="3">7+AC4</f>
        <v>46110</v>
      </c>
      <c r="AE4" s="35">
        <f t="shared" ref="AE4" si="4">7+AD4</f>
        <v>46117</v>
      </c>
      <c r="AF4" s="35">
        <f t="shared" ref="AF4" si="5">7+AE4</f>
        <v>46124</v>
      </c>
      <c r="AG4" s="35">
        <f t="shared" ref="AG4" si="6">7+AF4</f>
        <v>46131</v>
      </c>
      <c r="AH4" s="35">
        <f t="shared" ref="AH4" si="7">7+AG4</f>
        <v>46138</v>
      </c>
      <c r="AI4" s="35">
        <f t="shared" ref="AI4" si="8">7+AH4</f>
        <v>46145</v>
      </c>
      <c r="AJ4" s="35">
        <f t="shared" ref="AJ4" si="9">7+AI4</f>
        <v>46152</v>
      </c>
      <c r="AK4" s="35">
        <f t="shared" ref="AK4" si="10">7+AJ4</f>
        <v>46159</v>
      </c>
      <c r="AL4" s="35">
        <f t="shared" ref="AL4" si="11">7+AK4</f>
        <v>46166</v>
      </c>
      <c r="AM4" s="5">
        <f t="shared" ref="AM4" si="12">7+AL4</f>
        <v>46173</v>
      </c>
    </row>
    <row r="5" spans="1:39" ht="18.75" x14ac:dyDescent="0.25">
      <c r="B5" s="53">
        <v>1</v>
      </c>
      <c r="C5" s="55" t="s">
        <v>3</v>
      </c>
      <c r="D5" s="37">
        <v>45962</v>
      </c>
      <c r="E5" s="38" t="s">
        <v>17</v>
      </c>
      <c r="F5" s="39"/>
      <c r="G5" s="40"/>
      <c r="H5" s="40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2"/>
      <c r="AD5" s="42"/>
      <c r="AE5" s="43"/>
      <c r="AF5" s="43"/>
      <c r="AG5" s="43"/>
      <c r="AH5" s="43"/>
      <c r="AI5" s="43"/>
      <c r="AJ5" s="43"/>
      <c r="AK5" s="43"/>
      <c r="AL5" s="43"/>
      <c r="AM5" s="26"/>
    </row>
    <row r="6" spans="1:39" ht="18.75" x14ac:dyDescent="0.25">
      <c r="B6" s="54"/>
      <c r="C6" s="56"/>
      <c r="D6" s="37"/>
      <c r="E6" s="38" t="s">
        <v>18</v>
      </c>
      <c r="F6" s="39"/>
      <c r="G6" s="44" t="s">
        <v>19</v>
      </c>
      <c r="H6" s="44" t="s">
        <v>19</v>
      </c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5"/>
      <c r="AD6" s="45"/>
      <c r="AE6" s="41"/>
      <c r="AF6" s="41"/>
      <c r="AG6" s="41"/>
      <c r="AH6" s="41"/>
      <c r="AI6" s="41"/>
      <c r="AJ6" s="41"/>
      <c r="AK6" s="41"/>
      <c r="AL6" s="41"/>
      <c r="AM6" s="24"/>
    </row>
    <row r="7" spans="1:39" ht="18.75" x14ac:dyDescent="0.25">
      <c r="B7" s="53">
        <v>2</v>
      </c>
      <c r="C7" s="55" t="s">
        <v>4</v>
      </c>
      <c r="D7" s="37">
        <f>D5+14</f>
        <v>45976</v>
      </c>
      <c r="E7" s="38" t="s">
        <v>17</v>
      </c>
      <c r="F7" s="39"/>
      <c r="G7" s="37"/>
      <c r="H7" s="40"/>
      <c r="I7" s="40"/>
      <c r="J7" s="40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5"/>
      <c r="AD7" s="45"/>
      <c r="AE7" s="41"/>
      <c r="AF7" s="41"/>
      <c r="AG7" s="41"/>
      <c r="AH7" s="41"/>
      <c r="AI7" s="41"/>
      <c r="AJ7" s="41"/>
      <c r="AK7" s="41"/>
      <c r="AL7" s="41"/>
      <c r="AM7" s="24"/>
    </row>
    <row r="8" spans="1:39" ht="18.75" x14ac:dyDescent="0.25">
      <c r="B8" s="54"/>
      <c r="C8" s="56"/>
      <c r="D8" s="37"/>
      <c r="E8" s="38" t="s">
        <v>18</v>
      </c>
      <c r="F8" s="39"/>
      <c r="G8" s="37"/>
      <c r="H8" s="44" t="s">
        <v>19</v>
      </c>
      <c r="I8" s="44" t="s">
        <v>19</v>
      </c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5"/>
      <c r="AD8" s="45"/>
      <c r="AE8" s="41"/>
      <c r="AF8" s="41"/>
      <c r="AG8" s="41"/>
      <c r="AH8" s="41"/>
      <c r="AI8" s="41"/>
      <c r="AJ8" s="41"/>
      <c r="AK8" s="41"/>
      <c r="AL8" s="41"/>
      <c r="AM8" s="24"/>
    </row>
    <row r="9" spans="1:39" ht="18.75" x14ac:dyDescent="0.25">
      <c r="B9" s="53">
        <v>3</v>
      </c>
      <c r="C9" s="55" t="s">
        <v>5</v>
      </c>
      <c r="D9" s="37">
        <f>D7+14</f>
        <v>45990</v>
      </c>
      <c r="E9" s="38" t="s">
        <v>17</v>
      </c>
      <c r="F9" s="39"/>
      <c r="G9" s="37"/>
      <c r="H9" s="41"/>
      <c r="I9" s="41"/>
      <c r="J9" s="40"/>
      <c r="K9" s="40"/>
      <c r="L9" s="40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5"/>
      <c r="AD9" s="45"/>
      <c r="AE9" s="41"/>
      <c r="AF9" s="41"/>
      <c r="AG9" s="41"/>
      <c r="AH9" s="41"/>
      <c r="AI9" s="41"/>
      <c r="AJ9" s="41"/>
      <c r="AK9" s="41"/>
      <c r="AL9" s="41"/>
      <c r="AM9" s="24"/>
    </row>
    <row r="10" spans="1:39" ht="18.75" x14ac:dyDescent="0.25">
      <c r="B10" s="54"/>
      <c r="C10" s="56"/>
      <c r="D10" s="37"/>
      <c r="E10" s="38" t="s">
        <v>18</v>
      </c>
      <c r="F10" s="39"/>
      <c r="G10" s="37"/>
      <c r="H10" s="41"/>
      <c r="I10" s="41"/>
      <c r="J10" s="44" t="s">
        <v>19</v>
      </c>
      <c r="K10" s="44" t="s">
        <v>19</v>
      </c>
      <c r="L10" s="44" t="s">
        <v>19</v>
      </c>
      <c r="M10" s="44" t="s">
        <v>19</v>
      </c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5"/>
      <c r="AD10" s="45"/>
      <c r="AE10" s="41"/>
      <c r="AF10" s="41"/>
      <c r="AG10" s="41"/>
      <c r="AH10" s="41"/>
      <c r="AI10" s="41"/>
      <c r="AJ10" s="41"/>
      <c r="AK10" s="41"/>
      <c r="AL10" s="41"/>
      <c r="AM10" s="24"/>
    </row>
    <row r="11" spans="1:39" ht="18.75" x14ac:dyDescent="0.25">
      <c r="A11" s="1" t="s">
        <v>16</v>
      </c>
      <c r="B11" s="53">
        <v>4</v>
      </c>
      <c r="C11" s="55" t="s">
        <v>2</v>
      </c>
      <c r="D11" s="37">
        <f>D9+14</f>
        <v>46004</v>
      </c>
      <c r="E11" s="38" t="s">
        <v>17</v>
      </c>
      <c r="F11" s="39"/>
      <c r="G11" s="37"/>
      <c r="H11" s="41"/>
      <c r="I11" s="41"/>
      <c r="J11" s="41"/>
      <c r="K11" s="41"/>
      <c r="L11" s="40"/>
      <c r="M11" s="40"/>
      <c r="N11" s="40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5"/>
      <c r="AD11" s="45"/>
      <c r="AE11" s="41"/>
      <c r="AF11" s="41"/>
      <c r="AG11" s="41"/>
      <c r="AH11" s="41"/>
      <c r="AI11" s="41"/>
      <c r="AJ11" s="41"/>
      <c r="AK11" s="41"/>
      <c r="AL11" s="41"/>
      <c r="AM11" s="24"/>
    </row>
    <row r="12" spans="1:39" ht="18.75" x14ac:dyDescent="0.25">
      <c r="B12" s="54"/>
      <c r="C12" s="56"/>
      <c r="D12" s="37"/>
      <c r="E12" s="38" t="s">
        <v>18</v>
      </c>
      <c r="F12" s="39"/>
      <c r="G12" s="37"/>
      <c r="H12" s="41"/>
      <c r="I12" s="41"/>
      <c r="J12" s="41"/>
      <c r="K12" s="41"/>
      <c r="L12" s="44" t="s">
        <v>19</v>
      </c>
      <c r="M12" s="44" t="s">
        <v>19</v>
      </c>
      <c r="N12" s="44" t="s">
        <v>19</v>
      </c>
      <c r="O12" s="44" t="s">
        <v>19</v>
      </c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5"/>
      <c r="AD12" s="45"/>
      <c r="AE12" s="41"/>
      <c r="AF12" s="41"/>
      <c r="AG12" s="41"/>
      <c r="AH12" s="41"/>
      <c r="AI12" s="41"/>
      <c r="AJ12" s="41"/>
      <c r="AK12" s="41"/>
      <c r="AL12" s="41"/>
      <c r="AM12" s="24"/>
    </row>
    <row r="13" spans="1:39" ht="18.75" x14ac:dyDescent="0.25">
      <c r="B13" s="53">
        <v>5</v>
      </c>
      <c r="C13" s="55" t="s">
        <v>21</v>
      </c>
      <c r="D13" s="37">
        <f>+D15-7</f>
        <v>46076</v>
      </c>
      <c r="E13" s="38" t="s">
        <v>17</v>
      </c>
      <c r="F13" s="39"/>
      <c r="G13" s="37"/>
      <c r="H13" s="41"/>
      <c r="I13" s="41"/>
      <c r="J13" s="41"/>
      <c r="K13" s="41"/>
      <c r="L13" s="41"/>
      <c r="M13" s="41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1"/>
      <c r="AA13" s="41"/>
      <c r="AB13" s="41"/>
      <c r="AC13" s="45"/>
      <c r="AD13" s="45"/>
      <c r="AE13" s="41"/>
      <c r="AF13" s="41"/>
      <c r="AG13" s="41"/>
      <c r="AH13" s="41"/>
      <c r="AI13" s="41"/>
      <c r="AJ13" s="41"/>
      <c r="AK13" s="41"/>
      <c r="AL13" s="41"/>
      <c r="AM13" s="24"/>
    </row>
    <row r="14" spans="1:39" ht="18.75" x14ac:dyDescent="0.25">
      <c r="B14" s="54"/>
      <c r="C14" s="56"/>
      <c r="D14" s="37"/>
      <c r="E14" s="38" t="s">
        <v>18</v>
      </c>
      <c r="F14" s="39"/>
      <c r="G14" s="37"/>
      <c r="H14" s="41"/>
      <c r="I14" s="41"/>
      <c r="J14" s="41"/>
      <c r="K14" s="41"/>
      <c r="L14" s="41"/>
      <c r="M14" s="41"/>
      <c r="N14" s="41"/>
      <c r="O14" s="41"/>
      <c r="P14" s="46" t="s">
        <v>20</v>
      </c>
      <c r="Q14" s="46" t="s">
        <v>20</v>
      </c>
      <c r="R14" s="46" t="s">
        <v>20</v>
      </c>
      <c r="S14" s="46" t="s">
        <v>20</v>
      </c>
      <c r="T14" s="46" t="s">
        <v>20</v>
      </c>
      <c r="U14" s="46" t="s">
        <v>20</v>
      </c>
      <c r="V14" s="46" t="s">
        <v>20</v>
      </c>
      <c r="W14" s="46" t="s">
        <v>20</v>
      </c>
      <c r="X14" s="46" t="s">
        <v>20</v>
      </c>
      <c r="Y14" s="44" t="s">
        <v>19</v>
      </c>
      <c r="Z14" s="41"/>
      <c r="AA14" s="41"/>
      <c r="AB14" s="41"/>
      <c r="AC14" s="45"/>
      <c r="AD14" s="45"/>
      <c r="AE14" s="41"/>
      <c r="AF14" s="41"/>
      <c r="AG14" s="41"/>
      <c r="AH14" s="41"/>
      <c r="AI14" s="41"/>
      <c r="AJ14" s="41"/>
      <c r="AK14" s="41"/>
      <c r="AL14" s="41"/>
      <c r="AM14" s="24"/>
    </row>
    <row r="15" spans="1:39" ht="18.75" x14ac:dyDescent="0.25">
      <c r="B15" s="53">
        <v>6</v>
      </c>
      <c r="C15" s="55" t="s">
        <v>7</v>
      </c>
      <c r="D15" s="37">
        <v>46083</v>
      </c>
      <c r="E15" s="38" t="s">
        <v>17</v>
      </c>
      <c r="F15" s="39"/>
      <c r="G15" s="37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37"/>
      <c r="W15" s="37"/>
      <c r="X15" s="37"/>
      <c r="Y15" s="41"/>
      <c r="Z15" s="47"/>
      <c r="AA15" s="47"/>
      <c r="AB15" s="47"/>
      <c r="AC15" s="45"/>
      <c r="AD15" s="45"/>
      <c r="AE15" s="47"/>
      <c r="AF15" s="47"/>
      <c r="AG15" s="47"/>
      <c r="AH15" s="47"/>
      <c r="AI15" s="41"/>
      <c r="AJ15" s="41"/>
      <c r="AK15" s="41"/>
      <c r="AL15" s="41"/>
      <c r="AM15" s="24"/>
    </row>
    <row r="16" spans="1:39" ht="18.75" x14ac:dyDescent="0.25">
      <c r="B16" s="54"/>
      <c r="C16" s="56"/>
      <c r="D16" s="37"/>
      <c r="E16" s="38" t="s">
        <v>18</v>
      </c>
      <c r="F16" s="39"/>
      <c r="G16" s="37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5"/>
      <c r="AD16" s="45"/>
      <c r="AE16" s="41"/>
      <c r="AF16" s="41"/>
      <c r="AG16" s="41"/>
      <c r="AH16" s="41"/>
      <c r="AI16" s="41"/>
      <c r="AJ16" s="41"/>
      <c r="AK16" s="41"/>
      <c r="AL16" s="41"/>
      <c r="AM16" s="24"/>
    </row>
    <row r="17" spans="2:39" ht="18.75" x14ac:dyDescent="0.25">
      <c r="B17" s="53">
        <f>1+B15</f>
        <v>7</v>
      </c>
      <c r="C17" s="55" t="s">
        <v>8</v>
      </c>
      <c r="D17" s="37">
        <v>46131</v>
      </c>
      <c r="E17" s="38" t="s">
        <v>17</v>
      </c>
      <c r="F17" s="39"/>
      <c r="G17" s="37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37"/>
      <c r="Y17" s="37"/>
      <c r="Z17" s="41"/>
      <c r="AA17" s="41"/>
      <c r="AB17" s="41"/>
      <c r="AC17" s="45"/>
      <c r="AD17" s="45"/>
      <c r="AE17" s="41"/>
      <c r="AF17" s="41"/>
      <c r="AG17" s="47"/>
      <c r="AH17" s="47"/>
      <c r="AI17" s="47"/>
      <c r="AJ17" s="47"/>
      <c r="AK17" s="41"/>
      <c r="AL17" s="41"/>
      <c r="AM17" s="24"/>
    </row>
    <row r="18" spans="2:39" ht="18.75" x14ac:dyDescent="0.25">
      <c r="B18" s="54"/>
      <c r="C18" s="56"/>
      <c r="D18" s="37"/>
      <c r="E18" s="38" t="s">
        <v>18</v>
      </c>
      <c r="F18" s="39"/>
      <c r="G18" s="37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8">
        <v>0.5</v>
      </c>
      <c r="AC18" s="45"/>
      <c r="AD18" s="45"/>
      <c r="AE18" s="41"/>
      <c r="AF18" s="41"/>
      <c r="AG18" s="41"/>
      <c r="AH18" s="41"/>
      <c r="AI18" s="41"/>
      <c r="AJ18" s="41"/>
      <c r="AK18" s="41"/>
      <c r="AL18" s="41"/>
      <c r="AM18" s="24"/>
    </row>
    <row r="19" spans="2:39" ht="18.75" x14ac:dyDescent="0.25">
      <c r="B19" s="53">
        <v>8</v>
      </c>
      <c r="C19" s="55" t="s">
        <v>9</v>
      </c>
      <c r="D19" s="37">
        <v>46152</v>
      </c>
      <c r="E19" s="38" t="s">
        <v>17</v>
      </c>
      <c r="F19" s="39"/>
      <c r="G19" s="37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37"/>
      <c r="Z19" s="37"/>
      <c r="AA19" s="41"/>
      <c r="AB19" s="41"/>
      <c r="AC19" s="45"/>
      <c r="AD19" s="45"/>
      <c r="AE19" s="41"/>
      <c r="AF19" s="41"/>
      <c r="AG19" s="41"/>
      <c r="AH19" s="41"/>
      <c r="AI19" s="41"/>
      <c r="AJ19" s="47"/>
      <c r="AK19" s="47"/>
      <c r="AL19" s="41"/>
      <c r="AM19" s="24"/>
    </row>
    <row r="20" spans="2:39" ht="18.75" x14ac:dyDescent="0.25">
      <c r="B20" s="54"/>
      <c r="C20" s="56"/>
      <c r="D20" s="37"/>
      <c r="E20" s="38" t="s">
        <v>18</v>
      </c>
      <c r="F20" s="39"/>
      <c r="G20" s="37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5"/>
      <c r="AD20" s="45"/>
      <c r="AE20" s="41"/>
      <c r="AF20" s="41"/>
      <c r="AG20" s="41"/>
      <c r="AH20" s="41"/>
      <c r="AI20" s="41"/>
      <c r="AJ20" s="41"/>
      <c r="AK20" s="41"/>
      <c r="AL20" s="41"/>
      <c r="AM20" s="24"/>
    </row>
    <row r="21" spans="2:39" ht="18.75" x14ac:dyDescent="0.25">
      <c r="B21" s="53">
        <v>9</v>
      </c>
      <c r="C21" s="55" t="s">
        <v>10</v>
      </c>
      <c r="D21" s="37">
        <v>46152</v>
      </c>
      <c r="E21" s="38" t="s">
        <v>17</v>
      </c>
      <c r="F21" s="39"/>
      <c r="G21" s="37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37"/>
      <c r="Z21" s="37"/>
      <c r="AA21" s="41"/>
      <c r="AB21" s="41"/>
      <c r="AC21" s="45"/>
      <c r="AD21" s="45"/>
      <c r="AE21" s="41"/>
      <c r="AF21" s="41"/>
      <c r="AG21" s="41"/>
      <c r="AH21" s="41"/>
      <c r="AI21" s="41"/>
      <c r="AJ21" s="47"/>
      <c r="AK21" s="47"/>
      <c r="AL21" s="47"/>
      <c r="AM21" s="24"/>
    </row>
    <row r="22" spans="2:39" ht="18.75" x14ac:dyDescent="0.25">
      <c r="B22" s="54"/>
      <c r="C22" s="56"/>
      <c r="D22" s="37"/>
      <c r="E22" s="38" t="s">
        <v>18</v>
      </c>
      <c r="F22" s="39"/>
      <c r="G22" s="37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5"/>
      <c r="AD22" s="45"/>
      <c r="AE22" s="41"/>
      <c r="AF22" s="41"/>
      <c r="AG22" s="41"/>
      <c r="AH22" s="41"/>
      <c r="AI22" s="41"/>
      <c r="AJ22" s="41"/>
      <c r="AK22" s="41"/>
      <c r="AL22" s="41"/>
      <c r="AM22" s="24"/>
    </row>
    <row r="23" spans="2:39" ht="18.75" x14ac:dyDescent="0.25">
      <c r="B23" s="53">
        <f t="shared" ref="B23" si="13">1+B21</f>
        <v>10</v>
      </c>
      <c r="C23" s="55" t="s">
        <v>11</v>
      </c>
      <c r="D23" s="37">
        <v>46166</v>
      </c>
      <c r="E23" s="38" t="s">
        <v>17</v>
      </c>
      <c r="F23" s="39"/>
      <c r="G23" s="37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37"/>
      <c r="AB23" s="41"/>
      <c r="AC23" s="45"/>
      <c r="AD23" s="45"/>
      <c r="AE23" s="41"/>
      <c r="AF23" s="41"/>
      <c r="AG23" s="41"/>
      <c r="AH23" s="41"/>
      <c r="AI23" s="41"/>
      <c r="AJ23" s="41"/>
      <c r="AK23" s="41"/>
      <c r="AL23" s="47"/>
      <c r="AM23" s="24"/>
    </row>
    <row r="24" spans="2:39" ht="18.75" x14ac:dyDescent="0.25">
      <c r="B24" s="54"/>
      <c r="C24" s="56"/>
      <c r="D24" s="37"/>
      <c r="E24" s="38" t="s">
        <v>18</v>
      </c>
      <c r="F24" s="39"/>
      <c r="G24" s="37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5"/>
      <c r="AD24" s="45"/>
      <c r="AE24" s="41"/>
      <c r="AF24" s="41"/>
      <c r="AG24" s="41"/>
      <c r="AH24" s="41"/>
      <c r="AI24" s="41"/>
      <c r="AJ24" s="41"/>
      <c r="AK24" s="41"/>
      <c r="AL24" s="41"/>
      <c r="AM24" s="24"/>
    </row>
    <row r="25" spans="2:39" ht="18.75" x14ac:dyDescent="0.25">
      <c r="B25" s="53">
        <v>11</v>
      </c>
      <c r="C25" s="55" t="s">
        <v>12</v>
      </c>
      <c r="D25" s="37">
        <f>+D23+7</f>
        <v>46173</v>
      </c>
      <c r="E25" s="38" t="s">
        <v>17</v>
      </c>
      <c r="F25" s="39"/>
      <c r="G25" s="37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37"/>
      <c r="AC25" s="49"/>
      <c r="AD25" s="45"/>
      <c r="AE25" s="41"/>
      <c r="AF25" s="41"/>
      <c r="AG25" s="41"/>
      <c r="AH25" s="41"/>
      <c r="AI25" s="41"/>
      <c r="AJ25" s="41"/>
      <c r="AK25" s="41"/>
      <c r="AL25" s="47"/>
      <c r="AM25" s="25"/>
    </row>
    <row r="26" spans="2:39" ht="18.75" x14ac:dyDescent="0.25">
      <c r="B26" s="54"/>
      <c r="C26" s="56"/>
      <c r="D26" s="37"/>
      <c r="E26" s="38" t="s">
        <v>18</v>
      </c>
      <c r="F26" s="39"/>
      <c r="G26" s="37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5"/>
      <c r="AD26" s="45"/>
      <c r="AE26" s="41"/>
      <c r="AF26" s="41"/>
      <c r="AG26" s="41"/>
      <c r="AH26" s="41"/>
      <c r="AI26" s="41"/>
      <c r="AJ26" s="41"/>
      <c r="AK26" s="41"/>
      <c r="AL26" s="41"/>
      <c r="AM26" s="24"/>
    </row>
    <row r="28" spans="2:39" x14ac:dyDescent="0.25">
      <c r="B28" s="1" t="s">
        <v>24</v>
      </c>
    </row>
    <row r="29" spans="2:39" x14ac:dyDescent="0.25">
      <c r="B29" s="50" t="s">
        <v>25</v>
      </c>
    </row>
  </sheetData>
  <mergeCells count="23">
    <mergeCell ref="C15:C16"/>
    <mergeCell ref="C5:C6"/>
    <mergeCell ref="B5:B6"/>
    <mergeCell ref="B7:B8"/>
    <mergeCell ref="C7:C8"/>
    <mergeCell ref="B9:B10"/>
    <mergeCell ref="C9:C10"/>
    <mergeCell ref="AK2:AM2"/>
    <mergeCell ref="B23:B24"/>
    <mergeCell ref="C23:C24"/>
    <mergeCell ref="B25:B26"/>
    <mergeCell ref="C25:C26"/>
    <mergeCell ref="B17:B18"/>
    <mergeCell ref="C17:C18"/>
    <mergeCell ref="B19:B20"/>
    <mergeCell ref="C19:C20"/>
    <mergeCell ref="B21:B22"/>
    <mergeCell ref="C21:C22"/>
    <mergeCell ref="B11:B12"/>
    <mergeCell ref="C11:C12"/>
    <mergeCell ref="B13:B14"/>
    <mergeCell ref="C13:C14"/>
    <mergeCell ref="B15:B16"/>
  </mergeCells>
  <pageMargins left="0.25" right="0.25" top="0.75" bottom="0.75" header="0.3" footer="0.3"/>
  <pageSetup paperSize="14" scale="72" fitToHeight="0" orientation="landscape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37"/>
  <sheetViews>
    <sheetView topLeftCell="D1" zoomScale="80" zoomScaleNormal="80" workbookViewId="0">
      <selection activeCell="D28" sqref="D28:H29"/>
    </sheetView>
  </sheetViews>
  <sheetFormatPr defaultRowHeight="15" x14ac:dyDescent="0.25"/>
  <cols>
    <col min="3" max="3" width="50.28515625" customWidth="1"/>
    <col min="4" max="4" width="16" customWidth="1"/>
  </cols>
  <sheetData>
    <row r="1" spans="1:46" ht="23.25" x14ac:dyDescent="0.25">
      <c r="A1" s="23"/>
      <c r="B1" s="27" t="s">
        <v>23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8"/>
      <c r="AD1" s="28"/>
      <c r="AE1" s="27"/>
      <c r="AF1" s="27"/>
      <c r="AG1" s="27"/>
      <c r="AH1" s="27"/>
      <c r="AI1" s="27"/>
      <c r="AJ1" s="27"/>
      <c r="AK1" s="27"/>
      <c r="AL1" s="27"/>
      <c r="AM1" s="27"/>
    </row>
    <row r="2" spans="1:46" ht="23.25" x14ac:dyDescent="0.25">
      <c r="A2" s="23"/>
      <c r="B2" s="27" t="s">
        <v>13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8"/>
      <c r="AD2" s="28"/>
      <c r="AE2" s="27"/>
      <c r="AF2" s="27"/>
      <c r="AG2" s="27"/>
      <c r="AH2" s="27" t="s">
        <v>22</v>
      </c>
      <c r="AI2" s="27"/>
      <c r="AJ2" s="23"/>
      <c r="AK2" s="57">
        <v>46092</v>
      </c>
      <c r="AL2" s="57"/>
      <c r="AM2" s="57"/>
    </row>
    <row r="3" spans="1:46" ht="24" thickBot="1" x14ac:dyDescent="0.3">
      <c r="A3" s="23"/>
      <c r="B3" s="27" t="s">
        <v>14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8"/>
      <c r="AD3" s="28"/>
      <c r="AE3" s="27"/>
      <c r="AF3" s="27"/>
      <c r="AG3" s="27"/>
      <c r="AH3" s="27"/>
      <c r="AI3" s="27"/>
      <c r="AJ3" s="27"/>
      <c r="AK3" s="27"/>
      <c r="AL3" s="27"/>
      <c r="AM3" s="27"/>
    </row>
    <row r="4" spans="1:46" ht="78" x14ac:dyDescent="0.25">
      <c r="A4" s="1"/>
      <c r="B4" s="29" t="s">
        <v>0</v>
      </c>
      <c r="C4" s="30" t="s">
        <v>1</v>
      </c>
      <c r="D4" s="31" t="s">
        <v>6</v>
      </c>
      <c r="E4" s="32"/>
      <c r="F4" s="33"/>
      <c r="G4" s="34">
        <f>H4-14</f>
        <v>45948</v>
      </c>
      <c r="H4" s="34">
        <v>45962</v>
      </c>
      <c r="I4" s="34">
        <f>H4+7</f>
        <v>45969</v>
      </c>
      <c r="J4" s="34">
        <f t="shared" ref="J4:U4" si="0">I4+7</f>
        <v>45976</v>
      </c>
      <c r="K4" s="34">
        <f t="shared" si="0"/>
        <v>45983</v>
      </c>
      <c r="L4" s="34">
        <f t="shared" si="0"/>
        <v>45990</v>
      </c>
      <c r="M4" s="34">
        <f t="shared" si="0"/>
        <v>45997</v>
      </c>
      <c r="N4" s="34">
        <f t="shared" si="0"/>
        <v>46004</v>
      </c>
      <c r="O4" s="34">
        <f t="shared" si="0"/>
        <v>46011</v>
      </c>
      <c r="P4" s="34">
        <f t="shared" si="0"/>
        <v>46018</v>
      </c>
      <c r="Q4" s="34">
        <f t="shared" si="0"/>
        <v>46025</v>
      </c>
      <c r="R4" s="34">
        <f t="shared" si="0"/>
        <v>46032</v>
      </c>
      <c r="S4" s="34">
        <f t="shared" si="0"/>
        <v>46039</v>
      </c>
      <c r="T4" s="34">
        <f t="shared" si="0"/>
        <v>46046</v>
      </c>
      <c r="U4" s="34">
        <f t="shared" si="0"/>
        <v>46053</v>
      </c>
      <c r="V4" s="35">
        <v>46054</v>
      </c>
      <c r="W4" s="35">
        <f>7+V4</f>
        <v>46061</v>
      </c>
      <c r="X4" s="35">
        <f t="shared" ref="X4:AT4" si="1">7+W4</f>
        <v>46068</v>
      </c>
      <c r="Y4" s="35">
        <f t="shared" si="1"/>
        <v>46075</v>
      </c>
      <c r="Z4" s="35">
        <f t="shared" si="1"/>
        <v>46082</v>
      </c>
      <c r="AA4" s="35">
        <f t="shared" si="1"/>
        <v>46089</v>
      </c>
      <c r="AB4" s="35">
        <f t="shared" si="1"/>
        <v>46096</v>
      </c>
      <c r="AC4" s="36">
        <f t="shared" si="1"/>
        <v>46103</v>
      </c>
      <c r="AD4" s="36">
        <f t="shared" si="1"/>
        <v>46110</v>
      </c>
      <c r="AE4" s="35">
        <f t="shared" si="1"/>
        <v>46117</v>
      </c>
      <c r="AF4" s="35">
        <f t="shared" si="1"/>
        <v>46124</v>
      </c>
      <c r="AG4" s="35">
        <f t="shared" si="1"/>
        <v>46131</v>
      </c>
      <c r="AH4" s="35">
        <f t="shared" si="1"/>
        <v>46138</v>
      </c>
      <c r="AI4" s="35">
        <f t="shared" si="1"/>
        <v>46145</v>
      </c>
      <c r="AJ4" s="35">
        <f t="shared" si="1"/>
        <v>46152</v>
      </c>
      <c r="AK4" s="35">
        <f t="shared" si="1"/>
        <v>46159</v>
      </c>
      <c r="AL4" s="35">
        <f t="shared" si="1"/>
        <v>46166</v>
      </c>
      <c r="AM4" s="5">
        <f t="shared" si="1"/>
        <v>46173</v>
      </c>
      <c r="AN4" s="5">
        <f t="shared" si="1"/>
        <v>46180</v>
      </c>
      <c r="AO4" s="5">
        <f t="shared" si="1"/>
        <v>46187</v>
      </c>
      <c r="AP4" s="5">
        <f t="shared" si="1"/>
        <v>46194</v>
      </c>
      <c r="AQ4" s="5">
        <f t="shared" si="1"/>
        <v>46201</v>
      </c>
      <c r="AR4" s="5">
        <f t="shared" si="1"/>
        <v>46208</v>
      </c>
      <c r="AS4" s="5">
        <f t="shared" si="1"/>
        <v>46215</v>
      </c>
      <c r="AT4" s="5">
        <f t="shared" si="1"/>
        <v>46222</v>
      </c>
    </row>
    <row r="5" spans="1:46" ht="18.75" x14ac:dyDescent="0.25">
      <c r="A5" s="1"/>
      <c r="B5" s="53">
        <v>1</v>
      </c>
      <c r="C5" s="55" t="s">
        <v>3</v>
      </c>
      <c r="D5" s="37">
        <v>45962</v>
      </c>
      <c r="E5" s="38" t="s">
        <v>17</v>
      </c>
      <c r="F5" s="39"/>
      <c r="G5" s="40"/>
      <c r="H5" s="40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2"/>
      <c r="AD5" s="42"/>
      <c r="AE5" s="43"/>
      <c r="AF5" s="43"/>
      <c r="AG5" s="43"/>
      <c r="AH5" s="43"/>
      <c r="AI5" s="43"/>
      <c r="AJ5" s="43"/>
      <c r="AK5" s="43"/>
      <c r="AL5" s="43"/>
      <c r="AM5" s="26"/>
      <c r="AN5" s="26"/>
      <c r="AO5" s="26"/>
      <c r="AP5" s="26"/>
      <c r="AQ5" s="26"/>
      <c r="AR5" s="26"/>
      <c r="AS5" s="26"/>
      <c r="AT5" s="26"/>
    </row>
    <row r="6" spans="1:46" ht="18.75" x14ac:dyDescent="0.25">
      <c r="A6" s="1"/>
      <c r="B6" s="54"/>
      <c r="C6" s="56"/>
      <c r="D6" s="37"/>
      <c r="E6" s="38" t="s">
        <v>18</v>
      </c>
      <c r="F6" s="39"/>
      <c r="G6" s="44" t="s">
        <v>19</v>
      </c>
      <c r="H6" s="44" t="s">
        <v>19</v>
      </c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5"/>
      <c r="AD6" s="45"/>
      <c r="AE6" s="41"/>
      <c r="AF6" s="41"/>
      <c r="AG6" s="41"/>
      <c r="AH6" s="41"/>
      <c r="AI6" s="41"/>
      <c r="AJ6" s="41"/>
      <c r="AK6" s="41"/>
      <c r="AL6" s="41"/>
      <c r="AM6" s="24"/>
      <c r="AN6" s="24"/>
      <c r="AO6" s="24"/>
      <c r="AP6" s="24"/>
      <c r="AQ6" s="24"/>
      <c r="AR6" s="24"/>
      <c r="AS6" s="24"/>
      <c r="AT6" s="24"/>
    </row>
    <row r="7" spans="1:46" ht="18.75" x14ac:dyDescent="0.25">
      <c r="A7" s="1"/>
      <c r="B7" s="53">
        <v>2</v>
      </c>
      <c r="C7" s="55" t="s">
        <v>4</v>
      </c>
      <c r="D7" s="37">
        <f>D5+14</f>
        <v>45976</v>
      </c>
      <c r="E7" s="38" t="s">
        <v>17</v>
      </c>
      <c r="F7" s="39"/>
      <c r="G7" s="37"/>
      <c r="H7" s="40"/>
      <c r="I7" s="40"/>
      <c r="J7" s="40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5"/>
      <c r="AD7" s="45"/>
      <c r="AE7" s="41"/>
      <c r="AF7" s="41"/>
      <c r="AG7" s="41"/>
      <c r="AH7" s="41"/>
      <c r="AI7" s="41"/>
      <c r="AJ7" s="41"/>
      <c r="AK7" s="41"/>
      <c r="AL7" s="41"/>
      <c r="AM7" s="24"/>
      <c r="AN7" s="24"/>
      <c r="AO7" s="24"/>
      <c r="AP7" s="24"/>
      <c r="AQ7" s="24"/>
      <c r="AR7" s="24"/>
      <c r="AS7" s="24"/>
      <c r="AT7" s="24"/>
    </row>
    <row r="8" spans="1:46" ht="18.75" x14ac:dyDescent="0.25">
      <c r="A8" s="1"/>
      <c r="B8" s="54"/>
      <c r="C8" s="56"/>
      <c r="D8" s="37"/>
      <c r="E8" s="38" t="s">
        <v>18</v>
      </c>
      <c r="F8" s="39"/>
      <c r="G8" s="37"/>
      <c r="H8" s="44" t="s">
        <v>19</v>
      </c>
      <c r="I8" s="44" t="s">
        <v>19</v>
      </c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5"/>
      <c r="AD8" s="45"/>
      <c r="AE8" s="41"/>
      <c r="AF8" s="41"/>
      <c r="AG8" s="41"/>
      <c r="AH8" s="41"/>
      <c r="AI8" s="41"/>
      <c r="AJ8" s="41"/>
      <c r="AK8" s="41"/>
      <c r="AL8" s="41"/>
      <c r="AM8" s="24"/>
      <c r="AN8" s="24"/>
      <c r="AO8" s="24"/>
      <c r="AP8" s="24"/>
      <c r="AQ8" s="24"/>
      <c r="AR8" s="24"/>
      <c r="AS8" s="24"/>
      <c r="AT8" s="24"/>
    </row>
    <row r="9" spans="1:46" ht="18.75" x14ac:dyDescent="0.25">
      <c r="A9" s="1"/>
      <c r="B9" s="53">
        <v>3</v>
      </c>
      <c r="C9" s="55" t="s">
        <v>5</v>
      </c>
      <c r="D9" s="37">
        <f>D7+14</f>
        <v>45990</v>
      </c>
      <c r="E9" s="38" t="s">
        <v>17</v>
      </c>
      <c r="F9" s="39"/>
      <c r="G9" s="37"/>
      <c r="H9" s="41"/>
      <c r="I9" s="41"/>
      <c r="J9" s="40"/>
      <c r="K9" s="40"/>
      <c r="L9" s="40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5"/>
      <c r="AD9" s="45"/>
      <c r="AE9" s="41"/>
      <c r="AF9" s="41"/>
      <c r="AG9" s="41"/>
      <c r="AH9" s="41"/>
      <c r="AI9" s="41"/>
      <c r="AJ9" s="41"/>
      <c r="AK9" s="41"/>
      <c r="AL9" s="41"/>
      <c r="AM9" s="24"/>
      <c r="AN9" s="24"/>
      <c r="AO9" s="24"/>
      <c r="AP9" s="24"/>
      <c r="AQ9" s="24"/>
      <c r="AR9" s="24"/>
      <c r="AS9" s="24"/>
      <c r="AT9" s="24"/>
    </row>
    <row r="10" spans="1:46" ht="18.75" x14ac:dyDescent="0.25">
      <c r="A10" s="1"/>
      <c r="B10" s="54"/>
      <c r="C10" s="56"/>
      <c r="D10" s="37"/>
      <c r="E10" s="38" t="s">
        <v>18</v>
      </c>
      <c r="F10" s="39"/>
      <c r="G10" s="37"/>
      <c r="H10" s="41"/>
      <c r="I10" s="41"/>
      <c r="J10" s="44" t="s">
        <v>19</v>
      </c>
      <c r="K10" s="44" t="s">
        <v>19</v>
      </c>
      <c r="L10" s="44" t="s">
        <v>19</v>
      </c>
      <c r="M10" s="44" t="s">
        <v>19</v>
      </c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5"/>
      <c r="AD10" s="45"/>
      <c r="AE10" s="41"/>
      <c r="AF10" s="41"/>
      <c r="AG10" s="41"/>
      <c r="AH10" s="41"/>
      <c r="AI10" s="41"/>
      <c r="AJ10" s="41"/>
      <c r="AK10" s="41"/>
      <c r="AL10" s="41"/>
      <c r="AM10" s="24"/>
      <c r="AN10" s="24"/>
      <c r="AO10" s="24"/>
      <c r="AP10" s="24"/>
      <c r="AQ10" s="24"/>
      <c r="AR10" s="24"/>
      <c r="AS10" s="24"/>
      <c r="AT10" s="24"/>
    </row>
    <row r="11" spans="1:46" ht="18.75" x14ac:dyDescent="0.25">
      <c r="A11" s="1" t="s">
        <v>16</v>
      </c>
      <c r="B11" s="53">
        <v>4</v>
      </c>
      <c r="C11" s="55" t="s">
        <v>2</v>
      </c>
      <c r="D11" s="37">
        <f>D9+14</f>
        <v>46004</v>
      </c>
      <c r="E11" s="38" t="s">
        <v>17</v>
      </c>
      <c r="F11" s="39"/>
      <c r="G11" s="37"/>
      <c r="H11" s="41"/>
      <c r="I11" s="41"/>
      <c r="J11" s="41"/>
      <c r="K11" s="41"/>
      <c r="L11" s="40"/>
      <c r="M11" s="40"/>
      <c r="N11" s="40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5"/>
      <c r="AD11" s="45"/>
      <c r="AE11" s="41"/>
      <c r="AF11" s="41"/>
      <c r="AG11" s="41"/>
      <c r="AH11" s="41"/>
      <c r="AI11" s="41"/>
      <c r="AJ11" s="41"/>
      <c r="AK11" s="41"/>
      <c r="AL11" s="41"/>
      <c r="AM11" s="24"/>
      <c r="AN11" s="24"/>
      <c r="AO11" s="24"/>
      <c r="AP11" s="24"/>
      <c r="AQ11" s="24"/>
      <c r="AR11" s="24"/>
      <c r="AS11" s="24"/>
      <c r="AT11" s="24"/>
    </row>
    <row r="12" spans="1:46" ht="18.75" x14ac:dyDescent="0.25">
      <c r="A12" s="1"/>
      <c r="B12" s="54"/>
      <c r="C12" s="56"/>
      <c r="D12" s="37"/>
      <c r="E12" s="38" t="s">
        <v>18</v>
      </c>
      <c r="F12" s="39"/>
      <c r="G12" s="37"/>
      <c r="H12" s="41"/>
      <c r="I12" s="41"/>
      <c r="J12" s="41"/>
      <c r="K12" s="41"/>
      <c r="L12" s="44" t="s">
        <v>19</v>
      </c>
      <c r="M12" s="44" t="s">
        <v>19</v>
      </c>
      <c r="N12" s="44" t="s">
        <v>19</v>
      </c>
      <c r="O12" s="44" t="s">
        <v>19</v>
      </c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5"/>
      <c r="AD12" s="45"/>
      <c r="AE12" s="41"/>
      <c r="AF12" s="41"/>
      <c r="AG12" s="41"/>
      <c r="AH12" s="41"/>
      <c r="AI12" s="41"/>
      <c r="AJ12" s="41"/>
      <c r="AK12" s="41"/>
      <c r="AL12" s="41"/>
      <c r="AM12" s="24"/>
      <c r="AN12" s="24"/>
      <c r="AO12" s="24"/>
      <c r="AP12" s="24"/>
      <c r="AQ12" s="24"/>
      <c r="AR12" s="24"/>
      <c r="AS12" s="24"/>
      <c r="AT12" s="24"/>
    </row>
    <row r="13" spans="1:46" ht="18.75" x14ac:dyDescent="0.25">
      <c r="A13" s="1"/>
      <c r="B13" s="53">
        <v>5</v>
      </c>
      <c r="C13" s="55" t="s">
        <v>21</v>
      </c>
      <c r="D13" s="37">
        <f>+D15-7</f>
        <v>46076</v>
      </c>
      <c r="E13" s="38" t="s">
        <v>17</v>
      </c>
      <c r="F13" s="39"/>
      <c r="G13" s="37"/>
      <c r="H13" s="41"/>
      <c r="I13" s="41"/>
      <c r="J13" s="41"/>
      <c r="K13" s="41"/>
      <c r="L13" s="41"/>
      <c r="M13" s="41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1"/>
      <c r="AA13" s="41"/>
      <c r="AB13" s="41"/>
      <c r="AC13" s="45"/>
      <c r="AD13" s="45"/>
      <c r="AE13" s="41"/>
      <c r="AF13" s="41"/>
      <c r="AG13" s="41"/>
      <c r="AH13" s="41"/>
      <c r="AI13" s="41"/>
      <c r="AJ13" s="41"/>
      <c r="AK13" s="41"/>
      <c r="AL13" s="41"/>
      <c r="AM13" s="24"/>
      <c r="AN13" s="24"/>
      <c r="AO13" s="24"/>
      <c r="AP13" s="24"/>
      <c r="AQ13" s="24"/>
      <c r="AR13" s="24"/>
      <c r="AS13" s="24"/>
      <c r="AT13" s="24"/>
    </row>
    <row r="14" spans="1:46" ht="18.75" x14ac:dyDescent="0.25">
      <c r="A14" s="1"/>
      <c r="B14" s="54"/>
      <c r="C14" s="56"/>
      <c r="D14" s="37"/>
      <c r="E14" s="38" t="s">
        <v>18</v>
      </c>
      <c r="F14" s="39"/>
      <c r="G14" s="37"/>
      <c r="H14" s="41"/>
      <c r="I14" s="41"/>
      <c r="J14" s="41"/>
      <c r="K14" s="41"/>
      <c r="L14" s="41"/>
      <c r="M14" s="41"/>
      <c r="N14" s="41"/>
      <c r="O14" s="41"/>
      <c r="P14" s="46" t="s">
        <v>20</v>
      </c>
      <c r="Q14" s="46" t="s">
        <v>20</v>
      </c>
      <c r="R14" s="46" t="s">
        <v>20</v>
      </c>
      <c r="S14" s="46" t="s">
        <v>20</v>
      </c>
      <c r="T14" s="46" t="s">
        <v>20</v>
      </c>
      <c r="U14" s="46" t="s">
        <v>20</v>
      </c>
      <c r="V14" s="46" t="s">
        <v>20</v>
      </c>
      <c r="W14" s="46" t="s">
        <v>20</v>
      </c>
      <c r="X14" s="46" t="s">
        <v>20</v>
      </c>
      <c r="Y14" s="44" t="s">
        <v>19</v>
      </c>
      <c r="Z14" s="41"/>
      <c r="AA14" s="41"/>
      <c r="AB14" s="41"/>
      <c r="AC14" s="45"/>
      <c r="AD14" s="45"/>
      <c r="AE14" s="41"/>
      <c r="AF14" s="41"/>
      <c r="AG14" s="41"/>
      <c r="AH14" s="41"/>
      <c r="AI14" s="41"/>
      <c r="AJ14" s="41"/>
      <c r="AK14" s="41"/>
      <c r="AL14" s="41"/>
      <c r="AM14" s="24"/>
      <c r="AN14" s="24"/>
      <c r="AO14" s="24"/>
      <c r="AP14" s="24"/>
      <c r="AQ14" s="24"/>
      <c r="AR14" s="24"/>
      <c r="AS14" s="24"/>
      <c r="AT14" s="24"/>
    </row>
    <row r="15" spans="1:46" ht="18.75" x14ac:dyDescent="0.25">
      <c r="A15" s="1"/>
      <c r="B15" s="53">
        <v>6</v>
      </c>
      <c r="C15" s="55" t="s">
        <v>7</v>
      </c>
      <c r="D15" s="37">
        <v>46083</v>
      </c>
      <c r="E15" s="38" t="s">
        <v>17</v>
      </c>
      <c r="F15" s="39"/>
      <c r="G15" s="37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37"/>
      <c r="W15" s="37"/>
      <c r="X15" s="37"/>
      <c r="Y15" s="41"/>
      <c r="Z15" s="47"/>
      <c r="AA15" s="47"/>
      <c r="AB15" s="47"/>
      <c r="AC15" s="45"/>
      <c r="AD15" s="45"/>
      <c r="AE15" s="47"/>
      <c r="AF15" s="47"/>
      <c r="AG15" s="47"/>
      <c r="AH15" s="47"/>
      <c r="AI15" s="47"/>
      <c r="AJ15" s="47"/>
      <c r="AK15" s="41"/>
      <c r="AL15" s="41"/>
      <c r="AM15" s="24"/>
      <c r="AN15" s="24"/>
      <c r="AO15" s="24"/>
      <c r="AP15" s="24"/>
      <c r="AQ15" s="24"/>
      <c r="AR15" s="24"/>
      <c r="AS15" s="24"/>
      <c r="AT15" s="24"/>
    </row>
    <row r="16" spans="1:46" ht="18.75" x14ac:dyDescent="0.25">
      <c r="A16" s="1"/>
      <c r="B16" s="54"/>
      <c r="C16" s="56"/>
      <c r="D16" s="37"/>
      <c r="E16" s="38" t="s">
        <v>18</v>
      </c>
      <c r="F16" s="39"/>
      <c r="G16" s="37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5"/>
      <c r="AD16" s="45"/>
      <c r="AE16" s="41"/>
      <c r="AF16" s="41"/>
      <c r="AG16" s="41"/>
      <c r="AH16" s="41"/>
      <c r="AI16" s="41"/>
      <c r="AJ16" s="41"/>
      <c r="AK16" s="41"/>
      <c r="AL16" s="41"/>
      <c r="AM16" s="24"/>
      <c r="AN16" s="24"/>
      <c r="AO16" s="24"/>
      <c r="AP16" s="24"/>
      <c r="AQ16" s="24"/>
      <c r="AR16" s="24"/>
      <c r="AS16" s="24"/>
      <c r="AT16" s="24"/>
    </row>
    <row r="17" spans="1:46" ht="18.75" x14ac:dyDescent="0.25">
      <c r="A17" s="1"/>
      <c r="B17" s="53">
        <f>1+B15</f>
        <v>7</v>
      </c>
      <c r="C17" s="55" t="s">
        <v>8</v>
      </c>
      <c r="D17" s="37">
        <v>46131</v>
      </c>
      <c r="E17" s="38" t="s">
        <v>17</v>
      </c>
      <c r="F17" s="39"/>
      <c r="G17" s="37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37"/>
      <c r="Y17" s="37"/>
      <c r="Z17" s="41"/>
      <c r="AA17" s="41"/>
      <c r="AB17" s="41"/>
      <c r="AC17" s="45"/>
      <c r="AD17" s="45"/>
      <c r="AE17" s="41"/>
      <c r="AF17" s="41"/>
      <c r="AG17" s="47"/>
      <c r="AH17" s="47"/>
      <c r="AI17" s="47"/>
      <c r="AJ17" s="47"/>
      <c r="AK17" s="47"/>
      <c r="AL17" s="41"/>
      <c r="AM17" s="24"/>
      <c r="AN17" s="24"/>
      <c r="AO17" s="24"/>
      <c r="AP17" s="24"/>
      <c r="AQ17" s="24"/>
      <c r="AR17" s="24"/>
      <c r="AS17" s="24"/>
      <c r="AT17" s="24"/>
    </row>
    <row r="18" spans="1:46" ht="18.75" x14ac:dyDescent="0.25">
      <c r="A18" s="1"/>
      <c r="B18" s="54"/>
      <c r="C18" s="56"/>
      <c r="D18" s="37"/>
      <c r="E18" s="38" t="s">
        <v>18</v>
      </c>
      <c r="F18" s="39"/>
      <c r="G18" s="37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8">
        <v>0.5</v>
      </c>
      <c r="AC18" s="45"/>
      <c r="AD18" s="45"/>
      <c r="AE18" s="41"/>
      <c r="AF18" s="41"/>
      <c r="AG18" s="41"/>
      <c r="AH18" s="41"/>
      <c r="AI18" s="41"/>
      <c r="AJ18" s="41"/>
      <c r="AK18" s="41"/>
      <c r="AL18" s="41"/>
      <c r="AM18" s="24"/>
      <c r="AN18" s="24"/>
      <c r="AO18" s="24"/>
      <c r="AP18" s="24"/>
      <c r="AQ18" s="24"/>
      <c r="AR18" s="24"/>
      <c r="AS18" s="24"/>
      <c r="AT18" s="24"/>
    </row>
    <row r="19" spans="1:46" ht="18.75" x14ac:dyDescent="0.25">
      <c r="A19" s="1"/>
      <c r="B19" s="53">
        <v>8</v>
      </c>
      <c r="C19" s="55" t="s">
        <v>9</v>
      </c>
      <c r="D19" s="37">
        <v>46152</v>
      </c>
      <c r="E19" s="38" t="s">
        <v>17</v>
      </c>
      <c r="F19" s="39"/>
      <c r="G19" s="37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37"/>
      <c r="Z19" s="37"/>
      <c r="AA19" s="41"/>
      <c r="AB19" s="41"/>
      <c r="AC19" s="45"/>
      <c r="AD19" s="45"/>
      <c r="AE19" s="41"/>
      <c r="AF19" s="41"/>
      <c r="AG19" s="41"/>
      <c r="AH19" s="41"/>
      <c r="AI19" s="41"/>
      <c r="AJ19" s="47"/>
      <c r="AK19" s="47"/>
      <c r="AL19" s="47"/>
      <c r="AM19" s="24"/>
      <c r="AN19" s="24"/>
      <c r="AO19" s="24"/>
      <c r="AP19" s="24"/>
      <c r="AQ19" s="24"/>
      <c r="AR19" s="24"/>
      <c r="AS19" s="24"/>
      <c r="AT19" s="24"/>
    </row>
    <row r="20" spans="1:46" ht="18.75" x14ac:dyDescent="0.25">
      <c r="A20" s="1"/>
      <c r="B20" s="54"/>
      <c r="C20" s="56"/>
      <c r="D20" s="37"/>
      <c r="E20" s="38" t="s">
        <v>18</v>
      </c>
      <c r="F20" s="39"/>
      <c r="G20" s="37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5"/>
      <c r="AD20" s="45"/>
      <c r="AE20" s="41"/>
      <c r="AF20" s="41"/>
      <c r="AG20" s="41"/>
      <c r="AH20" s="41"/>
      <c r="AI20" s="41"/>
      <c r="AJ20" s="41"/>
      <c r="AK20" s="41"/>
      <c r="AL20" s="41"/>
      <c r="AM20" s="24"/>
      <c r="AN20" s="24"/>
      <c r="AO20" s="24"/>
      <c r="AP20" s="24"/>
      <c r="AQ20" s="24"/>
      <c r="AR20" s="24"/>
      <c r="AS20" s="24"/>
      <c r="AT20" s="24"/>
    </row>
    <row r="21" spans="1:46" ht="18.75" x14ac:dyDescent="0.25">
      <c r="A21" s="1"/>
      <c r="B21" s="53">
        <v>9</v>
      </c>
      <c r="C21" s="55" t="s">
        <v>10</v>
      </c>
      <c r="D21" s="37">
        <v>46152</v>
      </c>
      <c r="E21" s="38" t="s">
        <v>17</v>
      </c>
      <c r="F21" s="39"/>
      <c r="G21" s="37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37"/>
      <c r="Z21" s="37"/>
      <c r="AA21" s="41"/>
      <c r="AB21" s="41"/>
      <c r="AC21" s="45"/>
      <c r="AD21" s="45"/>
      <c r="AE21" s="41"/>
      <c r="AF21" s="41"/>
      <c r="AG21" s="41"/>
      <c r="AH21" s="41"/>
      <c r="AI21" s="41"/>
      <c r="AJ21" s="47"/>
      <c r="AK21" s="47"/>
      <c r="AL21" s="47"/>
      <c r="AM21" s="25"/>
      <c r="AN21" s="24"/>
      <c r="AO21" s="24"/>
      <c r="AP21" s="24"/>
      <c r="AQ21" s="24"/>
      <c r="AR21" s="24"/>
      <c r="AS21" s="24"/>
      <c r="AT21" s="24"/>
    </row>
    <row r="22" spans="1:46" ht="18.75" x14ac:dyDescent="0.25">
      <c r="A22" s="1"/>
      <c r="B22" s="54"/>
      <c r="C22" s="56"/>
      <c r="D22" s="37"/>
      <c r="E22" s="38" t="s">
        <v>18</v>
      </c>
      <c r="F22" s="39"/>
      <c r="G22" s="37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5"/>
      <c r="AD22" s="45"/>
      <c r="AE22" s="41"/>
      <c r="AF22" s="41"/>
      <c r="AG22" s="41"/>
      <c r="AH22" s="41"/>
      <c r="AI22" s="41"/>
      <c r="AJ22" s="41"/>
      <c r="AK22" s="41"/>
      <c r="AL22" s="41"/>
      <c r="AM22" s="24"/>
      <c r="AN22" s="24"/>
      <c r="AO22" s="24"/>
      <c r="AP22" s="24"/>
      <c r="AQ22" s="24"/>
      <c r="AR22" s="24"/>
      <c r="AS22" s="24"/>
      <c r="AT22" s="24"/>
    </row>
    <row r="23" spans="1:46" ht="18.75" x14ac:dyDescent="0.25">
      <c r="A23" s="1"/>
      <c r="B23" s="53">
        <f t="shared" ref="B23" si="2">1+B21</f>
        <v>10</v>
      </c>
      <c r="C23" s="55" t="s">
        <v>11</v>
      </c>
      <c r="D23" s="37">
        <v>46166</v>
      </c>
      <c r="E23" s="38" t="s">
        <v>17</v>
      </c>
      <c r="F23" s="39"/>
      <c r="G23" s="37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37"/>
      <c r="AB23" s="41"/>
      <c r="AC23" s="45"/>
      <c r="AD23" s="45"/>
      <c r="AE23" s="41"/>
      <c r="AF23" s="41"/>
      <c r="AG23" s="41"/>
      <c r="AH23" s="41"/>
      <c r="AI23" s="41"/>
      <c r="AJ23" s="41"/>
      <c r="AK23" s="41"/>
      <c r="AL23" s="47"/>
      <c r="AM23" s="25"/>
      <c r="AN23" s="24"/>
      <c r="AO23" s="24"/>
      <c r="AP23" s="24"/>
      <c r="AQ23" s="24"/>
      <c r="AR23" s="24"/>
      <c r="AS23" s="24"/>
      <c r="AT23" s="24"/>
    </row>
    <row r="24" spans="1:46" ht="18.75" x14ac:dyDescent="0.25">
      <c r="A24" s="1"/>
      <c r="B24" s="54"/>
      <c r="C24" s="56"/>
      <c r="D24" s="37"/>
      <c r="E24" s="38" t="s">
        <v>18</v>
      </c>
      <c r="F24" s="39"/>
      <c r="G24" s="37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5"/>
      <c r="AD24" s="45"/>
      <c r="AE24" s="41"/>
      <c r="AF24" s="41"/>
      <c r="AG24" s="41"/>
      <c r="AH24" s="41"/>
      <c r="AI24" s="41"/>
      <c r="AJ24" s="41"/>
      <c r="AK24" s="41"/>
      <c r="AL24" s="41"/>
      <c r="AM24" s="24"/>
      <c r="AN24" s="24"/>
      <c r="AO24" s="24"/>
      <c r="AP24" s="24"/>
      <c r="AQ24" s="24"/>
      <c r="AR24" s="24"/>
      <c r="AS24" s="24"/>
      <c r="AT24" s="24"/>
    </row>
    <row r="25" spans="1:46" ht="18.75" x14ac:dyDescent="0.25">
      <c r="A25" s="1"/>
      <c r="B25" s="53">
        <v>11</v>
      </c>
      <c r="C25" s="55" t="s">
        <v>12</v>
      </c>
      <c r="D25" s="37">
        <f>+D23+7</f>
        <v>46173</v>
      </c>
      <c r="E25" s="38" t="s">
        <v>17</v>
      </c>
      <c r="F25" s="39"/>
      <c r="G25" s="37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37"/>
      <c r="AC25" s="49"/>
      <c r="AD25" s="45"/>
      <c r="AE25" s="41"/>
      <c r="AF25" s="41"/>
      <c r="AG25" s="41"/>
      <c r="AH25" s="41"/>
      <c r="AI25" s="41"/>
      <c r="AJ25" s="41"/>
      <c r="AK25" s="41"/>
      <c r="AL25" s="47"/>
      <c r="AM25" s="25"/>
      <c r="AN25" s="25"/>
      <c r="AO25" s="52"/>
      <c r="AP25" s="52"/>
      <c r="AQ25" s="52"/>
      <c r="AR25" s="52"/>
      <c r="AS25" s="52"/>
      <c r="AT25" s="52"/>
    </row>
    <row r="26" spans="1:46" ht="18.75" x14ac:dyDescent="0.25">
      <c r="A26" s="1"/>
      <c r="B26" s="54"/>
      <c r="C26" s="56"/>
      <c r="D26" s="37"/>
      <c r="E26" s="38" t="s">
        <v>18</v>
      </c>
      <c r="F26" s="39"/>
      <c r="G26" s="37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5"/>
      <c r="AD26" s="45"/>
      <c r="AE26" s="41"/>
      <c r="AF26" s="41"/>
      <c r="AG26" s="41"/>
      <c r="AH26" s="41"/>
      <c r="AI26" s="41"/>
      <c r="AJ26" s="41"/>
      <c r="AK26" s="41"/>
      <c r="AL26" s="41"/>
      <c r="AM26" s="24"/>
      <c r="AN26" s="24"/>
      <c r="AO26" s="24"/>
      <c r="AP26" s="24"/>
      <c r="AQ26" s="24"/>
      <c r="AR26" s="24"/>
      <c r="AS26" s="24"/>
      <c r="AT26" s="24"/>
    </row>
    <row r="27" spans="1:4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51"/>
      <c r="AD27" s="51"/>
      <c r="AE27" s="1"/>
      <c r="AF27" s="1"/>
      <c r="AG27" s="1"/>
      <c r="AH27" s="1"/>
      <c r="AI27" s="1"/>
      <c r="AJ27" s="1"/>
      <c r="AK27" s="1"/>
      <c r="AL27" s="1"/>
      <c r="AM27" s="1"/>
    </row>
    <row r="28" spans="1:46" x14ac:dyDescent="0.25">
      <c r="A28" s="1"/>
      <c r="B28" s="1" t="s">
        <v>24</v>
      </c>
      <c r="C28" s="1"/>
      <c r="D28" s="1" t="s">
        <v>24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51"/>
      <c r="AD28" s="51"/>
      <c r="AE28" s="1"/>
      <c r="AF28" s="1"/>
      <c r="AG28" s="1"/>
      <c r="AH28" s="1"/>
      <c r="AI28" s="1"/>
      <c r="AJ28" s="1"/>
      <c r="AK28" s="1"/>
      <c r="AL28" s="1"/>
      <c r="AM28" s="1"/>
    </row>
    <row r="29" spans="1:46" x14ac:dyDescent="0.25">
      <c r="A29" s="1"/>
      <c r="B29" s="50" t="s">
        <v>26</v>
      </c>
      <c r="C29" s="1"/>
      <c r="D29" s="50" t="s">
        <v>26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51"/>
      <c r="AD29" s="51"/>
      <c r="AE29" s="1"/>
      <c r="AF29" s="1"/>
      <c r="AG29" s="1"/>
      <c r="AH29" s="1"/>
      <c r="AI29" s="1"/>
      <c r="AJ29" s="1"/>
      <c r="AK29" s="1"/>
      <c r="AL29" s="1"/>
      <c r="AM29" s="1"/>
    </row>
    <row r="30" spans="1:4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51"/>
      <c r="AD30" s="51"/>
      <c r="AE30" s="1"/>
      <c r="AF30" s="1"/>
      <c r="AG30" s="1"/>
      <c r="AH30" s="1"/>
      <c r="AI30" s="1"/>
      <c r="AJ30" s="1"/>
      <c r="AK30" s="1"/>
      <c r="AL30" s="1"/>
      <c r="AM30" s="1"/>
    </row>
    <row r="31" spans="1:4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51"/>
      <c r="AD31" s="51"/>
      <c r="AE31" s="1"/>
      <c r="AF31" s="1"/>
      <c r="AG31" s="1"/>
      <c r="AH31" s="1"/>
      <c r="AI31" s="1"/>
      <c r="AJ31" s="1"/>
      <c r="AK31" s="1"/>
      <c r="AL31" s="1"/>
      <c r="AM31" s="1"/>
    </row>
    <row r="32" spans="1:4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51"/>
      <c r="AD32" s="51"/>
      <c r="AE32" s="1"/>
      <c r="AF32" s="1"/>
      <c r="AG32" s="1"/>
      <c r="AH32" s="1"/>
      <c r="AI32" s="1"/>
      <c r="AJ32" s="1"/>
      <c r="AK32" s="1"/>
      <c r="AL32" s="1"/>
      <c r="AM32" s="1"/>
    </row>
    <row r="33" spans="1:39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51"/>
      <c r="AD33" s="51"/>
      <c r="AE33" s="1"/>
      <c r="AF33" s="1"/>
      <c r="AG33" s="1"/>
      <c r="AH33" s="1"/>
      <c r="AI33" s="1"/>
      <c r="AJ33" s="1"/>
      <c r="AK33" s="1"/>
      <c r="AL33" s="1"/>
      <c r="AM33" s="1"/>
    </row>
    <row r="34" spans="1:39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51"/>
      <c r="AD34" s="51"/>
      <c r="AE34" s="1"/>
      <c r="AF34" s="1"/>
      <c r="AG34" s="1"/>
      <c r="AH34" s="1"/>
      <c r="AI34" s="1"/>
      <c r="AJ34" s="1"/>
      <c r="AK34" s="1"/>
      <c r="AL34" s="1"/>
      <c r="AM34" s="1"/>
    </row>
    <row r="35" spans="1:39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51"/>
      <c r="AD35" s="51"/>
      <c r="AE35" s="1"/>
      <c r="AF35" s="1"/>
      <c r="AG35" s="1"/>
      <c r="AH35" s="1"/>
      <c r="AI35" s="1"/>
      <c r="AJ35" s="1"/>
      <c r="AK35" s="1"/>
      <c r="AL35" s="1"/>
      <c r="AM35" s="1"/>
    </row>
    <row r="36" spans="1:39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51"/>
      <c r="AD36" s="51"/>
      <c r="AE36" s="1"/>
      <c r="AF36" s="1"/>
      <c r="AG36" s="1"/>
      <c r="AH36" s="1"/>
      <c r="AI36" s="1"/>
      <c r="AJ36" s="1"/>
      <c r="AK36" s="1"/>
      <c r="AL36" s="1"/>
      <c r="AM36" s="1"/>
    </row>
    <row r="37" spans="1:39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51"/>
      <c r="AD37" s="51"/>
      <c r="AE37" s="1"/>
      <c r="AF37" s="1"/>
      <c r="AG37" s="1"/>
      <c r="AH37" s="1"/>
      <c r="AI37" s="1"/>
      <c r="AJ37" s="1"/>
      <c r="AK37" s="1"/>
      <c r="AL37" s="1"/>
      <c r="AM37" s="1"/>
    </row>
  </sheetData>
  <mergeCells count="23">
    <mergeCell ref="B9:B10"/>
    <mergeCell ref="C9:C10"/>
    <mergeCell ref="AK2:AM2"/>
    <mergeCell ref="B5:B6"/>
    <mergeCell ref="C5:C6"/>
    <mergeCell ref="B7:B8"/>
    <mergeCell ref="C7:C8"/>
    <mergeCell ref="B11:B12"/>
    <mergeCell ref="C11:C12"/>
    <mergeCell ref="B13:B14"/>
    <mergeCell ref="C13:C14"/>
    <mergeCell ref="B15:B16"/>
    <mergeCell ref="C15:C16"/>
    <mergeCell ref="B23:B24"/>
    <mergeCell ref="C23:C24"/>
    <mergeCell ref="B25:B26"/>
    <mergeCell ref="C25:C26"/>
    <mergeCell ref="B17:B18"/>
    <mergeCell ref="C17:C18"/>
    <mergeCell ref="B19:B20"/>
    <mergeCell ref="C19:C20"/>
    <mergeCell ref="B21:B22"/>
    <mergeCell ref="C21:C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30"/>
  <sheetViews>
    <sheetView tabSelected="1" topLeftCell="T14" workbookViewId="0">
      <selection activeCell="AQ44" sqref="AQ44"/>
    </sheetView>
  </sheetViews>
  <sheetFormatPr defaultRowHeight="15" x14ac:dyDescent="0.25"/>
  <cols>
    <col min="4" max="4" width="34.28515625" customWidth="1"/>
  </cols>
  <sheetData>
    <row r="1" spans="1:48" ht="23.25" x14ac:dyDescent="0.25">
      <c r="A1" s="23"/>
      <c r="B1" s="27" t="s">
        <v>23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8"/>
      <c r="AD1" s="28"/>
      <c r="AE1" s="27"/>
      <c r="AF1" s="27"/>
      <c r="AG1" s="27"/>
      <c r="AH1" s="27"/>
      <c r="AI1" s="27"/>
      <c r="AJ1" s="27"/>
      <c r="AK1" s="27"/>
      <c r="AL1" s="27"/>
      <c r="AM1" s="27"/>
      <c r="AN1" s="23"/>
    </row>
    <row r="2" spans="1:48" ht="23.25" x14ac:dyDescent="0.25">
      <c r="A2" s="23"/>
      <c r="B2" s="27" t="s">
        <v>13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8"/>
      <c r="AD2" s="28"/>
      <c r="AE2" s="27"/>
      <c r="AF2" s="27"/>
      <c r="AG2" s="27"/>
      <c r="AH2" s="27" t="s">
        <v>22</v>
      </c>
      <c r="AI2" s="27"/>
      <c r="AJ2" s="23"/>
      <c r="AK2" s="57">
        <v>46092</v>
      </c>
      <c r="AL2" s="57"/>
      <c r="AM2" s="57"/>
      <c r="AN2" s="23"/>
    </row>
    <row r="3" spans="1:48" ht="24" thickBot="1" x14ac:dyDescent="0.3">
      <c r="A3" s="23"/>
      <c r="B3" s="27" t="s">
        <v>14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8"/>
      <c r="AD3" s="28"/>
      <c r="AE3" s="27"/>
      <c r="AF3" s="27"/>
      <c r="AG3" s="27"/>
      <c r="AH3" s="27"/>
      <c r="AI3" s="27"/>
      <c r="AJ3" s="27"/>
      <c r="AK3" s="27"/>
      <c r="AL3" s="27"/>
      <c r="AM3" s="27"/>
      <c r="AN3" s="23"/>
    </row>
    <row r="4" spans="1:48" ht="78" x14ac:dyDescent="0.25">
      <c r="A4" s="1"/>
      <c r="B4" s="29" t="s">
        <v>0</v>
      </c>
      <c r="C4" s="30" t="s">
        <v>1</v>
      </c>
      <c r="D4" s="31" t="s">
        <v>6</v>
      </c>
      <c r="E4" s="32"/>
      <c r="F4" s="33"/>
      <c r="G4" s="34">
        <f>H4-14</f>
        <v>45948</v>
      </c>
      <c r="H4" s="34">
        <v>45962</v>
      </c>
      <c r="I4" s="34">
        <f>H4+7</f>
        <v>45969</v>
      </c>
      <c r="J4" s="34">
        <f t="shared" ref="J4:U4" si="0">I4+7</f>
        <v>45976</v>
      </c>
      <c r="K4" s="34">
        <f t="shared" si="0"/>
        <v>45983</v>
      </c>
      <c r="L4" s="34">
        <f t="shared" si="0"/>
        <v>45990</v>
      </c>
      <c r="M4" s="34">
        <f t="shared" si="0"/>
        <v>45997</v>
      </c>
      <c r="N4" s="34">
        <f t="shared" si="0"/>
        <v>46004</v>
      </c>
      <c r="O4" s="34">
        <f t="shared" si="0"/>
        <v>46011</v>
      </c>
      <c r="P4" s="34">
        <f t="shared" si="0"/>
        <v>46018</v>
      </c>
      <c r="Q4" s="34">
        <f t="shared" si="0"/>
        <v>46025</v>
      </c>
      <c r="R4" s="34">
        <f t="shared" si="0"/>
        <v>46032</v>
      </c>
      <c r="S4" s="34">
        <f t="shared" si="0"/>
        <v>46039</v>
      </c>
      <c r="T4" s="34">
        <f t="shared" si="0"/>
        <v>46046</v>
      </c>
      <c r="U4" s="34">
        <f t="shared" si="0"/>
        <v>46053</v>
      </c>
      <c r="V4" s="35">
        <v>46054</v>
      </c>
      <c r="W4" s="35">
        <f>7+V4</f>
        <v>46061</v>
      </c>
      <c r="X4" s="35">
        <f t="shared" ref="X4:AV4" si="1">7+W4</f>
        <v>46068</v>
      </c>
      <c r="Y4" s="35">
        <f t="shared" si="1"/>
        <v>46075</v>
      </c>
      <c r="Z4" s="35">
        <f t="shared" si="1"/>
        <v>46082</v>
      </c>
      <c r="AA4" s="35">
        <f t="shared" si="1"/>
        <v>46089</v>
      </c>
      <c r="AB4" s="35">
        <f t="shared" si="1"/>
        <v>46096</v>
      </c>
      <c r="AC4" s="36">
        <f t="shared" si="1"/>
        <v>46103</v>
      </c>
      <c r="AD4" s="36">
        <f t="shared" si="1"/>
        <v>46110</v>
      </c>
      <c r="AE4" s="35">
        <f t="shared" si="1"/>
        <v>46117</v>
      </c>
      <c r="AF4" s="35">
        <f t="shared" si="1"/>
        <v>46124</v>
      </c>
      <c r="AG4" s="35">
        <f t="shared" si="1"/>
        <v>46131</v>
      </c>
      <c r="AH4" s="35">
        <f t="shared" si="1"/>
        <v>46138</v>
      </c>
      <c r="AI4" s="35">
        <f t="shared" si="1"/>
        <v>46145</v>
      </c>
      <c r="AJ4" s="35">
        <f t="shared" si="1"/>
        <v>46152</v>
      </c>
      <c r="AK4" s="35">
        <f t="shared" si="1"/>
        <v>46159</v>
      </c>
      <c r="AL4" s="35">
        <f t="shared" si="1"/>
        <v>46166</v>
      </c>
      <c r="AM4" s="5">
        <f t="shared" si="1"/>
        <v>46173</v>
      </c>
      <c r="AN4" s="5">
        <f t="shared" si="1"/>
        <v>46180</v>
      </c>
      <c r="AO4" s="5">
        <f t="shared" si="1"/>
        <v>46187</v>
      </c>
      <c r="AP4" s="5">
        <f t="shared" si="1"/>
        <v>46194</v>
      </c>
      <c r="AQ4" s="5">
        <f t="shared" si="1"/>
        <v>46201</v>
      </c>
      <c r="AR4" s="5">
        <f t="shared" si="1"/>
        <v>46208</v>
      </c>
      <c r="AS4" s="5">
        <f t="shared" si="1"/>
        <v>46215</v>
      </c>
      <c r="AT4" s="5">
        <f t="shared" si="1"/>
        <v>46222</v>
      </c>
      <c r="AU4" s="5">
        <f t="shared" si="1"/>
        <v>46229</v>
      </c>
      <c r="AV4" s="5">
        <f t="shared" si="1"/>
        <v>46236</v>
      </c>
    </row>
    <row r="5" spans="1:48" ht="18.75" x14ac:dyDescent="0.25">
      <c r="A5" s="1"/>
      <c r="B5" s="53">
        <v>1</v>
      </c>
      <c r="C5" s="55" t="s">
        <v>3</v>
      </c>
      <c r="D5" s="37">
        <v>45962</v>
      </c>
      <c r="E5" s="38" t="s">
        <v>17</v>
      </c>
      <c r="F5" s="39"/>
      <c r="G5" s="40"/>
      <c r="H5" s="40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2"/>
      <c r="AD5" s="42"/>
      <c r="AE5" s="43"/>
      <c r="AF5" s="43"/>
      <c r="AG5" s="43"/>
      <c r="AH5" s="43"/>
      <c r="AI5" s="43"/>
      <c r="AJ5" s="43"/>
      <c r="AK5" s="43"/>
      <c r="AL5" s="43"/>
      <c r="AM5" s="26"/>
      <c r="AN5" s="26"/>
      <c r="AO5" s="26"/>
      <c r="AP5" s="26"/>
      <c r="AQ5" s="26"/>
      <c r="AR5" s="26"/>
      <c r="AS5" s="26"/>
      <c r="AT5" s="26"/>
      <c r="AU5" s="26"/>
      <c r="AV5" s="26"/>
    </row>
    <row r="6" spans="1:48" ht="18.75" x14ac:dyDescent="0.25">
      <c r="A6" s="1"/>
      <c r="B6" s="54"/>
      <c r="C6" s="56"/>
      <c r="D6" s="37"/>
      <c r="E6" s="38" t="s">
        <v>18</v>
      </c>
      <c r="F6" s="39"/>
      <c r="G6" s="44" t="s">
        <v>19</v>
      </c>
      <c r="H6" s="44" t="s">
        <v>19</v>
      </c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5"/>
      <c r="AD6" s="45"/>
      <c r="AE6" s="41"/>
      <c r="AF6" s="41"/>
      <c r="AG6" s="41"/>
      <c r="AH6" s="41"/>
      <c r="AI6" s="41"/>
      <c r="AJ6" s="41"/>
      <c r="AK6" s="41"/>
      <c r="AL6" s="41"/>
      <c r="AM6" s="24"/>
      <c r="AN6" s="24"/>
      <c r="AO6" s="24"/>
      <c r="AP6" s="24"/>
      <c r="AQ6" s="24"/>
      <c r="AR6" s="24"/>
      <c r="AS6" s="24"/>
      <c r="AT6" s="24"/>
      <c r="AU6" s="24"/>
      <c r="AV6" s="24"/>
    </row>
    <row r="7" spans="1:48" ht="18.75" x14ac:dyDescent="0.25">
      <c r="A7" s="1"/>
      <c r="B7" s="53">
        <v>2</v>
      </c>
      <c r="C7" s="55" t="s">
        <v>4</v>
      </c>
      <c r="D7" s="37">
        <f>D5+14</f>
        <v>45976</v>
      </c>
      <c r="E7" s="38" t="s">
        <v>17</v>
      </c>
      <c r="F7" s="39"/>
      <c r="G7" s="37"/>
      <c r="H7" s="40"/>
      <c r="I7" s="40"/>
      <c r="J7" s="40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5"/>
      <c r="AD7" s="45"/>
      <c r="AE7" s="41"/>
      <c r="AF7" s="41"/>
      <c r="AG7" s="41"/>
      <c r="AH7" s="41"/>
      <c r="AI7" s="41"/>
      <c r="AJ7" s="41"/>
      <c r="AK7" s="41"/>
      <c r="AL7" s="41"/>
      <c r="AM7" s="24"/>
      <c r="AN7" s="24"/>
      <c r="AO7" s="24"/>
      <c r="AP7" s="24"/>
      <c r="AQ7" s="24"/>
      <c r="AR7" s="24"/>
      <c r="AS7" s="24"/>
      <c r="AT7" s="24"/>
      <c r="AU7" s="24"/>
      <c r="AV7" s="24"/>
    </row>
    <row r="8" spans="1:48" ht="18.75" x14ac:dyDescent="0.25">
      <c r="A8" s="1"/>
      <c r="B8" s="54"/>
      <c r="C8" s="56"/>
      <c r="D8" s="37"/>
      <c r="E8" s="38" t="s">
        <v>18</v>
      </c>
      <c r="F8" s="39"/>
      <c r="G8" s="37"/>
      <c r="H8" s="44" t="s">
        <v>19</v>
      </c>
      <c r="I8" s="44" t="s">
        <v>19</v>
      </c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5"/>
      <c r="AD8" s="45"/>
      <c r="AE8" s="41"/>
      <c r="AF8" s="41"/>
      <c r="AG8" s="41"/>
      <c r="AH8" s="41"/>
      <c r="AI8" s="41"/>
      <c r="AJ8" s="41"/>
      <c r="AK8" s="41"/>
      <c r="AL8" s="41"/>
      <c r="AM8" s="24"/>
      <c r="AN8" s="24"/>
      <c r="AO8" s="24"/>
      <c r="AP8" s="24"/>
      <c r="AQ8" s="24"/>
      <c r="AR8" s="24"/>
      <c r="AS8" s="24"/>
      <c r="AT8" s="24"/>
      <c r="AU8" s="24"/>
      <c r="AV8" s="24"/>
    </row>
    <row r="9" spans="1:48" ht="18.75" x14ac:dyDescent="0.25">
      <c r="A9" s="1"/>
      <c r="B9" s="53">
        <v>3</v>
      </c>
      <c r="C9" s="55" t="s">
        <v>5</v>
      </c>
      <c r="D9" s="37">
        <f>D7+14</f>
        <v>45990</v>
      </c>
      <c r="E9" s="38" t="s">
        <v>17</v>
      </c>
      <c r="F9" s="39"/>
      <c r="G9" s="37"/>
      <c r="H9" s="41"/>
      <c r="I9" s="41"/>
      <c r="J9" s="40"/>
      <c r="K9" s="40"/>
      <c r="L9" s="40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5"/>
      <c r="AD9" s="45"/>
      <c r="AE9" s="41"/>
      <c r="AF9" s="41"/>
      <c r="AG9" s="41"/>
      <c r="AH9" s="41"/>
      <c r="AI9" s="41"/>
      <c r="AJ9" s="41"/>
      <c r="AK9" s="41"/>
      <c r="AL9" s="41"/>
      <c r="AM9" s="24"/>
      <c r="AN9" s="24"/>
      <c r="AO9" s="24"/>
      <c r="AP9" s="24"/>
      <c r="AQ9" s="24"/>
      <c r="AR9" s="24"/>
      <c r="AS9" s="24"/>
      <c r="AT9" s="24"/>
      <c r="AU9" s="24"/>
      <c r="AV9" s="24"/>
    </row>
    <row r="10" spans="1:48" ht="18.75" x14ac:dyDescent="0.25">
      <c r="A10" s="1"/>
      <c r="B10" s="54"/>
      <c r="C10" s="56"/>
      <c r="D10" s="37"/>
      <c r="E10" s="38" t="s">
        <v>18</v>
      </c>
      <c r="F10" s="39"/>
      <c r="G10" s="37"/>
      <c r="H10" s="41"/>
      <c r="I10" s="41"/>
      <c r="J10" s="44" t="s">
        <v>19</v>
      </c>
      <c r="K10" s="44" t="s">
        <v>19</v>
      </c>
      <c r="L10" s="44" t="s">
        <v>19</v>
      </c>
      <c r="M10" s="44" t="s">
        <v>19</v>
      </c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5"/>
      <c r="AD10" s="45"/>
      <c r="AE10" s="41"/>
      <c r="AF10" s="41"/>
      <c r="AG10" s="41"/>
      <c r="AH10" s="41"/>
      <c r="AI10" s="41"/>
      <c r="AJ10" s="41"/>
      <c r="AK10" s="41"/>
      <c r="AL10" s="41"/>
      <c r="AM10" s="24"/>
      <c r="AN10" s="24"/>
      <c r="AO10" s="24"/>
      <c r="AP10" s="24"/>
      <c r="AQ10" s="24"/>
      <c r="AR10" s="24"/>
      <c r="AS10" s="24"/>
      <c r="AT10" s="24"/>
      <c r="AU10" s="24"/>
      <c r="AV10" s="24"/>
    </row>
    <row r="11" spans="1:48" ht="18.75" x14ac:dyDescent="0.25">
      <c r="A11" s="1" t="s">
        <v>16</v>
      </c>
      <c r="B11" s="53">
        <v>4</v>
      </c>
      <c r="C11" s="55" t="s">
        <v>2</v>
      </c>
      <c r="D11" s="37">
        <f>D9+14</f>
        <v>46004</v>
      </c>
      <c r="E11" s="38" t="s">
        <v>17</v>
      </c>
      <c r="F11" s="39"/>
      <c r="G11" s="37"/>
      <c r="H11" s="41"/>
      <c r="I11" s="41"/>
      <c r="J11" s="41"/>
      <c r="K11" s="41"/>
      <c r="L11" s="40"/>
      <c r="M11" s="40"/>
      <c r="N11" s="40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5"/>
      <c r="AD11" s="45"/>
      <c r="AE11" s="41"/>
      <c r="AF11" s="41"/>
      <c r="AG11" s="41"/>
      <c r="AH11" s="41"/>
      <c r="AI11" s="41"/>
      <c r="AJ11" s="41"/>
      <c r="AK11" s="41"/>
      <c r="AL11" s="41"/>
      <c r="AM11" s="24"/>
      <c r="AN11" s="24"/>
      <c r="AO11" s="24"/>
      <c r="AP11" s="24"/>
      <c r="AQ11" s="24"/>
      <c r="AR11" s="24"/>
      <c r="AS11" s="24"/>
      <c r="AT11" s="24"/>
      <c r="AU11" s="24"/>
      <c r="AV11" s="24"/>
    </row>
    <row r="12" spans="1:48" ht="18.75" x14ac:dyDescent="0.25">
      <c r="A12" s="1"/>
      <c r="B12" s="54"/>
      <c r="C12" s="56"/>
      <c r="D12" s="37"/>
      <c r="E12" s="38" t="s">
        <v>18</v>
      </c>
      <c r="F12" s="39"/>
      <c r="G12" s="37"/>
      <c r="H12" s="41"/>
      <c r="I12" s="41"/>
      <c r="J12" s="41"/>
      <c r="K12" s="41"/>
      <c r="L12" s="44" t="s">
        <v>19</v>
      </c>
      <c r="M12" s="44" t="s">
        <v>19</v>
      </c>
      <c r="N12" s="44" t="s">
        <v>19</v>
      </c>
      <c r="O12" s="44" t="s">
        <v>19</v>
      </c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5"/>
      <c r="AD12" s="45"/>
      <c r="AE12" s="41"/>
      <c r="AF12" s="41"/>
      <c r="AG12" s="41"/>
      <c r="AH12" s="41"/>
      <c r="AI12" s="41"/>
      <c r="AJ12" s="41"/>
      <c r="AK12" s="41"/>
      <c r="AL12" s="41"/>
      <c r="AM12" s="24"/>
      <c r="AN12" s="24"/>
      <c r="AO12" s="24"/>
      <c r="AP12" s="24"/>
      <c r="AQ12" s="24"/>
      <c r="AR12" s="24"/>
      <c r="AS12" s="24"/>
      <c r="AT12" s="24"/>
      <c r="AU12" s="24"/>
      <c r="AV12" s="24"/>
    </row>
    <row r="13" spans="1:48" ht="18.75" x14ac:dyDescent="0.25">
      <c r="A13" s="1"/>
      <c r="B13" s="53">
        <v>5</v>
      </c>
      <c r="C13" s="55" t="s">
        <v>21</v>
      </c>
      <c r="D13" s="37">
        <f>+D15-7</f>
        <v>46076</v>
      </c>
      <c r="E13" s="38" t="s">
        <v>17</v>
      </c>
      <c r="F13" s="39"/>
      <c r="G13" s="37"/>
      <c r="H13" s="41"/>
      <c r="I13" s="41"/>
      <c r="J13" s="41"/>
      <c r="K13" s="41"/>
      <c r="L13" s="41"/>
      <c r="M13" s="41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1"/>
      <c r="AA13" s="41"/>
      <c r="AB13" s="41"/>
      <c r="AC13" s="45"/>
      <c r="AD13" s="45"/>
      <c r="AE13" s="41"/>
      <c r="AF13" s="41"/>
      <c r="AG13" s="41"/>
      <c r="AH13" s="41"/>
      <c r="AI13" s="41"/>
      <c r="AJ13" s="41"/>
      <c r="AK13" s="41"/>
      <c r="AL13" s="41"/>
      <c r="AM13" s="24"/>
      <c r="AN13" s="24"/>
      <c r="AO13" s="24"/>
      <c r="AP13" s="24"/>
      <c r="AQ13" s="24"/>
      <c r="AR13" s="24"/>
      <c r="AS13" s="24"/>
      <c r="AT13" s="24"/>
      <c r="AU13" s="24"/>
      <c r="AV13" s="24"/>
    </row>
    <row r="14" spans="1:48" ht="18.75" x14ac:dyDescent="0.25">
      <c r="A14" s="1"/>
      <c r="B14" s="54"/>
      <c r="C14" s="56"/>
      <c r="D14" s="37"/>
      <c r="E14" s="38" t="s">
        <v>18</v>
      </c>
      <c r="F14" s="39"/>
      <c r="G14" s="37"/>
      <c r="H14" s="41"/>
      <c r="I14" s="41"/>
      <c r="J14" s="41"/>
      <c r="K14" s="41"/>
      <c r="L14" s="41"/>
      <c r="M14" s="41"/>
      <c r="N14" s="41"/>
      <c r="O14" s="41"/>
      <c r="P14" s="46" t="s">
        <v>20</v>
      </c>
      <c r="Q14" s="46" t="s">
        <v>20</v>
      </c>
      <c r="R14" s="46" t="s">
        <v>20</v>
      </c>
      <c r="S14" s="46" t="s">
        <v>20</v>
      </c>
      <c r="T14" s="46" t="s">
        <v>20</v>
      </c>
      <c r="U14" s="46" t="s">
        <v>20</v>
      </c>
      <c r="V14" s="46" t="s">
        <v>20</v>
      </c>
      <c r="W14" s="46" t="s">
        <v>20</v>
      </c>
      <c r="X14" s="46" t="s">
        <v>20</v>
      </c>
      <c r="Y14" s="44" t="s">
        <v>19</v>
      </c>
      <c r="Z14" s="41"/>
      <c r="AA14" s="41"/>
      <c r="AB14" s="41"/>
      <c r="AC14" s="45"/>
      <c r="AD14" s="45"/>
      <c r="AE14" s="41"/>
      <c r="AF14" s="41"/>
      <c r="AG14" s="41"/>
      <c r="AH14" s="41"/>
      <c r="AI14" s="41"/>
      <c r="AJ14" s="41"/>
      <c r="AK14" s="41"/>
      <c r="AL14" s="41"/>
      <c r="AM14" s="24"/>
      <c r="AN14" s="24"/>
      <c r="AO14" s="24"/>
      <c r="AP14" s="24"/>
      <c r="AQ14" s="24"/>
      <c r="AR14" s="24"/>
      <c r="AS14" s="24"/>
      <c r="AT14" s="24"/>
      <c r="AU14" s="24"/>
      <c r="AV14" s="24"/>
    </row>
    <row r="15" spans="1:48" ht="18.75" x14ac:dyDescent="0.25">
      <c r="A15" s="1"/>
      <c r="B15" s="53">
        <v>6</v>
      </c>
      <c r="C15" s="55" t="s">
        <v>7</v>
      </c>
      <c r="D15" s="37">
        <v>46083</v>
      </c>
      <c r="E15" s="38" t="s">
        <v>17</v>
      </c>
      <c r="F15" s="39"/>
      <c r="G15" s="37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37"/>
      <c r="W15" s="37"/>
      <c r="X15" s="37"/>
      <c r="Y15" s="41"/>
      <c r="Z15" s="47"/>
      <c r="AA15" s="47"/>
      <c r="AB15" s="47"/>
      <c r="AC15" s="45"/>
      <c r="AD15" s="45"/>
      <c r="AE15" s="47"/>
      <c r="AF15" s="47"/>
      <c r="AG15" s="47"/>
      <c r="AH15" s="47"/>
      <c r="AI15" s="47"/>
      <c r="AJ15" s="47"/>
      <c r="AK15" s="47"/>
      <c r="AL15" s="47"/>
      <c r="AM15" s="25"/>
      <c r="AN15" s="25"/>
      <c r="AO15" s="25"/>
      <c r="AP15" s="24"/>
      <c r="AQ15" s="24"/>
      <c r="AR15" s="24"/>
      <c r="AS15" s="24"/>
      <c r="AT15" s="24"/>
      <c r="AU15" s="24"/>
      <c r="AV15" s="24"/>
    </row>
    <row r="16" spans="1:48" ht="18.75" x14ac:dyDescent="0.25">
      <c r="A16" s="1"/>
      <c r="B16" s="54"/>
      <c r="C16" s="56"/>
      <c r="D16" s="37"/>
      <c r="E16" s="38" t="s">
        <v>18</v>
      </c>
      <c r="F16" s="39"/>
      <c r="G16" s="37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5"/>
      <c r="AD16" s="45"/>
      <c r="AE16" s="41"/>
      <c r="AF16" s="41"/>
      <c r="AG16" s="41"/>
      <c r="AH16" s="41"/>
      <c r="AI16" s="41"/>
      <c r="AJ16" s="41"/>
      <c r="AK16" s="41"/>
      <c r="AL16" s="41"/>
      <c r="AM16" s="24"/>
      <c r="AN16" s="24"/>
      <c r="AO16" s="24"/>
      <c r="AP16" s="24"/>
      <c r="AQ16" s="24"/>
      <c r="AR16" s="24"/>
      <c r="AS16" s="24"/>
      <c r="AT16" s="24"/>
      <c r="AU16" s="24"/>
      <c r="AV16" s="24"/>
    </row>
    <row r="17" spans="1:48" ht="18.75" x14ac:dyDescent="0.25">
      <c r="A17" s="1"/>
      <c r="B17" s="53">
        <f>1+B15</f>
        <v>7</v>
      </c>
      <c r="C17" s="55" t="s">
        <v>8</v>
      </c>
      <c r="D17" s="37">
        <v>46131</v>
      </c>
      <c r="E17" s="38" t="s">
        <v>17</v>
      </c>
      <c r="F17" s="39"/>
      <c r="G17" s="37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37"/>
      <c r="Y17" s="37"/>
      <c r="Z17" s="41"/>
      <c r="AA17" s="41"/>
      <c r="AB17" s="41"/>
      <c r="AC17" s="45"/>
      <c r="AD17" s="45"/>
      <c r="AE17" s="41"/>
      <c r="AF17" s="41"/>
      <c r="AG17" s="47"/>
      <c r="AH17" s="47"/>
      <c r="AI17" s="47"/>
      <c r="AJ17" s="47"/>
      <c r="AK17" s="47"/>
      <c r="AL17" s="47"/>
      <c r="AM17" s="25"/>
      <c r="AN17" s="25"/>
      <c r="AO17" s="24"/>
      <c r="AP17" s="24"/>
      <c r="AQ17" s="24"/>
      <c r="AR17" s="24"/>
      <c r="AS17" s="24"/>
      <c r="AT17" s="24"/>
      <c r="AU17" s="24"/>
      <c r="AV17" s="24"/>
    </row>
    <row r="18" spans="1:48" ht="18.75" x14ac:dyDescent="0.25">
      <c r="A18" s="1"/>
      <c r="B18" s="54"/>
      <c r="C18" s="56"/>
      <c r="D18" s="37"/>
      <c r="E18" s="38" t="s">
        <v>18</v>
      </c>
      <c r="F18" s="39"/>
      <c r="G18" s="37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8">
        <v>0.5</v>
      </c>
      <c r="AC18" s="45"/>
      <c r="AD18" s="45"/>
      <c r="AE18" s="41"/>
      <c r="AF18" s="41"/>
      <c r="AG18" s="41"/>
      <c r="AH18" s="41"/>
      <c r="AI18" s="41"/>
      <c r="AJ18" s="41"/>
      <c r="AK18" s="41"/>
      <c r="AL18" s="41"/>
      <c r="AM18" s="24"/>
      <c r="AN18" s="24"/>
      <c r="AO18" s="24"/>
      <c r="AP18" s="24"/>
      <c r="AQ18" s="24"/>
      <c r="AR18" s="24"/>
      <c r="AS18" s="24"/>
      <c r="AT18" s="24"/>
      <c r="AU18" s="24"/>
      <c r="AV18" s="24"/>
    </row>
    <row r="19" spans="1:48" ht="18.75" x14ac:dyDescent="0.25">
      <c r="A19" s="1"/>
      <c r="B19" s="53">
        <v>8</v>
      </c>
      <c r="C19" s="55" t="s">
        <v>9</v>
      </c>
      <c r="D19" s="37">
        <v>46152</v>
      </c>
      <c r="E19" s="38" t="s">
        <v>17</v>
      </c>
      <c r="F19" s="39"/>
      <c r="G19" s="37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37"/>
      <c r="Z19" s="37"/>
      <c r="AA19" s="41"/>
      <c r="AB19" s="41"/>
      <c r="AC19" s="45"/>
      <c r="AD19" s="45"/>
      <c r="AE19" s="41"/>
      <c r="AF19" s="41"/>
      <c r="AG19" s="41"/>
      <c r="AH19" s="41"/>
      <c r="AI19" s="41"/>
      <c r="AJ19" s="47"/>
      <c r="AK19" s="47"/>
      <c r="AL19" s="47"/>
      <c r="AM19" s="25"/>
      <c r="AN19" s="24"/>
      <c r="AO19" s="24"/>
      <c r="AP19" s="24"/>
      <c r="AQ19" s="24"/>
      <c r="AR19" s="24"/>
      <c r="AS19" s="24"/>
      <c r="AT19" s="24"/>
      <c r="AU19" s="24"/>
      <c r="AV19" s="24"/>
    </row>
    <row r="20" spans="1:48" ht="18.75" x14ac:dyDescent="0.25">
      <c r="A20" s="1"/>
      <c r="B20" s="54"/>
      <c r="C20" s="56"/>
      <c r="D20" s="37"/>
      <c r="E20" s="38" t="s">
        <v>18</v>
      </c>
      <c r="F20" s="39"/>
      <c r="G20" s="37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5"/>
      <c r="AD20" s="45"/>
      <c r="AE20" s="41"/>
      <c r="AF20" s="41"/>
      <c r="AG20" s="41"/>
      <c r="AH20" s="41"/>
      <c r="AI20" s="41"/>
      <c r="AJ20" s="41"/>
      <c r="AK20" s="41"/>
      <c r="AL20" s="41"/>
      <c r="AM20" s="24"/>
      <c r="AN20" s="24"/>
      <c r="AO20" s="24"/>
      <c r="AP20" s="24"/>
      <c r="AQ20" s="24"/>
      <c r="AR20" s="24"/>
      <c r="AS20" s="24"/>
      <c r="AT20" s="24"/>
      <c r="AU20" s="24"/>
      <c r="AV20" s="24"/>
    </row>
    <row r="21" spans="1:48" ht="18.75" x14ac:dyDescent="0.25">
      <c r="A21" s="1"/>
      <c r="B21" s="53">
        <v>9</v>
      </c>
      <c r="C21" s="55" t="s">
        <v>10</v>
      </c>
      <c r="D21" s="37">
        <v>46152</v>
      </c>
      <c r="E21" s="38" t="s">
        <v>17</v>
      </c>
      <c r="F21" s="39"/>
      <c r="G21" s="37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37"/>
      <c r="Z21" s="37"/>
      <c r="AA21" s="41"/>
      <c r="AB21" s="41"/>
      <c r="AC21" s="45"/>
      <c r="AD21" s="45"/>
      <c r="AE21" s="41"/>
      <c r="AF21" s="41"/>
      <c r="AG21" s="41"/>
      <c r="AH21" s="41"/>
      <c r="AI21" s="41"/>
      <c r="AJ21" s="47"/>
      <c r="AK21" s="47"/>
      <c r="AL21" s="47"/>
      <c r="AM21" s="25"/>
      <c r="AN21" s="25"/>
      <c r="AO21" s="25"/>
      <c r="AP21" s="24"/>
      <c r="AQ21" s="24"/>
      <c r="AR21" s="24"/>
      <c r="AS21" s="24"/>
      <c r="AT21" s="24"/>
      <c r="AU21" s="24"/>
      <c r="AV21" s="24"/>
    </row>
    <row r="22" spans="1:48" ht="18.75" x14ac:dyDescent="0.25">
      <c r="A22" s="1"/>
      <c r="B22" s="54"/>
      <c r="C22" s="56"/>
      <c r="D22" s="37"/>
      <c r="E22" s="38" t="s">
        <v>18</v>
      </c>
      <c r="F22" s="39"/>
      <c r="G22" s="37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5"/>
      <c r="AD22" s="45"/>
      <c r="AE22" s="41"/>
      <c r="AF22" s="41"/>
      <c r="AG22" s="41"/>
      <c r="AH22" s="41"/>
      <c r="AI22" s="41"/>
      <c r="AJ22" s="41"/>
      <c r="AK22" s="41"/>
      <c r="AL22" s="41"/>
      <c r="AM22" s="24"/>
      <c r="AN22" s="24"/>
      <c r="AO22" s="24"/>
      <c r="AP22" s="24"/>
      <c r="AQ22" s="24"/>
      <c r="AR22" s="24"/>
      <c r="AS22" s="24"/>
      <c r="AT22" s="24"/>
      <c r="AU22" s="24"/>
      <c r="AV22" s="24"/>
    </row>
    <row r="23" spans="1:48" ht="18.75" x14ac:dyDescent="0.25">
      <c r="A23" s="1"/>
      <c r="B23" s="53">
        <f t="shared" ref="B23" si="2">1+B21</f>
        <v>10</v>
      </c>
      <c r="C23" s="55" t="s">
        <v>11</v>
      </c>
      <c r="D23" s="37">
        <v>46166</v>
      </c>
      <c r="E23" s="38" t="s">
        <v>17</v>
      </c>
      <c r="F23" s="39"/>
      <c r="G23" s="37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37"/>
      <c r="AB23" s="41"/>
      <c r="AC23" s="45"/>
      <c r="AD23" s="45"/>
      <c r="AE23" s="41"/>
      <c r="AF23" s="41"/>
      <c r="AG23" s="41"/>
      <c r="AH23" s="41"/>
      <c r="AI23" s="41"/>
      <c r="AJ23" s="41"/>
      <c r="AK23" s="41"/>
      <c r="AL23" s="47"/>
      <c r="AM23" s="25"/>
      <c r="AN23" s="24"/>
      <c r="AO23" s="24"/>
      <c r="AP23" s="24"/>
      <c r="AQ23" s="24"/>
      <c r="AR23" s="24"/>
      <c r="AS23" s="24"/>
      <c r="AT23" s="24"/>
      <c r="AU23" s="24"/>
      <c r="AV23" s="24"/>
    </row>
    <row r="24" spans="1:48" ht="19.5" customHeight="1" x14ac:dyDescent="0.25">
      <c r="A24" s="1"/>
      <c r="B24" s="54"/>
      <c r="C24" s="56"/>
      <c r="D24" s="37"/>
      <c r="E24" s="38" t="s">
        <v>18</v>
      </c>
      <c r="F24" s="39"/>
      <c r="G24" s="37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5"/>
      <c r="AD24" s="45"/>
      <c r="AE24" s="41"/>
      <c r="AF24" s="41"/>
      <c r="AG24" s="41"/>
      <c r="AH24" s="41"/>
      <c r="AI24" s="41"/>
      <c r="AJ24" s="41"/>
      <c r="AK24" s="41"/>
      <c r="AL24" s="41"/>
      <c r="AM24" s="24"/>
      <c r="AN24" s="24"/>
      <c r="AO24" s="24"/>
      <c r="AP24" s="24"/>
      <c r="AQ24" s="24"/>
      <c r="AR24" s="24"/>
      <c r="AS24" s="24"/>
      <c r="AT24" s="24"/>
      <c r="AU24" s="24"/>
      <c r="AV24" s="24"/>
    </row>
    <row r="25" spans="1:48" ht="18.75" x14ac:dyDescent="0.25">
      <c r="A25" s="1"/>
      <c r="B25" s="53">
        <v>11</v>
      </c>
      <c r="C25" s="55" t="s">
        <v>12</v>
      </c>
      <c r="D25" s="37">
        <f>+D23+7</f>
        <v>46173</v>
      </c>
      <c r="E25" s="38" t="s">
        <v>17</v>
      </c>
      <c r="F25" s="39"/>
      <c r="G25" s="37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37"/>
      <c r="AC25" s="49"/>
      <c r="AD25" s="45"/>
      <c r="AE25" s="41"/>
      <c r="AF25" s="41"/>
      <c r="AG25" s="41"/>
      <c r="AH25" s="41"/>
      <c r="AI25" s="41"/>
      <c r="AJ25" s="41"/>
      <c r="AK25" s="41"/>
      <c r="AL25" s="47"/>
      <c r="AM25" s="25"/>
      <c r="AN25" s="25"/>
      <c r="AO25" s="25"/>
      <c r="AP25" s="52"/>
      <c r="AQ25" s="52"/>
      <c r="AR25" s="52"/>
      <c r="AS25" s="52"/>
      <c r="AT25" s="52"/>
      <c r="AU25" s="52"/>
      <c r="AV25" s="52"/>
    </row>
    <row r="26" spans="1:48" ht="18.75" x14ac:dyDescent="0.25">
      <c r="A26" s="1"/>
      <c r="B26" s="54"/>
      <c r="C26" s="56"/>
      <c r="D26" s="37"/>
      <c r="E26" s="38" t="s">
        <v>18</v>
      </c>
      <c r="F26" s="39"/>
      <c r="G26" s="37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5"/>
      <c r="AD26" s="45"/>
      <c r="AE26" s="41"/>
      <c r="AF26" s="41"/>
      <c r="AG26" s="41"/>
      <c r="AH26" s="41"/>
      <c r="AI26" s="41"/>
      <c r="AJ26" s="41"/>
      <c r="AK26" s="41"/>
      <c r="AL26" s="41"/>
      <c r="AM26" s="24"/>
      <c r="AN26" s="24"/>
      <c r="AO26" s="24"/>
      <c r="AP26" s="24"/>
      <c r="AQ26" s="24"/>
      <c r="AR26" s="24"/>
      <c r="AS26" s="24"/>
      <c r="AT26" s="24"/>
      <c r="AU26" s="24"/>
      <c r="AV26" s="24"/>
    </row>
    <row r="27" spans="1:48" ht="18.75" x14ac:dyDescent="0.25">
      <c r="A27" s="1"/>
      <c r="B27" s="53">
        <v>12</v>
      </c>
      <c r="C27" s="55" t="s">
        <v>28</v>
      </c>
      <c r="D27" s="37">
        <f>+D25+7</f>
        <v>46180</v>
      </c>
      <c r="E27" s="38" t="s">
        <v>17</v>
      </c>
      <c r="F27" s="39"/>
      <c r="G27" s="37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37"/>
      <c r="AC27" s="49"/>
      <c r="AD27" s="45"/>
      <c r="AE27" s="41"/>
      <c r="AF27" s="41"/>
      <c r="AG27" s="41"/>
      <c r="AH27" s="41"/>
      <c r="AI27" s="41"/>
      <c r="AJ27" s="41"/>
      <c r="AK27" s="41"/>
      <c r="AL27" s="58"/>
      <c r="AM27" s="52"/>
      <c r="AN27" s="52"/>
      <c r="AO27" s="52"/>
      <c r="AP27" s="25"/>
      <c r="AQ27" s="25"/>
      <c r="AR27" s="25"/>
      <c r="AS27" s="25"/>
      <c r="AT27" s="25"/>
      <c r="AU27" s="25"/>
      <c r="AV27" s="25"/>
    </row>
    <row r="28" spans="1:48" ht="18.75" x14ac:dyDescent="0.25">
      <c r="A28" s="1"/>
      <c r="B28" s="54"/>
      <c r="C28" s="56"/>
      <c r="D28" s="37"/>
      <c r="E28" s="38" t="s">
        <v>18</v>
      </c>
      <c r="F28" s="39"/>
      <c r="G28" s="37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5"/>
      <c r="AD28" s="45"/>
      <c r="AE28" s="41"/>
      <c r="AF28" s="41"/>
      <c r="AG28" s="41"/>
      <c r="AH28" s="41"/>
      <c r="AI28" s="41"/>
      <c r="AJ28" s="41"/>
      <c r="AK28" s="41"/>
      <c r="AL28" s="41"/>
      <c r="AM28" s="24"/>
      <c r="AN28" s="24"/>
      <c r="AO28" s="24"/>
      <c r="AP28" s="24"/>
      <c r="AQ28" s="24"/>
      <c r="AR28" s="24"/>
      <c r="AS28" s="24"/>
      <c r="AT28" s="24"/>
      <c r="AU28" s="24"/>
      <c r="AV28" s="24"/>
    </row>
    <row r="29" spans="1:48" x14ac:dyDescent="0.25">
      <c r="B29" s="1" t="s">
        <v>24</v>
      </c>
      <c r="C29" s="1"/>
      <c r="D29" s="1"/>
      <c r="E29" s="1"/>
      <c r="F29" s="1"/>
    </row>
    <row r="30" spans="1:48" x14ac:dyDescent="0.25">
      <c r="B30" s="50" t="s">
        <v>27</v>
      </c>
      <c r="C30" s="1"/>
      <c r="D30" s="1"/>
      <c r="E30" s="1"/>
      <c r="F30" s="1"/>
    </row>
  </sheetData>
  <mergeCells count="25">
    <mergeCell ref="B9:B10"/>
    <mergeCell ref="C9:C10"/>
    <mergeCell ref="B27:B28"/>
    <mergeCell ref="C27:C28"/>
    <mergeCell ref="AK2:AM2"/>
    <mergeCell ref="B5:B6"/>
    <mergeCell ref="C5:C6"/>
    <mergeCell ref="B7:B8"/>
    <mergeCell ref="C7:C8"/>
    <mergeCell ref="B11:B12"/>
    <mergeCell ref="C11:C12"/>
    <mergeCell ref="B13:B14"/>
    <mergeCell ref="C13:C14"/>
    <mergeCell ref="B15:B16"/>
    <mergeCell ref="C15:C16"/>
    <mergeCell ref="B23:B24"/>
    <mergeCell ref="C23:C24"/>
    <mergeCell ref="B25:B26"/>
    <mergeCell ref="C25:C26"/>
    <mergeCell ref="B17:B18"/>
    <mergeCell ref="C17:C18"/>
    <mergeCell ref="B19:B20"/>
    <mergeCell ref="C19:C20"/>
    <mergeCell ref="B21:B22"/>
    <mergeCell ref="C21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hth</vt:lpstr>
      <vt:lpstr>hth 75%</vt:lpstr>
      <vt:lpstr>hth 50%</vt:lpstr>
      <vt:lpstr>hth!Print_Area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</dc:creator>
  <cp:lastModifiedBy>Billy Winata</cp:lastModifiedBy>
  <cp:lastPrinted>2026-03-11T03:28:05Z</cp:lastPrinted>
  <dcterms:created xsi:type="dcterms:W3CDTF">2025-12-15T01:58:59Z</dcterms:created>
  <dcterms:modified xsi:type="dcterms:W3CDTF">2026-03-29T14:07:51Z</dcterms:modified>
</cp:coreProperties>
</file>
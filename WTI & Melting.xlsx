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9440" windowHeight="11760" activeTab="3"/>
  </bookViews>
  <sheets>
    <sheet name="Sheet1" sheetId="1" r:id="rId1"/>
    <sheet name="Melting" sheetId="4" r:id="rId2"/>
    <sheet name="Sheet3" sheetId="3" r:id="rId3"/>
    <sheet name="Sheet2" sheetId="2" r:id="rId4"/>
  </sheets>
  <definedNames>
    <definedName name="_xlnm.Print_Area" localSheetId="1">Melting!$B$2:$AA$33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0" i="4" l="1"/>
  <c r="P30" i="4"/>
  <c r="R30" i="4" s="1"/>
  <c r="S30" i="4" s="1"/>
  <c r="T30" i="4" s="1"/>
  <c r="R29" i="4" l="1"/>
  <c r="R28" i="4"/>
  <c r="S28" i="4" s="1"/>
  <c r="R27" i="4"/>
  <c r="R26" i="4"/>
  <c r="R25" i="4"/>
  <c r="R24" i="4"/>
  <c r="R23" i="4"/>
  <c r="S23" i="4" s="1"/>
  <c r="R22" i="4"/>
  <c r="R21" i="4"/>
  <c r="R20" i="4"/>
  <c r="S20" i="4" s="1"/>
  <c r="R19" i="4"/>
  <c r="R18" i="4"/>
  <c r="R17" i="4"/>
  <c r="R16" i="4"/>
  <c r="S16" i="4" s="1"/>
  <c r="R15" i="4"/>
  <c r="S15" i="4" s="1"/>
  <c r="R14" i="4"/>
  <c r="R13" i="4"/>
  <c r="R12" i="4"/>
  <c r="D12" i="4" s="1"/>
  <c r="R11" i="4"/>
  <c r="R10" i="4"/>
  <c r="R9" i="4"/>
  <c r="R8" i="4"/>
  <c r="R7" i="4"/>
  <c r="S7" i="4" s="1"/>
  <c r="R6" i="4"/>
  <c r="R5" i="4"/>
  <c r="S5" i="4" s="1"/>
  <c r="R4" i="4"/>
  <c r="S4" i="4" s="1"/>
  <c r="S29" i="4"/>
  <c r="S8" i="4"/>
  <c r="S14" i="4"/>
  <c r="S6" i="4"/>
  <c r="S22" i="4"/>
  <c r="S9" i="4"/>
  <c r="S10" i="4"/>
  <c r="S11" i="4"/>
  <c r="S12" i="4"/>
  <c r="S13" i="4"/>
  <c r="S17" i="4"/>
  <c r="S18" i="4"/>
  <c r="S19" i="4"/>
  <c r="S21" i="4"/>
  <c r="S24" i="4"/>
  <c r="S25" i="4"/>
  <c r="S26" i="4"/>
  <c r="S27" i="4"/>
  <c r="P29" i="4"/>
  <c r="D29" i="4" s="1"/>
  <c r="P28" i="4"/>
  <c r="O28" i="4"/>
  <c r="N28" i="4"/>
  <c r="M28" i="4"/>
  <c r="P27" i="4"/>
  <c r="D27" i="4" s="1"/>
  <c r="O27" i="4"/>
  <c r="N27" i="4"/>
  <c r="M27" i="4"/>
  <c r="D26" i="4"/>
  <c r="P26" i="4"/>
  <c r="O26" i="4"/>
  <c r="N26" i="4"/>
  <c r="M26" i="4"/>
  <c r="P25" i="4"/>
  <c r="D25" i="4" s="1"/>
  <c r="O25" i="4"/>
  <c r="N25" i="4"/>
  <c r="M25" i="4"/>
  <c r="P24" i="4"/>
  <c r="P23" i="4"/>
  <c r="P22" i="4"/>
  <c r="P21" i="4"/>
  <c r="D21" i="4" s="1"/>
  <c r="D20" i="4"/>
  <c r="P20" i="4"/>
  <c r="P19" i="4"/>
  <c r="D19" i="4" s="1"/>
  <c r="P18" i="4"/>
  <c r="D18" i="4" s="1"/>
  <c r="P17" i="4"/>
  <c r="P16" i="4"/>
  <c r="D16" i="4" s="1"/>
  <c r="P15" i="4"/>
  <c r="P14" i="4"/>
  <c r="P13" i="4"/>
  <c r="D13" i="4" s="1"/>
  <c r="P12" i="4"/>
  <c r="P11" i="4"/>
  <c r="D11" i="4" s="1"/>
  <c r="P10" i="4"/>
  <c r="D10" i="4" s="1"/>
  <c r="D9" i="4"/>
  <c r="P9" i="4"/>
  <c r="P8" i="4"/>
  <c r="P7" i="4"/>
  <c r="P6" i="4"/>
  <c r="P5" i="4"/>
  <c r="P4" i="4"/>
  <c r="O28" i="1"/>
  <c r="N28" i="1"/>
  <c r="M28" i="1"/>
  <c r="O27" i="1"/>
  <c r="N27" i="1"/>
  <c r="M27" i="1"/>
  <c r="O26" i="1"/>
  <c r="N26" i="1"/>
  <c r="M26" i="1"/>
  <c r="O25" i="1"/>
  <c r="N25" i="1"/>
  <c r="M25" i="1"/>
  <c r="R24" i="1"/>
  <c r="D24" i="1" s="1"/>
  <c r="P4" i="1"/>
  <c r="R4" i="1" s="1"/>
  <c r="P29" i="1"/>
  <c r="R29" i="1" s="1"/>
  <c r="D29" i="1" s="1"/>
  <c r="P28" i="1"/>
  <c r="R28" i="1" s="1"/>
  <c r="D28" i="1" s="1"/>
  <c r="P27" i="1"/>
  <c r="R27" i="1" s="1"/>
  <c r="D27" i="1" s="1"/>
  <c r="P26" i="1"/>
  <c r="R26" i="1" s="1"/>
  <c r="D26" i="1" s="1"/>
  <c r="P25" i="1"/>
  <c r="R25" i="1" s="1"/>
  <c r="D25" i="1" s="1"/>
  <c r="P24" i="1"/>
  <c r="P23" i="1"/>
  <c r="R23" i="1" s="1"/>
  <c r="D23" i="1" s="1"/>
  <c r="P22" i="1"/>
  <c r="R22" i="1" s="1"/>
  <c r="D22" i="1" s="1"/>
  <c r="P21" i="1"/>
  <c r="R21" i="1" s="1"/>
  <c r="D21" i="1" s="1"/>
  <c r="P20" i="1"/>
  <c r="R20" i="1" s="1"/>
  <c r="D20" i="1" s="1"/>
  <c r="P19" i="1"/>
  <c r="R19" i="1" s="1"/>
  <c r="D19" i="1" s="1"/>
  <c r="P18" i="1"/>
  <c r="R18" i="1" s="1"/>
  <c r="D18" i="1" s="1"/>
  <c r="P17" i="1"/>
  <c r="R17" i="1" s="1"/>
  <c r="P16" i="1"/>
  <c r="R16" i="1" s="1"/>
  <c r="D16" i="1" s="1"/>
  <c r="P15" i="1"/>
  <c r="R15" i="1" s="1"/>
  <c r="D15" i="1" s="1"/>
  <c r="P14" i="1"/>
  <c r="R14" i="1" s="1"/>
  <c r="D14" i="1" s="1"/>
  <c r="P13" i="1"/>
  <c r="R13" i="1" s="1"/>
  <c r="D13" i="1" s="1"/>
  <c r="P12" i="1"/>
  <c r="R12" i="1" s="1"/>
  <c r="D12" i="1" s="1"/>
  <c r="P11" i="1"/>
  <c r="R11" i="1" s="1"/>
  <c r="D11" i="1" s="1"/>
  <c r="P10" i="1"/>
  <c r="R10" i="1" s="1"/>
  <c r="D10" i="1" s="1"/>
  <c r="P9" i="1"/>
  <c r="R9" i="1" s="1"/>
  <c r="D9" i="1" s="1"/>
  <c r="P8" i="1"/>
  <c r="R8" i="1" s="1"/>
  <c r="D8" i="1" s="1"/>
  <c r="P7" i="1"/>
  <c r="R7" i="1" s="1"/>
  <c r="D7" i="1" s="1"/>
  <c r="P5" i="1"/>
  <c r="R5" i="1" s="1"/>
  <c r="D5" i="1" s="1"/>
  <c r="P6" i="1"/>
  <c r="R6" i="1" s="1"/>
  <c r="D6" i="1" s="1"/>
  <c r="D24" i="4" l="1"/>
  <c r="D28" i="4"/>
  <c r="D8" i="4"/>
  <c r="D5" i="4"/>
  <c r="D7" i="4"/>
  <c r="T21" i="4"/>
  <c r="T6" i="4"/>
  <c r="T14" i="4"/>
  <c r="T12" i="4"/>
  <c r="T10" i="4"/>
  <c r="D15" i="4"/>
  <c r="D22" i="4"/>
  <c r="D23" i="4"/>
  <c r="D14" i="4"/>
  <c r="D6" i="4"/>
  <c r="T22" i="4"/>
  <c r="T15" i="4"/>
  <c r="T23" i="4"/>
  <c r="T8" i="4"/>
  <c r="T16" i="4"/>
  <c r="T24" i="4"/>
  <c r="T7" i="4"/>
  <c r="T9" i="4"/>
  <c r="T17" i="4"/>
  <c r="T25" i="4"/>
  <c r="T18" i="4"/>
  <c r="T26" i="4"/>
  <c r="T11" i="4"/>
  <c r="T19" i="4"/>
  <c r="T27" i="4"/>
  <c r="T29" i="4"/>
  <c r="T20" i="4"/>
  <c r="T28" i="4"/>
  <c r="T5" i="4"/>
  <c r="T13" i="4"/>
</calcChain>
</file>

<file path=xl/sharedStrings.xml><?xml version="1.0" encoding="utf-8"?>
<sst xmlns="http://schemas.openxmlformats.org/spreadsheetml/2006/main" count="137" uniqueCount="80">
  <si>
    <t>tgl</t>
  </si>
  <si>
    <t>WTI</t>
  </si>
  <si>
    <t>IDR/USD</t>
  </si>
  <si>
    <t>CNY/USD</t>
  </si>
  <si>
    <t>https://www.sunsirs.com/uk/prodetail-1007.html</t>
  </si>
  <si>
    <t>DTY</t>
  </si>
  <si>
    <t>POY</t>
  </si>
  <si>
    <t>FDY</t>
  </si>
  <si>
    <t>150/96</t>
  </si>
  <si>
    <t>150/48</t>
  </si>
  <si>
    <t>USD</t>
  </si>
  <si>
    <t>PTA</t>
  </si>
  <si>
    <t>https://tradingeconomics.com/commodity/crude-oil</t>
  </si>
  <si>
    <t>MEG</t>
  </si>
  <si>
    <t>Melting</t>
  </si>
  <si>
    <t>Date</t>
  </si>
  <si>
    <t>Price</t>
  </si>
  <si>
    <t>Open</t>
  </si>
  <si>
    <t>High</t>
  </si>
  <si>
    <t>Low</t>
  </si>
  <si>
    <t>Vol.</t>
  </si>
  <si>
    <t>Change %</t>
  </si>
  <si>
    <t>63.42K</t>
  </si>
  <si>
    <t>3.51K</t>
  </si>
  <si>
    <t>495.40K</t>
  </si>
  <si>
    <t>374.08K</t>
  </si>
  <si>
    <t>374.92K</t>
  </si>
  <si>
    <t>350.77K</t>
  </si>
  <si>
    <t>405.17K</t>
  </si>
  <si>
    <t>420.07K</t>
  </si>
  <si>
    <t>666.79K</t>
  </si>
  <si>
    <t>33.11K</t>
  </si>
  <si>
    <t>118.72K</t>
  </si>
  <si>
    <t>157.22K</t>
  </si>
  <si>
    <t>308.43K</t>
  </si>
  <si>
    <t>455.45K</t>
  </si>
  <si>
    <t>307.93K</t>
  </si>
  <si>
    <t>448.29K</t>
  </si>
  <si>
    <t>401.37K</t>
  </si>
  <si>
    <t>546.03K</t>
  </si>
  <si>
    <t>749.52K</t>
  </si>
  <si>
    <t>996.25K</t>
  </si>
  <si>
    <t>707.03K</t>
  </si>
  <si>
    <t>617.82K</t>
  </si>
  <si>
    <t>1.01M</t>
  </si>
  <si>
    <t>881.33K</t>
  </si>
  <si>
    <t>https://www.investing.com/commodities/crude-oil-historical-data</t>
  </si>
  <si>
    <t>https://www.sgx.com/derivatives/products/mono-ethylene-glycol?cc=MEGF</t>
  </si>
  <si>
    <t>https://www.investing.com/commodities/zce-pure-terephthalic-acid-futures-historical-data</t>
  </si>
  <si>
    <t>0.39K</t>
  </si>
  <si>
    <t>1.95K</t>
  </si>
  <si>
    <t>5.62K</t>
  </si>
  <si>
    <t>5.13K</t>
  </si>
  <si>
    <t>4.99K</t>
  </si>
  <si>
    <t>3.24K</t>
  </si>
  <si>
    <t>28.67K</t>
  </si>
  <si>
    <t>11.80K</t>
  </si>
  <si>
    <t>37.49K</t>
  </si>
  <si>
    <t>14.34K</t>
  </si>
  <si>
    <t>33.01K</t>
  </si>
  <si>
    <t>35.38K</t>
  </si>
  <si>
    <t>23.78K</t>
  </si>
  <si>
    <t>53.07K</t>
  </si>
  <si>
    <t>95.29K</t>
  </si>
  <si>
    <t>0.01K</t>
  </si>
  <si>
    <t>1.96K</t>
  </si>
  <si>
    <t>1.80K</t>
  </si>
  <si>
    <t>3.43K</t>
  </si>
  <si>
    <t>5.94K</t>
  </si>
  <si>
    <t>1.08K</t>
  </si>
  <si>
    <t>5.10K</t>
  </si>
  <si>
    <t>5.22K</t>
  </si>
  <si>
    <t>16.59K</t>
  </si>
  <si>
    <t>5.71K</t>
  </si>
  <si>
    <t>9.35K</t>
  </si>
  <si>
    <t>CNY</t>
  </si>
  <si>
    <t>Melt+0.6</t>
  </si>
  <si>
    <t>VAR</t>
  </si>
  <si>
    <t>Tgl</t>
  </si>
  <si>
    <t>Crude Oil(WTI)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</si>
</sst>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[$-409]d\-mmm;@"/>
    <numFmt numFmtId="165" formatCode="_(* #,##0_);_(* \(#,##0\);_(* &quot;-&quot;??_);_(@_)"/>
    <numFmt numFmtId="166" formatCode="0.0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8"/>
      <name val="Aptos Narrow"/>
      <family val="2"/>
      <scheme val="minor"/>
    </font>
    <font>
      <sz val="11"/>
      <color rgb="FF232526"/>
      <name val="Segoe UI"/>
      <family val="2"/>
    </font>
    <font>
      <sz val="11"/>
      <color rgb="FF007C32"/>
      <name val="Segoe UI"/>
      <family val="2"/>
    </font>
    <font>
      <sz val="11"/>
      <color rgb="FF232526"/>
      <name val="Segoe UI"/>
      <family val="2"/>
    </font>
    <font>
      <b/>
      <sz val="11"/>
      <color rgb="FF007C32"/>
      <name val="Segoe UI"/>
      <family val="2"/>
    </font>
    <font>
      <sz val="11"/>
      <color rgb="FFD91400"/>
      <name val="Segoe UI"/>
      <family val="2"/>
    </font>
    <font>
      <b/>
      <sz val="11"/>
      <color rgb="FFD91400"/>
      <name val="Segoe UI"/>
      <family val="2"/>
    </font>
    <font>
      <sz val="11"/>
      <color rgb="FF000000"/>
      <name val="Segoe UI"/>
      <family val="2"/>
    </font>
    <font>
      <sz val="11"/>
      <color rgb="FF000000"/>
      <name val="Segoe UI"/>
      <family val="2"/>
    </font>
    <font>
      <b/>
      <sz val="11"/>
      <color rgb="FF232526"/>
      <name val="Segoe UI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ABBFFE"/>
      </left>
      <right style="thin">
        <color rgb="FFABBFFE"/>
      </right>
      <top style="thin">
        <color rgb="FFABBFFE"/>
      </top>
      <bottom style="thin">
        <color rgb="FFABBFFE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57">
    <xf numFmtId="0" fontId="0" fillId="0" borderId="0" xfId="0"/>
    <xf numFmtId="164" fontId="0" fillId="0" borderId="0" xfId="0" applyNumberFormat="1"/>
    <xf numFmtId="43" fontId="0" fillId="0" borderId="0" xfId="1" applyFont="1"/>
    <xf numFmtId="0" fontId="3" fillId="0" borderId="0" xfId="0" applyFont="1"/>
    <xf numFmtId="2" fontId="0" fillId="0" borderId="0" xfId="0" applyNumberFormat="1"/>
    <xf numFmtId="165" fontId="0" fillId="0" borderId="0" xfId="1" applyNumberFormat="1" applyFont="1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/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 wrapText="1"/>
    </xf>
    <xf numFmtId="15" fontId="5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 wrapText="1" readingOrder="1"/>
    </xf>
    <xf numFmtId="0" fontId="7" fillId="2" borderId="0" xfId="0" applyFont="1" applyFill="1" applyAlignment="1">
      <alignment horizontal="right" vertical="center" wrapText="1"/>
    </xf>
    <xf numFmtId="10" fontId="8" fillId="2" borderId="0" xfId="0" applyNumberFormat="1" applyFont="1" applyFill="1" applyAlignment="1">
      <alignment horizontal="right" vertical="center" readingOrder="1"/>
    </xf>
    <xf numFmtId="0" fontId="9" fillId="2" borderId="0" xfId="0" applyFont="1" applyFill="1" applyAlignment="1">
      <alignment horizontal="right" vertical="center" wrapText="1" readingOrder="1"/>
    </xf>
    <xf numFmtId="10" fontId="10" fillId="2" borderId="0" xfId="0" applyNumberFormat="1" applyFont="1" applyFill="1" applyAlignment="1">
      <alignment horizontal="right" vertical="center" readingOrder="1"/>
    </xf>
    <xf numFmtId="15" fontId="5" fillId="3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horizontal="right" vertical="center" wrapText="1" readingOrder="1"/>
    </xf>
    <xf numFmtId="0" fontId="7" fillId="3" borderId="0" xfId="0" applyFont="1" applyFill="1" applyAlignment="1">
      <alignment horizontal="right" vertical="center" wrapText="1"/>
    </xf>
    <xf numFmtId="10" fontId="8" fillId="3" borderId="0" xfId="0" applyNumberFormat="1" applyFont="1" applyFill="1" applyAlignment="1">
      <alignment horizontal="right" vertical="center" readingOrder="1"/>
    </xf>
    <xf numFmtId="0" fontId="5" fillId="0" borderId="0" xfId="0" applyFont="1" applyAlignment="1">
      <alignment horizontal="right" vertical="center" wrapText="1"/>
    </xf>
    <xf numFmtId="15" fontId="5" fillId="0" borderId="0" xfId="0" applyNumberFormat="1" applyFont="1" applyAlignment="1">
      <alignment horizontal="left" vertical="center"/>
    </xf>
    <xf numFmtId="4" fontId="9" fillId="0" borderId="0" xfId="0" applyNumberFormat="1" applyFont="1" applyAlignment="1">
      <alignment horizontal="right" vertical="center" wrapText="1" readingOrder="1"/>
    </xf>
    <xf numFmtId="4" fontId="7" fillId="0" borderId="0" xfId="0" applyNumberFormat="1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10" fontId="10" fillId="0" borderId="0" xfId="0" applyNumberFormat="1" applyFont="1" applyAlignment="1">
      <alignment horizontal="right" vertical="center" readingOrder="1"/>
    </xf>
    <xf numFmtId="4" fontId="6" fillId="0" borderId="0" xfId="0" applyNumberFormat="1" applyFont="1" applyAlignment="1">
      <alignment horizontal="right" vertical="center" wrapText="1" readingOrder="1"/>
    </xf>
    <xf numFmtId="10" fontId="8" fillId="0" borderId="0" xfId="0" applyNumberFormat="1" applyFont="1" applyAlignment="1">
      <alignment horizontal="right" vertical="center" readingOrder="1"/>
    </xf>
    <xf numFmtId="0" fontId="11" fillId="0" borderId="0" xfId="0" applyFont="1" applyAlignment="1">
      <alignment vertical="center" wrapText="1"/>
    </xf>
    <xf numFmtId="4" fontId="12" fillId="0" borderId="0" xfId="0" applyNumberFormat="1" applyFont="1" applyAlignment="1">
      <alignment vertical="center" wrapText="1"/>
    </xf>
    <xf numFmtId="10" fontId="13" fillId="2" borderId="0" xfId="0" applyNumberFormat="1" applyFont="1" applyFill="1" applyAlignment="1">
      <alignment horizontal="right" vertical="center" readingOrder="1"/>
    </xf>
    <xf numFmtId="0" fontId="14" fillId="0" borderId="0" xfId="2"/>
    <xf numFmtId="4" fontId="6" fillId="2" borderId="0" xfId="0" applyNumberFormat="1" applyFont="1" applyFill="1" applyAlignment="1">
      <alignment horizontal="right" vertical="center" wrapText="1" readingOrder="1"/>
    </xf>
    <xf numFmtId="4" fontId="7" fillId="2" borderId="0" xfId="0" applyNumberFormat="1" applyFont="1" applyFill="1" applyAlignment="1">
      <alignment horizontal="right" vertical="center" wrapText="1"/>
    </xf>
    <xf numFmtId="4" fontId="9" fillId="2" borderId="0" xfId="0" applyNumberFormat="1" applyFont="1" applyFill="1" applyAlignment="1">
      <alignment horizontal="right" vertical="center" wrapText="1" readingOrder="1"/>
    </xf>
    <xf numFmtId="166" fontId="0" fillId="0" borderId="0" xfId="0" applyNumberFormat="1"/>
    <xf numFmtId="3" fontId="0" fillId="0" borderId="0" xfId="0" applyNumberFormat="1"/>
    <xf numFmtId="3" fontId="3" fillId="0" borderId="0" xfId="0" applyNumberFormat="1" applyFont="1"/>
    <xf numFmtId="1" fontId="0" fillId="0" borderId="0" xfId="0" applyNumberFormat="1"/>
    <xf numFmtId="0" fontId="0" fillId="4" borderId="0" xfId="0" applyFill="1"/>
    <xf numFmtId="1" fontId="0" fillId="4" borderId="0" xfId="0" applyNumberFormat="1" applyFill="1"/>
    <xf numFmtId="0" fontId="0" fillId="0" borderId="2" xfId="0" applyBorder="1"/>
    <xf numFmtId="0" fontId="2" fillId="0" borderId="0" xfId="0" applyFont="1" applyAlignment="1">
      <alignment horizontal="center"/>
    </xf>
    <xf numFmtId="0" fontId="2" fillId="0" borderId="2" xfId="0" applyFont="1" applyBorder="1"/>
    <xf numFmtId="0" fontId="2" fillId="0" borderId="0" xfId="0" applyFont="1"/>
    <xf numFmtId="0" fontId="0" fillId="5" borderId="0" xfId="0" applyFill="1"/>
    <xf numFmtId="0" fontId="2" fillId="5" borderId="2" xfId="0" applyFont="1" applyFill="1" applyBorder="1"/>
    <xf numFmtId="0" fontId="2" fillId="5" borderId="0" xfId="0" applyFont="1" applyFill="1" applyAlignment="1">
      <alignment horizontal="center"/>
    </xf>
    <xf numFmtId="3" fontId="0" fillId="5" borderId="0" xfId="0" applyNumberFormat="1" applyFill="1"/>
    <xf numFmtId="3" fontId="3" fillId="5" borderId="0" xfId="0" applyNumberFormat="1" applyFont="1" applyFill="1"/>
    <xf numFmtId="166" fontId="0" fillId="5" borderId="0" xfId="0" applyNumberFormat="1" applyFill="1"/>
    <xf numFmtId="165" fontId="0" fillId="5" borderId="0" xfId="1" applyNumberFormat="1" applyFont="1" applyFill="1"/>
    <xf numFmtId="43" fontId="0" fillId="5" borderId="0" xfId="1" applyFont="1" applyFill="1"/>
    <xf numFmtId="43" fontId="2" fillId="5" borderId="0" xfId="1" applyFont="1" applyFill="1" applyAlignment="1">
      <alignment horizontal="center"/>
    </xf>
    <xf numFmtId="0" fontId="0" fillId="5" borderId="2" xfId="0" applyFill="1" applyBorder="1"/>
    <xf numFmtId="1" fontId="0" fillId="5" borderId="0" xfId="0" applyNumberFormat="1" applyFill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WTI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Melting!$B$4:$B$29</c:f>
              <c:numCache>
                <c:formatCode>[$-409]d\-mmm;@</c:formatCode>
                <c:ptCount val="26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46084</c:v>
                </c:pt>
                <c:pt idx="4">
                  <c:v>46085</c:v>
                </c:pt>
                <c:pt idx="5">
                  <c:v>46086</c:v>
                </c:pt>
                <c:pt idx="6">
                  <c:v>46087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46097</c:v>
                </c:pt>
                <c:pt idx="13">
                  <c:v>46098</c:v>
                </c:pt>
                <c:pt idx="14">
                  <c:v>46099</c:v>
                </c:pt>
                <c:pt idx="15">
                  <c:v>46100</c:v>
                </c:pt>
                <c:pt idx="16">
                  <c:v>46101</c:v>
                </c:pt>
                <c:pt idx="17">
                  <c:v>46104</c:v>
                </c:pt>
                <c:pt idx="18">
                  <c:v>46105</c:v>
                </c:pt>
                <c:pt idx="19">
                  <c:v>46106</c:v>
                </c:pt>
                <c:pt idx="20">
                  <c:v>46107</c:v>
                </c:pt>
                <c:pt idx="21">
                  <c:v>46108</c:v>
                </c:pt>
                <c:pt idx="22">
                  <c:v>46111</c:v>
                </c:pt>
                <c:pt idx="23">
                  <c:v>46112</c:v>
                </c:pt>
                <c:pt idx="24">
                  <c:v>46113</c:v>
                </c:pt>
                <c:pt idx="25">
                  <c:v>46114</c:v>
                </c:pt>
              </c:numCache>
            </c:numRef>
          </c:cat>
          <c:val>
            <c:numRef>
              <c:f>Melting!$C$4:$C$29</c:f>
              <c:numCache>
                <c:formatCode>0.0</c:formatCode>
                <c:ptCount val="26"/>
                <c:pt idx="0">
                  <c:v>65.42</c:v>
                </c:pt>
                <c:pt idx="1">
                  <c:v>67.102999999999994</c:v>
                </c:pt>
                <c:pt idx="2">
                  <c:v>71.23</c:v>
                </c:pt>
                <c:pt idx="3">
                  <c:v>74.56</c:v>
                </c:pt>
                <c:pt idx="4">
                  <c:v>74.66</c:v>
                </c:pt>
                <c:pt idx="5">
                  <c:v>81.010000000000005</c:v>
                </c:pt>
                <c:pt idx="6">
                  <c:v>90.9</c:v>
                </c:pt>
                <c:pt idx="7">
                  <c:v>91.48</c:v>
                </c:pt>
                <c:pt idx="8">
                  <c:v>82.1</c:v>
                </c:pt>
                <c:pt idx="9">
                  <c:v>86.07</c:v>
                </c:pt>
                <c:pt idx="10">
                  <c:v>94.43</c:v>
                </c:pt>
                <c:pt idx="11">
                  <c:v>96.84</c:v>
                </c:pt>
                <c:pt idx="12">
                  <c:v>93.5</c:v>
                </c:pt>
                <c:pt idx="13">
                  <c:v>96.21</c:v>
                </c:pt>
                <c:pt idx="14">
                  <c:v>96.32</c:v>
                </c:pt>
                <c:pt idx="15">
                  <c:v>96.14</c:v>
                </c:pt>
                <c:pt idx="16">
                  <c:v>98.32</c:v>
                </c:pt>
                <c:pt idx="17">
                  <c:v>88.13</c:v>
                </c:pt>
                <c:pt idx="18">
                  <c:v>92.35</c:v>
                </c:pt>
                <c:pt idx="19">
                  <c:v>90.32</c:v>
                </c:pt>
                <c:pt idx="20">
                  <c:v>94.48</c:v>
                </c:pt>
                <c:pt idx="21">
                  <c:v>99.64</c:v>
                </c:pt>
                <c:pt idx="22">
                  <c:v>102.88</c:v>
                </c:pt>
                <c:pt idx="23">
                  <c:v>101.38</c:v>
                </c:pt>
                <c:pt idx="24">
                  <c:v>98.88</c:v>
                </c:pt>
                <c:pt idx="25">
                  <c:v>104.68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478-46CF-9502-039B301A0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283840"/>
        <c:axId val="69285760"/>
      </c:lineChart>
      <c:dateAx>
        <c:axId val="69283840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85760"/>
        <c:crosses val="autoZero"/>
        <c:auto val="1"/>
        <c:lblOffset val="100"/>
        <c:baseTimeUnit val="days"/>
      </c:dateAx>
      <c:valAx>
        <c:axId val="6928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283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Melting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Melting!$B$4:$B$29</c:f>
              <c:numCache>
                <c:formatCode>[$-409]d\-mmm;@</c:formatCode>
                <c:ptCount val="26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46084</c:v>
                </c:pt>
                <c:pt idx="4">
                  <c:v>46085</c:v>
                </c:pt>
                <c:pt idx="5">
                  <c:v>46086</c:v>
                </c:pt>
                <c:pt idx="6">
                  <c:v>46087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46097</c:v>
                </c:pt>
                <c:pt idx="13">
                  <c:v>46098</c:v>
                </c:pt>
                <c:pt idx="14">
                  <c:v>46099</c:v>
                </c:pt>
                <c:pt idx="15">
                  <c:v>46100</c:v>
                </c:pt>
                <c:pt idx="16">
                  <c:v>46101</c:v>
                </c:pt>
                <c:pt idx="17">
                  <c:v>46104</c:v>
                </c:pt>
                <c:pt idx="18">
                  <c:v>46105</c:v>
                </c:pt>
                <c:pt idx="19">
                  <c:v>46106</c:v>
                </c:pt>
                <c:pt idx="20">
                  <c:v>46107</c:v>
                </c:pt>
                <c:pt idx="21">
                  <c:v>46108</c:v>
                </c:pt>
                <c:pt idx="22">
                  <c:v>46111</c:v>
                </c:pt>
                <c:pt idx="23">
                  <c:v>46112</c:v>
                </c:pt>
                <c:pt idx="24">
                  <c:v>46113</c:v>
                </c:pt>
                <c:pt idx="25">
                  <c:v>46114</c:v>
                </c:pt>
              </c:numCache>
            </c:numRef>
          </c:cat>
          <c:val>
            <c:numRef>
              <c:f>Melting!$D$4:$D$29</c:f>
              <c:numCache>
                <c:formatCode>0</c:formatCode>
                <c:ptCount val="26"/>
                <c:pt idx="0" formatCode="General">
                  <c:v>743</c:v>
                </c:pt>
                <c:pt idx="1">
                  <c:v>754.48260000000005</c:v>
                </c:pt>
                <c:pt idx="2">
                  <c:v>784.27516000000014</c:v>
                </c:pt>
                <c:pt idx="3">
                  <c:v>797.93988000000002</c:v>
                </c:pt>
                <c:pt idx="4">
                  <c:v>823.06700000000001</c:v>
                </c:pt>
                <c:pt idx="5">
                  <c:v>852.96824000000015</c:v>
                </c:pt>
                <c:pt idx="6">
                  <c:v>888.11999999999989</c:v>
                </c:pt>
                <c:pt idx="7">
                  <c:v>931.30004000000008</c:v>
                </c:pt>
                <c:pt idx="8">
                  <c:v>890.57312000000002</c:v>
                </c:pt>
                <c:pt idx="9">
                  <c:v>950.95988000000011</c:v>
                </c:pt>
                <c:pt idx="10">
                  <c:v>989.24856</c:v>
                </c:pt>
                <c:pt idx="11">
                  <c:v>985.7360000000001</c:v>
                </c:pt>
                <c:pt idx="12">
                  <c:v>971.24400000000003</c:v>
                </c:pt>
                <c:pt idx="13" formatCode="General">
                  <c:v>996</c:v>
                </c:pt>
                <c:pt idx="14">
                  <c:v>991.51019999999994</c:v>
                </c:pt>
                <c:pt idx="15">
                  <c:v>954.13848000000007</c:v>
                </c:pt>
                <c:pt idx="16">
                  <c:v>1014.81432</c:v>
                </c:pt>
                <c:pt idx="17">
                  <c:v>989.77176000000009</c:v>
                </c:pt>
                <c:pt idx="18">
                  <c:v>951.07416000000012</c:v>
                </c:pt>
                <c:pt idx="19">
                  <c:v>942.25980000000004</c:v>
                </c:pt>
                <c:pt idx="20">
                  <c:v>965.99948000000006</c:v>
                </c:pt>
                <c:pt idx="21">
                  <c:v>980.16164000000003</c:v>
                </c:pt>
                <c:pt idx="22">
                  <c:v>972.83392000000003</c:v>
                </c:pt>
                <c:pt idx="23">
                  <c:v>965.62356</c:v>
                </c:pt>
                <c:pt idx="24">
                  <c:v>947.34900000000005</c:v>
                </c:pt>
                <c:pt idx="25">
                  <c:v>970.98998879999999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7498-4CC6-9324-54327C2D4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306240"/>
        <c:axId val="69324800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Melting!$B$4:$B$29</c15:sqref>
                        </c15:formulaRef>
                      </c:ext>
                    </c:extLst>
                    <c:numCache>
                      <c:formatCode>[$-409]d\-mmm;@</c:formatCode>
                      <c:ptCount val="26"/>
                      <c:pt idx="0">
                        <c:v>46079</c:v>
                      </c:pt>
                      <c:pt idx="1">
                        <c:v>46080</c:v>
                      </c:pt>
                      <c:pt idx="2">
                        <c:v>46083</c:v>
                      </c:pt>
                      <c:pt idx="3">
                        <c:v>46084</c:v>
                      </c:pt>
                      <c:pt idx="4">
                        <c:v>46085</c:v>
                      </c:pt>
                      <c:pt idx="5">
                        <c:v>46086</c:v>
                      </c:pt>
                      <c:pt idx="6">
                        <c:v>46087</c:v>
                      </c:pt>
                      <c:pt idx="7">
                        <c:v>46090</c:v>
                      </c:pt>
                      <c:pt idx="8">
                        <c:v>46091</c:v>
                      </c:pt>
                      <c:pt idx="9">
                        <c:v>46092</c:v>
                      </c:pt>
                      <c:pt idx="10">
                        <c:v>46093</c:v>
                      </c:pt>
                      <c:pt idx="11">
                        <c:v>46094</c:v>
                      </c:pt>
                      <c:pt idx="12">
                        <c:v>46097</c:v>
                      </c:pt>
                      <c:pt idx="13">
                        <c:v>46098</c:v>
                      </c:pt>
                      <c:pt idx="14">
                        <c:v>46099</c:v>
                      </c:pt>
                      <c:pt idx="15">
                        <c:v>46100</c:v>
                      </c:pt>
                      <c:pt idx="16">
                        <c:v>46101</c:v>
                      </c:pt>
                      <c:pt idx="17">
                        <c:v>46104</c:v>
                      </c:pt>
                      <c:pt idx="18">
                        <c:v>46105</c:v>
                      </c:pt>
                      <c:pt idx="19">
                        <c:v>46106</c:v>
                      </c:pt>
                      <c:pt idx="20">
                        <c:v>46107</c:v>
                      </c:pt>
                      <c:pt idx="21">
                        <c:v>46108</c:v>
                      </c:pt>
                      <c:pt idx="22">
                        <c:v>46111</c:v>
                      </c:pt>
                      <c:pt idx="23">
                        <c:v>46112</c:v>
                      </c:pt>
                      <c:pt idx="24">
                        <c:v>46113</c:v>
                      </c:pt>
                      <c:pt idx="25">
                        <c:v>46114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Melting!$C$4:$C$29</c15:sqref>
                        </c15:formulaRef>
                      </c:ext>
                    </c:extLst>
                    <c:numCache>
                      <c:formatCode>0.0</c:formatCode>
                      <c:ptCount val="26"/>
                      <c:pt idx="0">
                        <c:v>65.42</c:v>
                      </c:pt>
                      <c:pt idx="1">
                        <c:v>67.102999999999994</c:v>
                      </c:pt>
                      <c:pt idx="2">
                        <c:v>71.23</c:v>
                      </c:pt>
                      <c:pt idx="3">
                        <c:v>74.56</c:v>
                      </c:pt>
                      <c:pt idx="4">
                        <c:v>74.66</c:v>
                      </c:pt>
                      <c:pt idx="5">
                        <c:v>81.010000000000005</c:v>
                      </c:pt>
                      <c:pt idx="6">
                        <c:v>90.9</c:v>
                      </c:pt>
                      <c:pt idx="7">
                        <c:v>91.48</c:v>
                      </c:pt>
                      <c:pt idx="8">
                        <c:v>82.1</c:v>
                      </c:pt>
                      <c:pt idx="9">
                        <c:v>86.07</c:v>
                      </c:pt>
                      <c:pt idx="10">
                        <c:v>94.43</c:v>
                      </c:pt>
                      <c:pt idx="11">
                        <c:v>96.84</c:v>
                      </c:pt>
                      <c:pt idx="12">
                        <c:v>93.5</c:v>
                      </c:pt>
                      <c:pt idx="13">
                        <c:v>96.21</c:v>
                      </c:pt>
                      <c:pt idx="14">
                        <c:v>96.32</c:v>
                      </c:pt>
                      <c:pt idx="15">
                        <c:v>96.14</c:v>
                      </c:pt>
                      <c:pt idx="16">
                        <c:v>98.32</c:v>
                      </c:pt>
                      <c:pt idx="17">
                        <c:v>88.13</c:v>
                      </c:pt>
                      <c:pt idx="18">
                        <c:v>92.35</c:v>
                      </c:pt>
                      <c:pt idx="19">
                        <c:v>90.32</c:v>
                      </c:pt>
                      <c:pt idx="20">
                        <c:v>94.48</c:v>
                      </c:pt>
                      <c:pt idx="21">
                        <c:v>99.64</c:v>
                      </c:pt>
                      <c:pt idx="22">
                        <c:v>102.88</c:v>
                      </c:pt>
                      <c:pt idx="23">
                        <c:v>101.38</c:v>
                      </c:pt>
                      <c:pt idx="24">
                        <c:v>98.88</c:v>
                      </c:pt>
                      <c:pt idx="25">
                        <c:v>104.68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7498-4CC6-9324-54327C2D4BEF}"/>
                  </c:ext>
                </c:extLst>
              </c15:ser>
            </c15:filteredLineSeries>
          </c:ext>
        </c:extLst>
      </c:lineChart>
      <c:dateAx>
        <c:axId val="69306240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24800"/>
        <c:crosses val="autoZero"/>
        <c:auto val="1"/>
        <c:lblOffset val="100"/>
        <c:baseTimeUnit val="days"/>
      </c:dateAx>
      <c:valAx>
        <c:axId val="6932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0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b="1"/>
              <a:t>MEG &amp; PTA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5"/>
          <c:order val="0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Melting!$B$4:$B$29</c:f>
              <c:numCache>
                <c:formatCode>[$-409]d\-mmm;@</c:formatCode>
                <c:ptCount val="26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46084</c:v>
                </c:pt>
                <c:pt idx="4">
                  <c:v>46085</c:v>
                </c:pt>
                <c:pt idx="5">
                  <c:v>46086</c:v>
                </c:pt>
                <c:pt idx="6">
                  <c:v>46087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46097</c:v>
                </c:pt>
                <c:pt idx="13">
                  <c:v>46098</c:v>
                </c:pt>
                <c:pt idx="14">
                  <c:v>46099</c:v>
                </c:pt>
                <c:pt idx="15">
                  <c:v>46100</c:v>
                </c:pt>
                <c:pt idx="16">
                  <c:v>46101</c:v>
                </c:pt>
                <c:pt idx="17">
                  <c:v>46104</c:v>
                </c:pt>
                <c:pt idx="18">
                  <c:v>46105</c:v>
                </c:pt>
                <c:pt idx="19">
                  <c:v>46106</c:v>
                </c:pt>
                <c:pt idx="20">
                  <c:v>46107</c:v>
                </c:pt>
                <c:pt idx="21">
                  <c:v>46108</c:v>
                </c:pt>
                <c:pt idx="22">
                  <c:v>46111</c:v>
                </c:pt>
                <c:pt idx="23">
                  <c:v>46112</c:v>
                </c:pt>
                <c:pt idx="24">
                  <c:v>46113</c:v>
                </c:pt>
                <c:pt idx="25">
                  <c:v>46114</c:v>
                </c:pt>
              </c:numCache>
            </c:numRef>
          </c:cat>
          <c:val>
            <c:numRef>
              <c:f>Melting!$H$4:$H$29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F87-44E8-88ED-109A8D166A8C}"/>
            </c:ext>
          </c:extLst>
        </c:ser>
        <c:ser>
          <c:idx val="6"/>
          <c:order val="1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Melting!$B$4:$B$29</c:f>
              <c:numCache>
                <c:formatCode>[$-409]d\-mmm;@</c:formatCode>
                <c:ptCount val="26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46084</c:v>
                </c:pt>
                <c:pt idx="4">
                  <c:v>46085</c:v>
                </c:pt>
                <c:pt idx="5">
                  <c:v>46086</c:v>
                </c:pt>
                <c:pt idx="6">
                  <c:v>46087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46097</c:v>
                </c:pt>
                <c:pt idx="13">
                  <c:v>46098</c:v>
                </c:pt>
                <c:pt idx="14">
                  <c:v>46099</c:v>
                </c:pt>
                <c:pt idx="15">
                  <c:v>46100</c:v>
                </c:pt>
                <c:pt idx="16">
                  <c:v>46101</c:v>
                </c:pt>
                <c:pt idx="17">
                  <c:v>46104</c:v>
                </c:pt>
                <c:pt idx="18">
                  <c:v>46105</c:v>
                </c:pt>
                <c:pt idx="19">
                  <c:v>46106</c:v>
                </c:pt>
                <c:pt idx="20">
                  <c:v>46107</c:v>
                </c:pt>
                <c:pt idx="21">
                  <c:v>46108</c:v>
                </c:pt>
                <c:pt idx="22">
                  <c:v>46111</c:v>
                </c:pt>
                <c:pt idx="23">
                  <c:v>46112</c:v>
                </c:pt>
                <c:pt idx="24">
                  <c:v>46113</c:v>
                </c:pt>
                <c:pt idx="25">
                  <c:v>46114</c:v>
                </c:pt>
              </c:numCache>
            </c:numRef>
          </c:cat>
          <c:val>
            <c:numRef>
              <c:f>Melting!$I$4:$I$29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9F87-44E8-88ED-109A8D166A8C}"/>
            </c:ext>
          </c:extLst>
        </c:ser>
        <c:ser>
          <c:idx val="7"/>
          <c:order val="2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Melting!$B$4:$B$29</c:f>
              <c:numCache>
                <c:formatCode>[$-409]d\-mmm;@</c:formatCode>
                <c:ptCount val="26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46084</c:v>
                </c:pt>
                <c:pt idx="4">
                  <c:v>46085</c:v>
                </c:pt>
                <c:pt idx="5">
                  <c:v>46086</c:v>
                </c:pt>
                <c:pt idx="6">
                  <c:v>46087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46097</c:v>
                </c:pt>
                <c:pt idx="13">
                  <c:v>46098</c:v>
                </c:pt>
                <c:pt idx="14">
                  <c:v>46099</c:v>
                </c:pt>
                <c:pt idx="15">
                  <c:v>46100</c:v>
                </c:pt>
                <c:pt idx="16">
                  <c:v>46101</c:v>
                </c:pt>
                <c:pt idx="17">
                  <c:v>46104</c:v>
                </c:pt>
                <c:pt idx="18">
                  <c:v>46105</c:v>
                </c:pt>
                <c:pt idx="19">
                  <c:v>46106</c:v>
                </c:pt>
                <c:pt idx="20">
                  <c:v>46107</c:v>
                </c:pt>
                <c:pt idx="21">
                  <c:v>46108</c:v>
                </c:pt>
                <c:pt idx="22">
                  <c:v>46111</c:v>
                </c:pt>
                <c:pt idx="23">
                  <c:v>46112</c:v>
                </c:pt>
                <c:pt idx="24">
                  <c:v>46113</c:v>
                </c:pt>
                <c:pt idx="25">
                  <c:v>46114</c:v>
                </c:pt>
              </c:numCache>
            </c:numRef>
          </c:cat>
          <c:val>
            <c:numRef>
              <c:f>Melting!$J$4:$J$29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9F87-44E8-88ED-109A8D166A8C}"/>
            </c:ext>
          </c:extLst>
        </c:ser>
        <c:ser>
          <c:idx val="10"/>
          <c:order val="3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numRef>
              <c:f>Melting!$B$4:$B$29</c:f>
              <c:numCache>
                <c:formatCode>[$-409]d\-mmm;@</c:formatCode>
                <c:ptCount val="26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46084</c:v>
                </c:pt>
                <c:pt idx="4">
                  <c:v>46085</c:v>
                </c:pt>
                <c:pt idx="5">
                  <c:v>46086</c:v>
                </c:pt>
                <c:pt idx="6">
                  <c:v>46087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46097</c:v>
                </c:pt>
                <c:pt idx="13">
                  <c:v>46098</c:v>
                </c:pt>
                <c:pt idx="14">
                  <c:v>46099</c:v>
                </c:pt>
                <c:pt idx="15">
                  <c:v>46100</c:v>
                </c:pt>
                <c:pt idx="16">
                  <c:v>46101</c:v>
                </c:pt>
                <c:pt idx="17">
                  <c:v>46104</c:v>
                </c:pt>
                <c:pt idx="18">
                  <c:v>46105</c:v>
                </c:pt>
                <c:pt idx="19">
                  <c:v>46106</c:v>
                </c:pt>
                <c:pt idx="20">
                  <c:v>46107</c:v>
                </c:pt>
                <c:pt idx="21">
                  <c:v>46108</c:v>
                </c:pt>
                <c:pt idx="22">
                  <c:v>46111</c:v>
                </c:pt>
                <c:pt idx="23">
                  <c:v>46112</c:v>
                </c:pt>
                <c:pt idx="24">
                  <c:v>46113</c:v>
                </c:pt>
                <c:pt idx="25">
                  <c:v>46114</c:v>
                </c:pt>
              </c:numCache>
            </c:numRef>
          </c:cat>
          <c:val>
            <c:numRef>
              <c:f>Melting!$M$4:$M$29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9F87-44E8-88ED-109A8D166A8C}"/>
            </c:ext>
          </c:extLst>
        </c:ser>
        <c:ser>
          <c:idx val="11"/>
          <c:order val="4"/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Melting!$B$4:$B$29</c:f>
              <c:numCache>
                <c:formatCode>[$-409]d\-mmm;@</c:formatCode>
                <c:ptCount val="26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46084</c:v>
                </c:pt>
                <c:pt idx="4">
                  <c:v>46085</c:v>
                </c:pt>
                <c:pt idx="5">
                  <c:v>46086</c:v>
                </c:pt>
                <c:pt idx="6">
                  <c:v>46087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46097</c:v>
                </c:pt>
                <c:pt idx="13">
                  <c:v>46098</c:v>
                </c:pt>
                <c:pt idx="14">
                  <c:v>46099</c:v>
                </c:pt>
                <c:pt idx="15">
                  <c:v>46100</c:v>
                </c:pt>
                <c:pt idx="16">
                  <c:v>46101</c:v>
                </c:pt>
                <c:pt idx="17">
                  <c:v>46104</c:v>
                </c:pt>
                <c:pt idx="18">
                  <c:v>46105</c:v>
                </c:pt>
                <c:pt idx="19">
                  <c:v>46106</c:v>
                </c:pt>
                <c:pt idx="20">
                  <c:v>46107</c:v>
                </c:pt>
                <c:pt idx="21">
                  <c:v>46108</c:v>
                </c:pt>
                <c:pt idx="22">
                  <c:v>46111</c:v>
                </c:pt>
                <c:pt idx="23">
                  <c:v>46112</c:v>
                </c:pt>
                <c:pt idx="24">
                  <c:v>46113</c:v>
                </c:pt>
                <c:pt idx="25">
                  <c:v>46114</c:v>
                </c:pt>
              </c:numCache>
            </c:numRef>
          </c:cat>
          <c:val>
            <c:numRef>
              <c:f>Melting!$N$4:$N$29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9F87-44E8-88ED-109A8D166A8C}"/>
            </c:ext>
          </c:extLst>
        </c:ser>
        <c:ser>
          <c:idx val="12"/>
          <c:order val="5"/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Melting!$B$4:$B$29</c:f>
              <c:numCache>
                <c:formatCode>[$-409]d\-mmm;@</c:formatCode>
                <c:ptCount val="26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46084</c:v>
                </c:pt>
                <c:pt idx="4">
                  <c:v>46085</c:v>
                </c:pt>
                <c:pt idx="5">
                  <c:v>46086</c:v>
                </c:pt>
                <c:pt idx="6">
                  <c:v>46087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46097</c:v>
                </c:pt>
                <c:pt idx="13">
                  <c:v>46098</c:v>
                </c:pt>
                <c:pt idx="14">
                  <c:v>46099</c:v>
                </c:pt>
                <c:pt idx="15">
                  <c:v>46100</c:v>
                </c:pt>
                <c:pt idx="16">
                  <c:v>46101</c:v>
                </c:pt>
                <c:pt idx="17">
                  <c:v>46104</c:v>
                </c:pt>
                <c:pt idx="18">
                  <c:v>46105</c:v>
                </c:pt>
                <c:pt idx="19">
                  <c:v>46106</c:v>
                </c:pt>
                <c:pt idx="20">
                  <c:v>46107</c:v>
                </c:pt>
                <c:pt idx="21">
                  <c:v>46108</c:v>
                </c:pt>
                <c:pt idx="22">
                  <c:v>46111</c:v>
                </c:pt>
                <c:pt idx="23">
                  <c:v>46112</c:v>
                </c:pt>
                <c:pt idx="24">
                  <c:v>46113</c:v>
                </c:pt>
                <c:pt idx="25">
                  <c:v>46114</c:v>
                </c:pt>
              </c:numCache>
            </c:numRef>
          </c:cat>
          <c:val>
            <c:numRef>
              <c:f>Melting!$O$4:$O$29</c:f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9F87-44E8-88ED-109A8D166A8C}"/>
            </c:ext>
          </c:extLst>
        </c:ser>
        <c:ser>
          <c:idx val="13"/>
          <c:order val="6"/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numRef>
              <c:f>Melting!$B$4:$B$29</c:f>
              <c:numCache>
                <c:formatCode>[$-409]d\-mmm;@</c:formatCode>
                <c:ptCount val="26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46084</c:v>
                </c:pt>
                <c:pt idx="4">
                  <c:v>46085</c:v>
                </c:pt>
                <c:pt idx="5">
                  <c:v>46086</c:v>
                </c:pt>
                <c:pt idx="6">
                  <c:v>46087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46097</c:v>
                </c:pt>
                <c:pt idx="13">
                  <c:v>46098</c:v>
                </c:pt>
                <c:pt idx="14">
                  <c:v>46099</c:v>
                </c:pt>
                <c:pt idx="15">
                  <c:v>46100</c:v>
                </c:pt>
                <c:pt idx="16">
                  <c:v>46101</c:v>
                </c:pt>
                <c:pt idx="17">
                  <c:v>46104</c:v>
                </c:pt>
                <c:pt idx="18">
                  <c:v>46105</c:v>
                </c:pt>
                <c:pt idx="19">
                  <c:v>46106</c:v>
                </c:pt>
                <c:pt idx="20">
                  <c:v>46107</c:v>
                </c:pt>
                <c:pt idx="21">
                  <c:v>46108</c:v>
                </c:pt>
                <c:pt idx="22">
                  <c:v>46111</c:v>
                </c:pt>
                <c:pt idx="23">
                  <c:v>46112</c:v>
                </c:pt>
                <c:pt idx="24">
                  <c:v>46113</c:v>
                </c:pt>
                <c:pt idx="25">
                  <c:v>46114</c:v>
                </c:pt>
              </c:numCache>
            </c:numRef>
          </c:cat>
          <c:val>
            <c:numRef>
              <c:f>Melting!$P$4:$P$29</c:f>
              <c:numCache>
                <c:formatCode>0</c:formatCode>
                <c:ptCount val="26"/>
                <c:pt idx="0">
                  <c:v>759.07039999999995</c:v>
                </c:pt>
                <c:pt idx="1">
                  <c:v>771.28200000000004</c:v>
                </c:pt>
                <c:pt idx="2">
                  <c:v>804.0902000000001</c:v>
                </c:pt>
                <c:pt idx="3">
                  <c:v>813.46860000000004</c:v>
                </c:pt>
                <c:pt idx="4">
                  <c:v>839.26</c:v>
                </c:pt>
                <c:pt idx="5">
                  <c:v>867.40780000000007</c:v>
                </c:pt>
                <c:pt idx="6">
                  <c:v>913.49999999999989</c:v>
                </c:pt>
                <c:pt idx="7">
                  <c:v>942.06880000000012</c:v>
                </c:pt>
                <c:pt idx="8">
                  <c:v>911.07640000000004</c:v>
                </c:pt>
                <c:pt idx="9">
                  <c:v>976.39359999999999</c:v>
                </c:pt>
                <c:pt idx="10">
                  <c:v>1015.1232</c:v>
                </c:pt>
                <c:pt idx="11">
                  <c:v>1012.39</c:v>
                </c:pt>
                <c:pt idx="12">
                  <c:v>987.44999999999993</c:v>
                </c:pt>
                <c:pt idx="13">
                  <c:v>1005.3647999999999</c:v>
                </c:pt>
                <c:pt idx="14">
                  <c:v>1013.8439999999999</c:v>
                </c:pt>
                <c:pt idx="15">
                  <c:v>948.22559999999999</c:v>
                </c:pt>
                <c:pt idx="16">
                  <c:v>1023.9503999999999</c:v>
                </c:pt>
                <c:pt idx="17">
                  <c:v>984.26220000000012</c:v>
                </c:pt>
                <c:pt idx="18">
                  <c:v>950.6952</c:v>
                </c:pt>
                <c:pt idx="19">
                  <c:v>947.64599999999996</c:v>
                </c:pt>
                <c:pt idx="20">
                  <c:v>976.43560000000002</c:v>
                </c:pt>
                <c:pt idx="21">
                  <c:v>985.98579999999993</c:v>
                </c:pt>
                <c:pt idx="22">
                  <c:v>968.33240000000001</c:v>
                </c:pt>
                <c:pt idx="23">
                  <c:v>958.94820000000004</c:v>
                </c:pt>
                <c:pt idx="24">
                  <c:v>944.29499999999996</c:v>
                </c:pt>
                <c:pt idx="25">
                  <c:v>973.84623599999998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9F87-44E8-88ED-109A8D166A8C}"/>
            </c:ext>
          </c:extLst>
        </c:ser>
        <c:ser>
          <c:idx val="14"/>
          <c:order val="7"/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Melting!$B$4:$B$29</c:f>
              <c:numCache>
                <c:formatCode>[$-409]d\-mmm;@</c:formatCode>
                <c:ptCount val="26"/>
                <c:pt idx="0">
                  <c:v>46079</c:v>
                </c:pt>
                <c:pt idx="1">
                  <c:v>46080</c:v>
                </c:pt>
                <c:pt idx="2">
                  <c:v>46083</c:v>
                </c:pt>
                <c:pt idx="3">
                  <c:v>46084</c:v>
                </c:pt>
                <c:pt idx="4">
                  <c:v>46085</c:v>
                </c:pt>
                <c:pt idx="5">
                  <c:v>46086</c:v>
                </c:pt>
                <c:pt idx="6">
                  <c:v>46087</c:v>
                </c:pt>
                <c:pt idx="7">
                  <c:v>46090</c:v>
                </c:pt>
                <c:pt idx="8">
                  <c:v>46091</c:v>
                </c:pt>
                <c:pt idx="9">
                  <c:v>46092</c:v>
                </c:pt>
                <c:pt idx="10">
                  <c:v>46093</c:v>
                </c:pt>
                <c:pt idx="11">
                  <c:v>46094</c:v>
                </c:pt>
                <c:pt idx="12">
                  <c:v>46097</c:v>
                </c:pt>
                <c:pt idx="13">
                  <c:v>46098</c:v>
                </c:pt>
                <c:pt idx="14">
                  <c:v>46099</c:v>
                </c:pt>
                <c:pt idx="15">
                  <c:v>46100</c:v>
                </c:pt>
                <c:pt idx="16">
                  <c:v>46101</c:v>
                </c:pt>
                <c:pt idx="17">
                  <c:v>46104</c:v>
                </c:pt>
                <c:pt idx="18">
                  <c:v>46105</c:v>
                </c:pt>
                <c:pt idx="19">
                  <c:v>46106</c:v>
                </c:pt>
                <c:pt idx="20">
                  <c:v>46107</c:v>
                </c:pt>
                <c:pt idx="21">
                  <c:v>46108</c:v>
                </c:pt>
                <c:pt idx="22">
                  <c:v>46111</c:v>
                </c:pt>
                <c:pt idx="23">
                  <c:v>46112</c:v>
                </c:pt>
                <c:pt idx="24">
                  <c:v>46113</c:v>
                </c:pt>
                <c:pt idx="25">
                  <c:v>46114</c:v>
                </c:pt>
              </c:numCache>
            </c:numRef>
          </c:cat>
          <c:val>
            <c:numRef>
              <c:f>Melting!$Q$4:$Q$29</c:f>
              <c:numCache>
                <c:formatCode>0</c:formatCode>
                <c:ptCount val="26"/>
                <c:pt idx="0">
                  <c:v>460.65</c:v>
                </c:pt>
                <c:pt idx="1">
                  <c:v>458.19</c:v>
                </c:pt>
                <c:pt idx="2">
                  <c:v>470.01</c:v>
                </c:pt>
                <c:pt idx="3">
                  <c:v>490.55</c:v>
                </c:pt>
                <c:pt idx="4">
                  <c:v>505.53</c:v>
                </c:pt>
                <c:pt idx="5">
                  <c:v>530.14</c:v>
                </c:pt>
                <c:pt idx="6">
                  <c:v>524.4</c:v>
                </c:pt>
                <c:pt idx="7">
                  <c:v>592.15</c:v>
                </c:pt>
                <c:pt idx="8">
                  <c:v>539.04</c:v>
                </c:pt>
                <c:pt idx="9">
                  <c:v>566.15</c:v>
                </c:pt>
                <c:pt idx="10">
                  <c:v>590.5</c:v>
                </c:pt>
                <c:pt idx="11">
                  <c:v>586.08000000000004</c:v>
                </c:pt>
                <c:pt idx="12">
                  <c:v>604.28</c:v>
                </c:pt>
                <c:pt idx="13">
                  <c:v>593.28</c:v>
                </c:pt>
                <c:pt idx="14">
                  <c:v>601.45000000000005</c:v>
                </c:pt>
                <c:pt idx="15">
                  <c:v>651.86</c:v>
                </c:pt>
                <c:pt idx="16">
                  <c:v>652.17999999999995</c:v>
                </c:pt>
                <c:pt idx="17">
                  <c:v>674.54</c:v>
                </c:pt>
                <c:pt idx="18">
                  <c:v>635.05999999999995</c:v>
                </c:pt>
                <c:pt idx="19">
                  <c:v>613.80999999999995</c:v>
                </c:pt>
                <c:pt idx="20">
                  <c:v>616.16999999999996</c:v>
                </c:pt>
                <c:pt idx="21">
                  <c:v>637.91</c:v>
                </c:pt>
                <c:pt idx="22">
                  <c:v>660.56</c:v>
                </c:pt>
                <c:pt idx="23">
                  <c:v>661.55</c:v>
                </c:pt>
                <c:pt idx="24">
                  <c:v>639.71</c:v>
                </c:pt>
                <c:pt idx="25">
                  <c:v>639.71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9F87-44E8-88ED-109A8D166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19008"/>
        <c:axId val="71420544"/>
        <c:extLst xmlns:c16r2="http://schemas.microsoft.com/office/drawing/2015/06/chart"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Melting!$B$4:$B$29</c15:sqref>
                        </c15:formulaRef>
                      </c:ext>
                    </c:extLst>
                    <c:numCache>
                      <c:formatCode>[$-409]d\-mmm;@</c:formatCode>
                      <c:ptCount val="26"/>
                      <c:pt idx="0">
                        <c:v>46079</c:v>
                      </c:pt>
                      <c:pt idx="1">
                        <c:v>46080</c:v>
                      </c:pt>
                      <c:pt idx="2">
                        <c:v>46083</c:v>
                      </c:pt>
                      <c:pt idx="3">
                        <c:v>46084</c:v>
                      </c:pt>
                      <c:pt idx="4">
                        <c:v>46085</c:v>
                      </c:pt>
                      <c:pt idx="5">
                        <c:v>46086</c:v>
                      </c:pt>
                      <c:pt idx="6">
                        <c:v>46087</c:v>
                      </c:pt>
                      <c:pt idx="7">
                        <c:v>46090</c:v>
                      </c:pt>
                      <c:pt idx="8">
                        <c:v>46091</c:v>
                      </c:pt>
                      <c:pt idx="9">
                        <c:v>46092</c:v>
                      </c:pt>
                      <c:pt idx="10">
                        <c:v>46093</c:v>
                      </c:pt>
                      <c:pt idx="11">
                        <c:v>46094</c:v>
                      </c:pt>
                      <c:pt idx="12">
                        <c:v>46097</c:v>
                      </c:pt>
                      <c:pt idx="13">
                        <c:v>46098</c:v>
                      </c:pt>
                      <c:pt idx="14">
                        <c:v>46099</c:v>
                      </c:pt>
                      <c:pt idx="15">
                        <c:v>46100</c:v>
                      </c:pt>
                      <c:pt idx="16">
                        <c:v>46101</c:v>
                      </c:pt>
                      <c:pt idx="17">
                        <c:v>46104</c:v>
                      </c:pt>
                      <c:pt idx="18">
                        <c:v>46105</c:v>
                      </c:pt>
                      <c:pt idx="19">
                        <c:v>46106</c:v>
                      </c:pt>
                      <c:pt idx="20">
                        <c:v>46107</c:v>
                      </c:pt>
                      <c:pt idx="21">
                        <c:v>46108</c:v>
                      </c:pt>
                      <c:pt idx="22">
                        <c:v>46111</c:v>
                      </c:pt>
                      <c:pt idx="23">
                        <c:v>46112</c:v>
                      </c:pt>
                      <c:pt idx="24">
                        <c:v>46113</c:v>
                      </c:pt>
                      <c:pt idx="25">
                        <c:v>46114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Melting!$C$4:$C$29</c15:sqref>
                        </c15:formulaRef>
                      </c:ext>
                    </c:extLst>
                    <c:numCache>
                      <c:formatCode>0.0</c:formatCode>
                      <c:ptCount val="26"/>
                      <c:pt idx="0">
                        <c:v>65.42</c:v>
                      </c:pt>
                      <c:pt idx="1">
                        <c:v>67.102999999999994</c:v>
                      </c:pt>
                      <c:pt idx="2">
                        <c:v>71.23</c:v>
                      </c:pt>
                      <c:pt idx="3">
                        <c:v>74.56</c:v>
                      </c:pt>
                      <c:pt idx="4">
                        <c:v>74.66</c:v>
                      </c:pt>
                      <c:pt idx="5">
                        <c:v>81.010000000000005</c:v>
                      </c:pt>
                      <c:pt idx="6">
                        <c:v>90.9</c:v>
                      </c:pt>
                      <c:pt idx="7">
                        <c:v>91.48</c:v>
                      </c:pt>
                      <c:pt idx="8">
                        <c:v>82.1</c:v>
                      </c:pt>
                      <c:pt idx="9">
                        <c:v>86.07</c:v>
                      </c:pt>
                      <c:pt idx="10">
                        <c:v>94.43</c:v>
                      </c:pt>
                      <c:pt idx="11">
                        <c:v>96.84</c:v>
                      </c:pt>
                      <c:pt idx="12">
                        <c:v>93.5</c:v>
                      </c:pt>
                      <c:pt idx="13">
                        <c:v>96.21</c:v>
                      </c:pt>
                      <c:pt idx="14">
                        <c:v>96.32</c:v>
                      </c:pt>
                      <c:pt idx="15">
                        <c:v>96.14</c:v>
                      </c:pt>
                      <c:pt idx="16">
                        <c:v>98.32</c:v>
                      </c:pt>
                      <c:pt idx="17">
                        <c:v>88.13</c:v>
                      </c:pt>
                      <c:pt idx="18">
                        <c:v>92.35</c:v>
                      </c:pt>
                      <c:pt idx="19">
                        <c:v>90.32</c:v>
                      </c:pt>
                      <c:pt idx="20">
                        <c:v>94.48</c:v>
                      </c:pt>
                      <c:pt idx="21">
                        <c:v>99.64</c:v>
                      </c:pt>
                      <c:pt idx="22">
                        <c:v>102.88</c:v>
                      </c:pt>
                      <c:pt idx="23">
                        <c:v>101.38</c:v>
                      </c:pt>
                      <c:pt idx="24">
                        <c:v>98.88</c:v>
                      </c:pt>
                      <c:pt idx="25">
                        <c:v>104.68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F87-44E8-88ED-109A8D166A8C}"/>
                  </c:ext>
                </c:extLst>
              </c15:ser>
            </c15:filteredLineSeries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Melting!$B$4:$B$29</c15:sqref>
                        </c15:formulaRef>
                      </c:ext>
                    </c:extLst>
                    <c:numCache>
                      <c:formatCode>[$-409]d\-mmm;@</c:formatCode>
                      <c:ptCount val="26"/>
                      <c:pt idx="0">
                        <c:v>46079</c:v>
                      </c:pt>
                      <c:pt idx="1">
                        <c:v>46080</c:v>
                      </c:pt>
                      <c:pt idx="2">
                        <c:v>46083</c:v>
                      </c:pt>
                      <c:pt idx="3">
                        <c:v>46084</c:v>
                      </c:pt>
                      <c:pt idx="4">
                        <c:v>46085</c:v>
                      </c:pt>
                      <c:pt idx="5">
                        <c:v>46086</c:v>
                      </c:pt>
                      <c:pt idx="6">
                        <c:v>46087</c:v>
                      </c:pt>
                      <c:pt idx="7">
                        <c:v>46090</c:v>
                      </c:pt>
                      <c:pt idx="8">
                        <c:v>46091</c:v>
                      </c:pt>
                      <c:pt idx="9">
                        <c:v>46092</c:v>
                      </c:pt>
                      <c:pt idx="10">
                        <c:v>46093</c:v>
                      </c:pt>
                      <c:pt idx="11">
                        <c:v>46094</c:v>
                      </c:pt>
                      <c:pt idx="12">
                        <c:v>46097</c:v>
                      </c:pt>
                      <c:pt idx="13">
                        <c:v>46098</c:v>
                      </c:pt>
                      <c:pt idx="14">
                        <c:v>46099</c:v>
                      </c:pt>
                      <c:pt idx="15">
                        <c:v>46100</c:v>
                      </c:pt>
                      <c:pt idx="16">
                        <c:v>46101</c:v>
                      </c:pt>
                      <c:pt idx="17">
                        <c:v>46104</c:v>
                      </c:pt>
                      <c:pt idx="18">
                        <c:v>46105</c:v>
                      </c:pt>
                      <c:pt idx="19">
                        <c:v>46106</c:v>
                      </c:pt>
                      <c:pt idx="20">
                        <c:v>46107</c:v>
                      </c:pt>
                      <c:pt idx="21">
                        <c:v>46108</c:v>
                      </c:pt>
                      <c:pt idx="22">
                        <c:v>46111</c:v>
                      </c:pt>
                      <c:pt idx="23">
                        <c:v>46112</c:v>
                      </c:pt>
                      <c:pt idx="24">
                        <c:v>46113</c:v>
                      </c:pt>
                      <c:pt idx="25">
                        <c:v>46114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Melting!$D$4:$D$29</c15:sqref>
                        </c15:formulaRef>
                      </c:ext>
                    </c:extLst>
                    <c:numCache>
                      <c:formatCode>0</c:formatCode>
                      <c:ptCount val="26"/>
                      <c:pt idx="0" formatCode="General">
                        <c:v>743</c:v>
                      </c:pt>
                      <c:pt idx="1">
                        <c:v>754.48260000000005</c:v>
                      </c:pt>
                      <c:pt idx="2">
                        <c:v>784.27516000000014</c:v>
                      </c:pt>
                      <c:pt idx="3">
                        <c:v>797.93988000000002</c:v>
                      </c:pt>
                      <c:pt idx="4">
                        <c:v>823.06700000000001</c:v>
                      </c:pt>
                      <c:pt idx="5">
                        <c:v>852.96824000000015</c:v>
                      </c:pt>
                      <c:pt idx="6">
                        <c:v>888.11999999999989</c:v>
                      </c:pt>
                      <c:pt idx="7">
                        <c:v>931.30004000000008</c:v>
                      </c:pt>
                      <c:pt idx="8">
                        <c:v>890.57312000000002</c:v>
                      </c:pt>
                      <c:pt idx="9">
                        <c:v>950.95988000000011</c:v>
                      </c:pt>
                      <c:pt idx="10">
                        <c:v>989.24856</c:v>
                      </c:pt>
                      <c:pt idx="11">
                        <c:v>985.7360000000001</c:v>
                      </c:pt>
                      <c:pt idx="12">
                        <c:v>971.24400000000003</c:v>
                      </c:pt>
                      <c:pt idx="13" formatCode="General">
                        <c:v>996</c:v>
                      </c:pt>
                      <c:pt idx="14">
                        <c:v>991.51019999999994</c:v>
                      </c:pt>
                      <c:pt idx="15">
                        <c:v>954.13848000000007</c:v>
                      </c:pt>
                      <c:pt idx="16">
                        <c:v>1014.81432</c:v>
                      </c:pt>
                      <c:pt idx="17">
                        <c:v>989.77176000000009</c:v>
                      </c:pt>
                      <c:pt idx="18">
                        <c:v>951.07416000000012</c:v>
                      </c:pt>
                      <c:pt idx="19">
                        <c:v>942.25980000000004</c:v>
                      </c:pt>
                      <c:pt idx="20">
                        <c:v>965.99948000000006</c:v>
                      </c:pt>
                      <c:pt idx="21">
                        <c:v>980.16164000000003</c:v>
                      </c:pt>
                      <c:pt idx="22">
                        <c:v>972.83392000000003</c:v>
                      </c:pt>
                      <c:pt idx="23">
                        <c:v>965.62356</c:v>
                      </c:pt>
                      <c:pt idx="24">
                        <c:v>947.34900000000005</c:v>
                      </c:pt>
                      <c:pt idx="25">
                        <c:v>970.98998879999999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9F87-44E8-88ED-109A8D166A8C}"/>
                  </c:ext>
                </c:extLst>
              </c15:ser>
            </c15:filteredLineSeries>
            <c15:filteredLineSeries>
              <c15:ser>
                <c:idx val="2"/>
                <c:order val="2"/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Melting!$B$4:$B$29</c15:sqref>
                        </c15:formulaRef>
                      </c:ext>
                    </c:extLst>
                    <c:numCache>
                      <c:formatCode>[$-409]d\-mmm;@</c:formatCode>
                      <c:ptCount val="26"/>
                      <c:pt idx="0">
                        <c:v>46079</c:v>
                      </c:pt>
                      <c:pt idx="1">
                        <c:v>46080</c:v>
                      </c:pt>
                      <c:pt idx="2">
                        <c:v>46083</c:v>
                      </c:pt>
                      <c:pt idx="3">
                        <c:v>46084</c:v>
                      </c:pt>
                      <c:pt idx="4">
                        <c:v>46085</c:v>
                      </c:pt>
                      <c:pt idx="5">
                        <c:v>46086</c:v>
                      </c:pt>
                      <c:pt idx="6">
                        <c:v>46087</c:v>
                      </c:pt>
                      <c:pt idx="7">
                        <c:v>46090</c:v>
                      </c:pt>
                      <c:pt idx="8">
                        <c:v>46091</c:v>
                      </c:pt>
                      <c:pt idx="9">
                        <c:v>46092</c:v>
                      </c:pt>
                      <c:pt idx="10">
                        <c:v>46093</c:v>
                      </c:pt>
                      <c:pt idx="11">
                        <c:v>46094</c:v>
                      </c:pt>
                      <c:pt idx="12">
                        <c:v>46097</c:v>
                      </c:pt>
                      <c:pt idx="13">
                        <c:v>46098</c:v>
                      </c:pt>
                      <c:pt idx="14">
                        <c:v>46099</c:v>
                      </c:pt>
                      <c:pt idx="15">
                        <c:v>46100</c:v>
                      </c:pt>
                      <c:pt idx="16">
                        <c:v>46101</c:v>
                      </c:pt>
                      <c:pt idx="17">
                        <c:v>46104</c:v>
                      </c:pt>
                      <c:pt idx="18">
                        <c:v>46105</c:v>
                      </c:pt>
                      <c:pt idx="19">
                        <c:v>46106</c:v>
                      </c:pt>
                      <c:pt idx="20">
                        <c:v>46107</c:v>
                      </c:pt>
                      <c:pt idx="21">
                        <c:v>46108</c:v>
                      </c:pt>
                      <c:pt idx="22">
                        <c:v>46111</c:v>
                      </c:pt>
                      <c:pt idx="23">
                        <c:v>46112</c:v>
                      </c:pt>
                      <c:pt idx="24">
                        <c:v>46113</c:v>
                      </c:pt>
                      <c:pt idx="25">
                        <c:v>46114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Melting!$E$4:$E$29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26"/>
                      <c:pt idx="0">
                        <c:v>16755</c:v>
                      </c:pt>
                      <c:pt idx="1">
                        <c:v>16765</c:v>
                      </c:pt>
                      <c:pt idx="2">
                        <c:v>16860</c:v>
                      </c:pt>
                      <c:pt idx="3">
                        <c:v>16855</c:v>
                      </c:pt>
                      <c:pt idx="4">
                        <c:v>16885</c:v>
                      </c:pt>
                      <c:pt idx="5">
                        <c:v>16880</c:v>
                      </c:pt>
                      <c:pt idx="6">
                        <c:v>16905</c:v>
                      </c:pt>
                      <c:pt idx="7">
                        <c:v>16940</c:v>
                      </c:pt>
                      <c:pt idx="8">
                        <c:v>16857.5</c:v>
                      </c:pt>
                      <c:pt idx="9">
                        <c:v>16870</c:v>
                      </c:pt>
                      <c:pt idx="10">
                        <c:v>16890</c:v>
                      </c:pt>
                      <c:pt idx="11">
                        <c:v>16940</c:v>
                      </c:pt>
                      <c:pt idx="12">
                        <c:v>16990</c:v>
                      </c:pt>
                      <c:pt idx="13">
                        <c:v>16980</c:v>
                      </c:pt>
                      <c:pt idx="14">
                        <c:v>16980</c:v>
                      </c:pt>
                      <c:pt idx="15">
                        <c:v>16980</c:v>
                      </c:pt>
                      <c:pt idx="16">
                        <c:v>16980</c:v>
                      </c:pt>
                      <c:pt idx="17">
                        <c:v>16980</c:v>
                      </c:pt>
                      <c:pt idx="18">
                        <c:v>16980</c:v>
                      </c:pt>
                      <c:pt idx="19">
                        <c:v>16910</c:v>
                      </c:pt>
                      <c:pt idx="20">
                        <c:v>16900</c:v>
                      </c:pt>
                      <c:pt idx="21">
                        <c:v>16965</c:v>
                      </c:pt>
                      <c:pt idx="22">
                        <c:v>16990</c:v>
                      </c:pt>
                      <c:pt idx="23">
                        <c:v>16994.5</c:v>
                      </c:pt>
                      <c:pt idx="24">
                        <c:v>16921.5</c:v>
                      </c:pt>
                      <c:pt idx="25">
                        <c:v>17016.400000000001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F87-44E8-88ED-109A8D166A8C}"/>
                  </c:ext>
                </c:extLst>
              </c15:ser>
            </c15:filteredLineSeries>
            <c15:filteredLineSeries>
              <c15:ser>
                <c:idx val="3"/>
                <c:order val="3"/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Melting!$B$4:$B$29</c15:sqref>
                        </c15:formulaRef>
                      </c:ext>
                    </c:extLst>
                    <c:numCache>
                      <c:formatCode>[$-409]d\-mmm;@</c:formatCode>
                      <c:ptCount val="26"/>
                      <c:pt idx="0">
                        <c:v>46079</c:v>
                      </c:pt>
                      <c:pt idx="1">
                        <c:v>46080</c:v>
                      </c:pt>
                      <c:pt idx="2">
                        <c:v>46083</c:v>
                      </c:pt>
                      <c:pt idx="3">
                        <c:v>46084</c:v>
                      </c:pt>
                      <c:pt idx="4">
                        <c:v>46085</c:v>
                      </c:pt>
                      <c:pt idx="5">
                        <c:v>46086</c:v>
                      </c:pt>
                      <c:pt idx="6">
                        <c:v>46087</c:v>
                      </c:pt>
                      <c:pt idx="7">
                        <c:v>46090</c:v>
                      </c:pt>
                      <c:pt idx="8">
                        <c:v>46091</c:v>
                      </c:pt>
                      <c:pt idx="9">
                        <c:v>46092</c:v>
                      </c:pt>
                      <c:pt idx="10">
                        <c:v>46093</c:v>
                      </c:pt>
                      <c:pt idx="11">
                        <c:v>46094</c:v>
                      </c:pt>
                      <c:pt idx="12">
                        <c:v>46097</c:v>
                      </c:pt>
                      <c:pt idx="13">
                        <c:v>46098</c:v>
                      </c:pt>
                      <c:pt idx="14">
                        <c:v>46099</c:v>
                      </c:pt>
                      <c:pt idx="15">
                        <c:v>46100</c:v>
                      </c:pt>
                      <c:pt idx="16">
                        <c:v>46101</c:v>
                      </c:pt>
                      <c:pt idx="17">
                        <c:v>46104</c:v>
                      </c:pt>
                      <c:pt idx="18">
                        <c:v>46105</c:v>
                      </c:pt>
                      <c:pt idx="19">
                        <c:v>46106</c:v>
                      </c:pt>
                      <c:pt idx="20">
                        <c:v>46107</c:v>
                      </c:pt>
                      <c:pt idx="21">
                        <c:v>46108</c:v>
                      </c:pt>
                      <c:pt idx="22">
                        <c:v>46111</c:v>
                      </c:pt>
                      <c:pt idx="23">
                        <c:v>46112</c:v>
                      </c:pt>
                      <c:pt idx="24">
                        <c:v>46113</c:v>
                      </c:pt>
                      <c:pt idx="25">
                        <c:v>46114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Melting!$F$4:$F$29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26"/>
                      <c:pt idx="0">
                        <c:v>0.1462</c:v>
                      </c:pt>
                      <c:pt idx="1">
                        <c:v>0.14580000000000001</c:v>
                      </c:pt>
                      <c:pt idx="2">
                        <c:v>0.14530000000000001</c:v>
                      </c:pt>
                      <c:pt idx="3">
                        <c:v>0.1449</c:v>
                      </c:pt>
                      <c:pt idx="4">
                        <c:v>0.14499999999999999</c:v>
                      </c:pt>
                      <c:pt idx="5">
                        <c:v>0.14510000000000001</c:v>
                      </c:pt>
                      <c:pt idx="6">
                        <c:v>0.14499999999999999</c:v>
                      </c:pt>
                      <c:pt idx="7">
                        <c:v>0.14480000000000001</c:v>
                      </c:pt>
                      <c:pt idx="8">
                        <c:v>0.1454</c:v>
                      </c:pt>
                      <c:pt idx="9">
                        <c:v>0.14560000000000001</c:v>
                      </c:pt>
                      <c:pt idx="10">
                        <c:v>0.14560000000000001</c:v>
                      </c:pt>
                      <c:pt idx="11">
                        <c:v>0.14499999999999999</c:v>
                      </c:pt>
                      <c:pt idx="12">
                        <c:v>0.14499999999999999</c:v>
                      </c:pt>
                      <c:pt idx="13">
                        <c:v>0.1452</c:v>
                      </c:pt>
                      <c:pt idx="14">
                        <c:v>0.14549999999999999</c:v>
                      </c:pt>
                      <c:pt idx="15">
                        <c:v>0.1449</c:v>
                      </c:pt>
                      <c:pt idx="16">
                        <c:v>0.1452</c:v>
                      </c:pt>
                      <c:pt idx="17">
                        <c:v>0.14530000000000001</c:v>
                      </c:pt>
                      <c:pt idx="18">
                        <c:v>0.14510000000000001</c:v>
                      </c:pt>
                      <c:pt idx="19">
                        <c:v>0.1449</c:v>
                      </c:pt>
                      <c:pt idx="20">
                        <c:v>0.1447</c:v>
                      </c:pt>
                      <c:pt idx="21">
                        <c:v>0.1447</c:v>
                      </c:pt>
                      <c:pt idx="22">
                        <c:v>0.1447</c:v>
                      </c:pt>
                      <c:pt idx="23">
                        <c:v>0.1449</c:v>
                      </c:pt>
                      <c:pt idx="24">
                        <c:v>0.14549999999999999</c:v>
                      </c:pt>
                      <c:pt idx="25">
                        <c:v>0.1452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F87-44E8-88ED-109A8D166A8C}"/>
                  </c:ext>
                </c:extLst>
              </c15:ser>
            </c15:filteredLineSeries>
            <c15:filteredLineSeries>
              <c15:ser>
                <c:idx val="4"/>
                <c:order val="4"/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Melting!$B$4:$B$29</c15:sqref>
                        </c15:formulaRef>
                      </c:ext>
                    </c:extLst>
                    <c:numCache>
                      <c:formatCode>[$-409]d\-mmm;@</c:formatCode>
                      <c:ptCount val="26"/>
                      <c:pt idx="0">
                        <c:v>46079</c:v>
                      </c:pt>
                      <c:pt idx="1">
                        <c:v>46080</c:v>
                      </c:pt>
                      <c:pt idx="2">
                        <c:v>46083</c:v>
                      </c:pt>
                      <c:pt idx="3">
                        <c:v>46084</c:v>
                      </c:pt>
                      <c:pt idx="4">
                        <c:v>46085</c:v>
                      </c:pt>
                      <c:pt idx="5">
                        <c:v>46086</c:v>
                      </c:pt>
                      <c:pt idx="6">
                        <c:v>46087</c:v>
                      </c:pt>
                      <c:pt idx="7">
                        <c:v>46090</c:v>
                      </c:pt>
                      <c:pt idx="8">
                        <c:v>46091</c:v>
                      </c:pt>
                      <c:pt idx="9">
                        <c:v>46092</c:v>
                      </c:pt>
                      <c:pt idx="10">
                        <c:v>46093</c:v>
                      </c:pt>
                      <c:pt idx="11">
                        <c:v>46094</c:v>
                      </c:pt>
                      <c:pt idx="12">
                        <c:v>46097</c:v>
                      </c:pt>
                      <c:pt idx="13">
                        <c:v>46098</c:v>
                      </c:pt>
                      <c:pt idx="14">
                        <c:v>46099</c:v>
                      </c:pt>
                      <c:pt idx="15">
                        <c:v>46100</c:v>
                      </c:pt>
                      <c:pt idx="16">
                        <c:v>46101</c:v>
                      </c:pt>
                      <c:pt idx="17">
                        <c:v>46104</c:v>
                      </c:pt>
                      <c:pt idx="18">
                        <c:v>46105</c:v>
                      </c:pt>
                      <c:pt idx="19">
                        <c:v>46106</c:v>
                      </c:pt>
                      <c:pt idx="20">
                        <c:v>46107</c:v>
                      </c:pt>
                      <c:pt idx="21">
                        <c:v>46108</c:v>
                      </c:pt>
                      <c:pt idx="22">
                        <c:v>46111</c:v>
                      </c:pt>
                      <c:pt idx="23">
                        <c:v>46112</c:v>
                      </c:pt>
                      <c:pt idx="24">
                        <c:v>46113</c:v>
                      </c:pt>
                      <c:pt idx="25">
                        <c:v>46114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Melting!$G$4:$G$29</c15:sqref>
                        </c15:formulaRef>
                      </c:ext>
                    </c:extLst>
                    <c:numCache>
                      <c:formatCode>General</c:formatCode>
                      <c:ptCount val="2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F87-44E8-88ED-109A8D166A8C}"/>
                  </c:ext>
                </c:extLst>
              </c15:ser>
            </c15:filteredLineSeries>
            <c15:filteredLineSeries>
              <c15:ser>
                <c:idx val="8"/>
                <c:order val="8"/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Melting!$B$4:$B$29</c15:sqref>
                        </c15:formulaRef>
                      </c:ext>
                    </c:extLst>
                    <c:numCache>
                      <c:formatCode>[$-409]d\-mmm;@</c:formatCode>
                      <c:ptCount val="26"/>
                      <c:pt idx="0">
                        <c:v>46079</c:v>
                      </c:pt>
                      <c:pt idx="1">
                        <c:v>46080</c:v>
                      </c:pt>
                      <c:pt idx="2">
                        <c:v>46083</c:v>
                      </c:pt>
                      <c:pt idx="3">
                        <c:v>46084</c:v>
                      </c:pt>
                      <c:pt idx="4">
                        <c:v>46085</c:v>
                      </c:pt>
                      <c:pt idx="5">
                        <c:v>46086</c:v>
                      </c:pt>
                      <c:pt idx="6">
                        <c:v>46087</c:v>
                      </c:pt>
                      <c:pt idx="7">
                        <c:v>46090</c:v>
                      </c:pt>
                      <c:pt idx="8">
                        <c:v>46091</c:v>
                      </c:pt>
                      <c:pt idx="9">
                        <c:v>46092</c:v>
                      </c:pt>
                      <c:pt idx="10">
                        <c:v>46093</c:v>
                      </c:pt>
                      <c:pt idx="11">
                        <c:v>46094</c:v>
                      </c:pt>
                      <c:pt idx="12">
                        <c:v>46097</c:v>
                      </c:pt>
                      <c:pt idx="13">
                        <c:v>46098</c:v>
                      </c:pt>
                      <c:pt idx="14">
                        <c:v>46099</c:v>
                      </c:pt>
                      <c:pt idx="15">
                        <c:v>46100</c:v>
                      </c:pt>
                      <c:pt idx="16">
                        <c:v>46101</c:v>
                      </c:pt>
                      <c:pt idx="17">
                        <c:v>46104</c:v>
                      </c:pt>
                      <c:pt idx="18">
                        <c:v>46105</c:v>
                      </c:pt>
                      <c:pt idx="19">
                        <c:v>46106</c:v>
                      </c:pt>
                      <c:pt idx="20">
                        <c:v>46107</c:v>
                      </c:pt>
                      <c:pt idx="21">
                        <c:v>46108</c:v>
                      </c:pt>
                      <c:pt idx="22">
                        <c:v>46111</c:v>
                      </c:pt>
                      <c:pt idx="23">
                        <c:v>46112</c:v>
                      </c:pt>
                      <c:pt idx="24">
                        <c:v>46113</c:v>
                      </c:pt>
                      <c:pt idx="25">
                        <c:v>46114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Melting!$K$4:$K$29</c15:sqref>
                        </c15:formulaRef>
                      </c:ext>
                    </c:extLst>
                    <c:numCache>
                      <c:formatCode>#,##0</c:formatCode>
                      <c:ptCount val="26"/>
                      <c:pt idx="0">
                        <c:v>5192</c:v>
                      </c:pt>
                      <c:pt idx="1">
                        <c:v>5290</c:v>
                      </c:pt>
                      <c:pt idx="2">
                        <c:v>5534</c:v>
                      </c:pt>
                      <c:pt idx="3">
                        <c:v>5614</c:v>
                      </c:pt>
                      <c:pt idx="4">
                        <c:v>5788</c:v>
                      </c:pt>
                      <c:pt idx="5">
                        <c:v>5978</c:v>
                      </c:pt>
                      <c:pt idx="6">
                        <c:v>6300</c:v>
                      </c:pt>
                      <c:pt idx="7">
                        <c:v>6506</c:v>
                      </c:pt>
                      <c:pt idx="8">
                        <c:v>6266</c:v>
                      </c:pt>
                      <c:pt idx="9">
                        <c:v>6706</c:v>
                      </c:pt>
                      <c:pt idx="10">
                        <c:v>6972</c:v>
                      </c:pt>
                      <c:pt idx="11">
                        <c:v>6982</c:v>
                      </c:pt>
                      <c:pt idx="12">
                        <c:v>6810</c:v>
                      </c:pt>
                      <c:pt idx="13">
                        <c:v>6924</c:v>
                      </c:pt>
                      <c:pt idx="14">
                        <c:v>6968</c:v>
                      </c:pt>
                      <c:pt idx="15">
                        <c:v>6544</c:v>
                      </c:pt>
                      <c:pt idx="16">
                        <c:v>7052</c:v>
                      </c:pt>
                      <c:pt idx="17">
                        <c:v>6774</c:v>
                      </c:pt>
                      <c:pt idx="18">
                        <c:v>6552</c:v>
                      </c:pt>
                      <c:pt idx="19">
                        <c:v>6540</c:v>
                      </c:pt>
                      <c:pt idx="20">
                        <c:v>6748</c:v>
                      </c:pt>
                      <c:pt idx="21">
                        <c:v>6814</c:v>
                      </c:pt>
                      <c:pt idx="22">
                        <c:v>6692</c:v>
                      </c:pt>
                      <c:pt idx="23">
                        <c:v>6618</c:v>
                      </c:pt>
                      <c:pt idx="24">
                        <c:v>6490</c:v>
                      </c:pt>
                      <c:pt idx="25">
                        <c:v>6706.93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F87-44E8-88ED-109A8D166A8C}"/>
                  </c:ext>
                </c:extLst>
              </c15:ser>
            </c15:filteredLineSeries>
            <c15:filteredLineSeries>
              <c15:ser>
                <c:idx val="9"/>
                <c:order val="9"/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Melting!$B$4:$B$29</c15:sqref>
                        </c15:formulaRef>
                      </c:ext>
                    </c:extLst>
                    <c:numCache>
                      <c:formatCode>[$-409]d\-mmm;@</c:formatCode>
                      <c:ptCount val="26"/>
                      <c:pt idx="0">
                        <c:v>46079</c:v>
                      </c:pt>
                      <c:pt idx="1">
                        <c:v>46080</c:v>
                      </c:pt>
                      <c:pt idx="2">
                        <c:v>46083</c:v>
                      </c:pt>
                      <c:pt idx="3">
                        <c:v>46084</c:v>
                      </c:pt>
                      <c:pt idx="4">
                        <c:v>46085</c:v>
                      </c:pt>
                      <c:pt idx="5">
                        <c:v>46086</c:v>
                      </c:pt>
                      <c:pt idx="6">
                        <c:v>46087</c:v>
                      </c:pt>
                      <c:pt idx="7">
                        <c:v>46090</c:v>
                      </c:pt>
                      <c:pt idx="8">
                        <c:v>46091</c:v>
                      </c:pt>
                      <c:pt idx="9">
                        <c:v>46092</c:v>
                      </c:pt>
                      <c:pt idx="10">
                        <c:v>46093</c:v>
                      </c:pt>
                      <c:pt idx="11">
                        <c:v>46094</c:v>
                      </c:pt>
                      <c:pt idx="12">
                        <c:v>46097</c:v>
                      </c:pt>
                      <c:pt idx="13">
                        <c:v>46098</c:v>
                      </c:pt>
                      <c:pt idx="14">
                        <c:v>46099</c:v>
                      </c:pt>
                      <c:pt idx="15">
                        <c:v>46100</c:v>
                      </c:pt>
                      <c:pt idx="16">
                        <c:v>46101</c:v>
                      </c:pt>
                      <c:pt idx="17">
                        <c:v>46104</c:v>
                      </c:pt>
                      <c:pt idx="18">
                        <c:v>46105</c:v>
                      </c:pt>
                      <c:pt idx="19">
                        <c:v>46106</c:v>
                      </c:pt>
                      <c:pt idx="20">
                        <c:v>46107</c:v>
                      </c:pt>
                      <c:pt idx="21">
                        <c:v>46108</c:v>
                      </c:pt>
                      <c:pt idx="22">
                        <c:v>46111</c:v>
                      </c:pt>
                      <c:pt idx="23">
                        <c:v>46112</c:v>
                      </c:pt>
                      <c:pt idx="24">
                        <c:v>46113</c:v>
                      </c:pt>
                      <c:pt idx="25">
                        <c:v>46114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Melting!$L$4:$L$29</c15:sqref>
                        </c15:formulaRef>
                      </c:ext>
                    </c:extLst>
                    <c:numCache>
                      <c:formatCode>#,##0</c:formatCode>
                      <c:ptCount val="26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F87-44E8-88ED-109A8D166A8C}"/>
                  </c:ext>
                </c:extLst>
              </c15:ser>
            </c15:filteredLineSeries>
          </c:ext>
        </c:extLst>
      </c:lineChart>
      <c:dateAx>
        <c:axId val="71419008"/>
        <c:scaling>
          <c:orientation val="minMax"/>
        </c:scaling>
        <c:delete val="0"/>
        <c:axPos val="b"/>
        <c:numFmt formatCode="[$-409]d\-mmm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20544"/>
        <c:crosses val="autoZero"/>
        <c:auto val="1"/>
        <c:lblOffset val="100"/>
        <c:baseTimeUnit val="days"/>
      </c:dateAx>
      <c:valAx>
        <c:axId val="7142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1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95250</xdr:colOff>
      <xdr:row>2</xdr:row>
      <xdr:rowOff>185737</xdr:rowOff>
    </xdr:from>
    <xdr:to>
      <xdr:col>28</xdr:col>
      <xdr:colOff>400050</xdr:colOff>
      <xdr:row>17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69D2A1A-BD2B-F637-AF24-07145B443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90487</xdr:colOff>
      <xdr:row>18</xdr:row>
      <xdr:rowOff>4762</xdr:rowOff>
    </xdr:from>
    <xdr:to>
      <xdr:col>28</xdr:col>
      <xdr:colOff>395287</xdr:colOff>
      <xdr:row>32</xdr:row>
      <xdr:rowOff>80962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xmlns="" id="{855D17C7-DE25-D6E9-62EA-B3566EB7D4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90487</xdr:colOff>
      <xdr:row>33</xdr:row>
      <xdr:rowOff>61912</xdr:rowOff>
    </xdr:from>
    <xdr:to>
      <xdr:col>28</xdr:col>
      <xdr:colOff>395287</xdr:colOff>
      <xdr:row>47</xdr:row>
      <xdr:rowOff>138112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xmlns="" id="{A018B353-D9ED-BEB3-E686-90078F540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vesting.com/commodities/crude-oil-historical-data" TargetMode="External"/><Relationship Id="rId2" Type="http://schemas.openxmlformats.org/officeDocument/2006/relationships/hyperlink" Target="https://www.sgx.com/derivatives/products/mono-ethylene-glycol?cc=MEGF" TargetMode="External"/><Relationship Id="rId1" Type="http://schemas.openxmlformats.org/officeDocument/2006/relationships/hyperlink" Target="https://www.investing.com/commodities/zce-pure-terephthalic-acid-futures-historical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workbookViewId="0">
      <pane ySplit="3" topLeftCell="A4" activePane="bottomLeft" state="frozen"/>
      <selection pane="bottomLeft" activeCell="G30" sqref="G30"/>
    </sheetView>
  </sheetViews>
  <sheetFormatPr defaultRowHeight="14.25"/>
  <cols>
    <col min="1" max="1" width="9.125" style="2"/>
    <col min="2" max="2" width="16.625" customWidth="1"/>
    <col min="3" max="3" width="8" customWidth="1"/>
    <col min="4" max="4" width="7.625" customWidth="1"/>
    <col min="5" max="5" width="10.125" customWidth="1"/>
    <col min="6" max="6" width="8.875" style="2" bestFit="1" customWidth="1"/>
    <col min="7" max="7" width="3.875" customWidth="1"/>
    <col min="8" max="11" width="9.125" customWidth="1"/>
    <col min="12" max="12" width="4.125" customWidth="1"/>
  </cols>
  <sheetData>
    <row r="1" spans="2:18" ht="15">
      <c r="H1" t="s">
        <v>75</v>
      </c>
      <c r="M1" t="s">
        <v>10</v>
      </c>
    </row>
    <row r="2" spans="2:18" ht="15">
      <c r="H2" s="42" t="s">
        <v>9</v>
      </c>
      <c r="I2" s="42" t="s">
        <v>9</v>
      </c>
      <c r="J2" s="42" t="s">
        <v>8</v>
      </c>
      <c r="K2" s="42"/>
      <c r="M2" s="42" t="s">
        <v>9</v>
      </c>
      <c r="N2" s="42" t="s">
        <v>9</v>
      </c>
      <c r="O2" s="42" t="s">
        <v>8</v>
      </c>
      <c r="P2" s="42"/>
      <c r="Q2" s="42"/>
    </row>
    <row r="3" spans="2:18" ht="15">
      <c r="B3" t="s">
        <v>0</v>
      </c>
      <c r="C3" t="s">
        <v>1</v>
      </c>
      <c r="D3" t="s">
        <v>14</v>
      </c>
      <c r="E3" t="s">
        <v>2</v>
      </c>
      <c r="F3" s="2" t="s">
        <v>3</v>
      </c>
      <c r="H3" t="s">
        <v>5</v>
      </c>
      <c r="I3" t="s">
        <v>6</v>
      </c>
      <c r="J3" t="s">
        <v>7</v>
      </c>
      <c r="K3" t="s">
        <v>11</v>
      </c>
      <c r="M3" t="s">
        <v>5</v>
      </c>
      <c r="N3" t="s">
        <v>6</v>
      </c>
      <c r="O3" t="s">
        <v>7</v>
      </c>
      <c r="P3" t="s">
        <v>11</v>
      </c>
      <c r="Q3" t="s">
        <v>13</v>
      </c>
      <c r="R3" t="s">
        <v>14</v>
      </c>
    </row>
    <row r="4" spans="2:18" ht="15">
      <c r="B4" s="1">
        <v>46079</v>
      </c>
      <c r="C4" s="36">
        <v>65.42</v>
      </c>
      <c r="D4" s="40">
        <v>743</v>
      </c>
      <c r="E4" s="5">
        <v>16755</v>
      </c>
      <c r="F4" s="2">
        <v>0.1462</v>
      </c>
      <c r="K4" s="37">
        <v>5192</v>
      </c>
      <c r="P4" s="39">
        <f t="shared" ref="P4:P29" si="0">K4*F4</f>
        <v>759.07039999999995</v>
      </c>
      <c r="Q4" s="39">
        <v>460.65</v>
      </c>
      <c r="R4" s="41">
        <f>(0.3*Q4+0.8*P4)</f>
        <v>745.4513199999999</v>
      </c>
    </row>
    <row r="5" spans="2:18" ht="15">
      <c r="B5" s="1">
        <v>46080</v>
      </c>
      <c r="C5" s="36">
        <v>67.102999999999994</v>
      </c>
      <c r="D5" s="39">
        <f>R5</f>
        <v>754.48260000000005</v>
      </c>
      <c r="E5" s="5">
        <v>16765</v>
      </c>
      <c r="F5" s="2">
        <v>0.14580000000000001</v>
      </c>
      <c r="K5" s="37">
        <v>5290</v>
      </c>
      <c r="L5" s="37"/>
      <c r="P5" s="39">
        <f t="shared" si="0"/>
        <v>771.28200000000004</v>
      </c>
      <c r="Q5" s="39">
        <v>458.19</v>
      </c>
      <c r="R5" s="39">
        <f t="shared" ref="R5:R28" si="1">(0.3*Q5+0.8*P5)</f>
        <v>754.48260000000005</v>
      </c>
    </row>
    <row r="6" spans="2:18" ht="15">
      <c r="B6" s="1">
        <v>46083</v>
      </c>
      <c r="C6" s="36">
        <v>71.23</v>
      </c>
      <c r="D6" s="39">
        <f t="shared" ref="D6:D29" si="2">R6</f>
        <v>784.27516000000014</v>
      </c>
      <c r="E6" s="5">
        <v>16860</v>
      </c>
      <c r="F6" s="2">
        <v>0.14530000000000001</v>
      </c>
      <c r="K6" s="37">
        <v>5534</v>
      </c>
      <c r="L6" s="37"/>
      <c r="P6" s="39">
        <f t="shared" si="0"/>
        <v>804.0902000000001</v>
      </c>
      <c r="Q6" s="39">
        <v>470.01</v>
      </c>
      <c r="R6" s="39">
        <f t="shared" si="1"/>
        <v>784.27516000000014</v>
      </c>
    </row>
    <row r="7" spans="2:18" ht="15">
      <c r="B7" s="1">
        <v>46084</v>
      </c>
      <c r="C7" s="36">
        <v>74.56</v>
      </c>
      <c r="D7" s="39">
        <f t="shared" si="2"/>
        <v>797.93988000000002</v>
      </c>
      <c r="E7" s="5">
        <v>16855</v>
      </c>
      <c r="F7" s="2">
        <v>0.1449</v>
      </c>
      <c r="K7" s="37">
        <v>5614</v>
      </c>
      <c r="L7" s="37"/>
      <c r="P7" s="39">
        <f t="shared" si="0"/>
        <v>813.46860000000004</v>
      </c>
      <c r="Q7" s="39">
        <v>490.55</v>
      </c>
      <c r="R7" s="39">
        <f t="shared" si="1"/>
        <v>797.93988000000002</v>
      </c>
    </row>
    <row r="8" spans="2:18" ht="15">
      <c r="B8" s="1">
        <v>46085</v>
      </c>
      <c r="C8" s="36">
        <v>74.66</v>
      </c>
      <c r="D8" s="39">
        <f t="shared" si="2"/>
        <v>823.06700000000001</v>
      </c>
      <c r="E8" s="5">
        <v>16885</v>
      </c>
      <c r="F8" s="2">
        <v>0.14499999999999999</v>
      </c>
      <c r="K8" s="37">
        <v>5788</v>
      </c>
      <c r="L8" s="37"/>
      <c r="P8" s="39">
        <f t="shared" si="0"/>
        <v>839.26</v>
      </c>
      <c r="Q8" s="39">
        <v>505.53</v>
      </c>
      <c r="R8" s="39">
        <f t="shared" si="1"/>
        <v>823.06700000000001</v>
      </c>
    </row>
    <row r="9" spans="2:18" ht="15">
      <c r="B9" s="1">
        <v>46086</v>
      </c>
      <c r="C9" s="36">
        <v>81.010000000000005</v>
      </c>
      <c r="D9" s="39">
        <f t="shared" si="2"/>
        <v>852.96824000000015</v>
      </c>
      <c r="E9" s="5">
        <v>16880</v>
      </c>
      <c r="F9" s="2">
        <v>0.14510000000000001</v>
      </c>
      <c r="K9" s="37">
        <v>5978</v>
      </c>
      <c r="L9" s="37"/>
      <c r="P9" s="39">
        <f t="shared" si="0"/>
        <v>867.40780000000007</v>
      </c>
      <c r="Q9" s="39">
        <v>530.14</v>
      </c>
      <c r="R9" s="39">
        <f t="shared" si="1"/>
        <v>852.96824000000015</v>
      </c>
    </row>
    <row r="10" spans="2:18" ht="15">
      <c r="B10" s="1">
        <v>46087</v>
      </c>
      <c r="C10" s="36">
        <v>90.9</v>
      </c>
      <c r="D10" s="39">
        <f t="shared" si="2"/>
        <v>888.11999999999989</v>
      </c>
      <c r="E10" s="5">
        <v>16905</v>
      </c>
      <c r="F10" s="2">
        <v>0.14499999999999999</v>
      </c>
      <c r="K10" s="37">
        <v>6300</v>
      </c>
      <c r="L10" s="37"/>
      <c r="P10" s="39">
        <f t="shared" si="0"/>
        <v>913.49999999999989</v>
      </c>
      <c r="Q10" s="39">
        <v>524.4</v>
      </c>
      <c r="R10" s="39">
        <f t="shared" si="1"/>
        <v>888.11999999999989</v>
      </c>
    </row>
    <row r="11" spans="2:18" ht="15">
      <c r="B11" s="1">
        <v>46090</v>
      </c>
      <c r="C11" s="36">
        <v>91.48</v>
      </c>
      <c r="D11" s="39">
        <f t="shared" si="2"/>
        <v>931.30004000000008</v>
      </c>
      <c r="E11" s="5">
        <v>16940</v>
      </c>
      <c r="F11" s="2">
        <v>0.14480000000000001</v>
      </c>
      <c r="K11" s="37">
        <v>6506</v>
      </c>
      <c r="L11" s="37"/>
      <c r="P11" s="39">
        <f t="shared" si="0"/>
        <v>942.06880000000012</v>
      </c>
      <c r="Q11" s="39">
        <v>592.15</v>
      </c>
      <c r="R11" s="39">
        <f t="shared" si="1"/>
        <v>931.30004000000008</v>
      </c>
    </row>
    <row r="12" spans="2:18" ht="15">
      <c r="B12" s="1">
        <v>46091</v>
      </c>
      <c r="C12" s="36">
        <v>82.1</v>
      </c>
      <c r="D12" s="39">
        <f t="shared" si="2"/>
        <v>890.57312000000002</v>
      </c>
      <c r="E12" s="5">
        <v>16857.5</v>
      </c>
      <c r="F12" s="2">
        <v>0.1454</v>
      </c>
      <c r="K12" s="37">
        <v>6266</v>
      </c>
      <c r="L12" s="37"/>
      <c r="P12" s="39">
        <f t="shared" si="0"/>
        <v>911.07640000000004</v>
      </c>
      <c r="Q12" s="39">
        <v>539.04</v>
      </c>
      <c r="R12" s="39">
        <f t="shared" si="1"/>
        <v>890.57312000000002</v>
      </c>
    </row>
    <row r="13" spans="2:18" ht="15">
      <c r="B13" s="1">
        <v>46092</v>
      </c>
      <c r="C13" s="36">
        <v>86.07</v>
      </c>
      <c r="D13" s="39">
        <f t="shared" si="2"/>
        <v>950.95988000000011</v>
      </c>
      <c r="E13" s="5">
        <v>16870</v>
      </c>
      <c r="F13" s="2">
        <v>0.14560000000000001</v>
      </c>
      <c r="K13" s="37">
        <v>6706</v>
      </c>
      <c r="L13" s="37"/>
      <c r="P13" s="39">
        <f t="shared" si="0"/>
        <v>976.39359999999999</v>
      </c>
      <c r="Q13" s="39">
        <v>566.15</v>
      </c>
      <c r="R13" s="39">
        <f t="shared" si="1"/>
        <v>950.95988000000011</v>
      </c>
    </row>
    <row r="14" spans="2:18" ht="15">
      <c r="B14" s="1">
        <v>46093</v>
      </c>
      <c r="C14" s="36">
        <v>94.43</v>
      </c>
      <c r="D14" s="39">
        <f t="shared" si="2"/>
        <v>989.24856</v>
      </c>
      <c r="E14" s="5">
        <v>16890</v>
      </c>
      <c r="F14" s="2">
        <v>0.14560000000000001</v>
      </c>
      <c r="K14" s="37">
        <v>6972</v>
      </c>
      <c r="L14" s="37"/>
      <c r="P14" s="39">
        <f t="shared" si="0"/>
        <v>1015.1232</v>
      </c>
      <c r="Q14" s="39">
        <v>590.5</v>
      </c>
      <c r="R14" s="39">
        <f t="shared" si="1"/>
        <v>989.24856</v>
      </c>
    </row>
    <row r="15" spans="2:18" ht="15">
      <c r="B15" s="1">
        <v>46094</v>
      </c>
      <c r="C15" s="36">
        <v>96.84</v>
      </c>
      <c r="D15" s="39">
        <f t="shared" si="2"/>
        <v>985.7360000000001</v>
      </c>
      <c r="E15" s="5">
        <v>16940</v>
      </c>
      <c r="F15" s="2">
        <v>0.14499999999999999</v>
      </c>
      <c r="K15" s="37">
        <v>6982</v>
      </c>
      <c r="L15" s="37"/>
      <c r="P15" s="39">
        <f t="shared" si="0"/>
        <v>1012.39</v>
      </c>
      <c r="Q15" s="39">
        <v>586.08000000000004</v>
      </c>
      <c r="R15" s="39">
        <f t="shared" si="1"/>
        <v>985.7360000000001</v>
      </c>
    </row>
    <row r="16" spans="2:18" ht="15">
      <c r="B16" s="1">
        <v>46097</v>
      </c>
      <c r="C16" s="36">
        <v>93.5</v>
      </c>
      <c r="D16" s="39">
        <f t="shared" si="2"/>
        <v>971.24400000000003</v>
      </c>
      <c r="E16" s="5">
        <v>16990</v>
      </c>
      <c r="F16" s="2">
        <v>0.14499999999999999</v>
      </c>
      <c r="K16" s="37">
        <v>6810</v>
      </c>
      <c r="L16" s="37"/>
      <c r="P16" s="39">
        <f t="shared" si="0"/>
        <v>987.44999999999993</v>
      </c>
      <c r="Q16" s="39">
        <v>604.28</v>
      </c>
      <c r="R16" s="39">
        <f t="shared" si="1"/>
        <v>971.24400000000003</v>
      </c>
    </row>
    <row r="17" spans="2:19" ht="15">
      <c r="B17" s="1">
        <v>46098</v>
      </c>
      <c r="C17" s="36">
        <v>96.21</v>
      </c>
      <c r="D17" s="40">
        <v>996</v>
      </c>
      <c r="E17" s="5">
        <v>16980</v>
      </c>
      <c r="F17" s="2">
        <v>0.1452</v>
      </c>
      <c r="K17" s="37">
        <v>6924</v>
      </c>
      <c r="L17" s="37"/>
      <c r="P17" s="39">
        <f t="shared" si="0"/>
        <v>1005.3647999999999</v>
      </c>
      <c r="Q17" s="39">
        <v>593.28</v>
      </c>
      <c r="R17" s="41">
        <f t="shared" si="1"/>
        <v>982.27584000000002</v>
      </c>
    </row>
    <row r="18" spans="2:19" ht="15">
      <c r="B18" s="1">
        <v>46099</v>
      </c>
      <c r="C18" s="36">
        <v>96.32</v>
      </c>
      <c r="D18" s="39">
        <f t="shared" si="2"/>
        <v>991.51019999999994</v>
      </c>
      <c r="E18" s="5">
        <v>16980</v>
      </c>
      <c r="F18" s="2">
        <v>0.14549999999999999</v>
      </c>
      <c r="K18" s="37">
        <v>6968</v>
      </c>
      <c r="L18" s="37"/>
      <c r="P18" s="39">
        <f t="shared" si="0"/>
        <v>1013.8439999999999</v>
      </c>
      <c r="Q18" s="39">
        <v>601.45000000000005</v>
      </c>
      <c r="R18" s="39">
        <f t="shared" si="1"/>
        <v>991.51019999999994</v>
      </c>
    </row>
    <row r="19" spans="2:19" ht="15">
      <c r="B19" s="1">
        <v>46100</v>
      </c>
      <c r="C19" s="36">
        <v>96.14</v>
      </c>
      <c r="D19" s="39">
        <f t="shared" si="2"/>
        <v>954.13848000000007</v>
      </c>
      <c r="E19" s="5">
        <v>16980</v>
      </c>
      <c r="F19" s="2">
        <v>0.1449</v>
      </c>
      <c r="K19" s="37">
        <v>6544</v>
      </c>
      <c r="L19" s="37"/>
      <c r="P19" s="39">
        <f t="shared" si="0"/>
        <v>948.22559999999999</v>
      </c>
      <c r="Q19" s="39">
        <v>651.86</v>
      </c>
      <c r="R19" s="39">
        <f t="shared" si="1"/>
        <v>954.13848000000007</v>
      </c>
    </row>
    <row r="20" spans="2:19" ht="15">
      <c r="B20" s="1">
        <v>46101</v>
      </c>
      <c r="C20" s="36">
        <v>98.32</v>
      </c>
      <c r="D20" s="39">
        <f t="shared" si="2"/>
        <v>1014.81432</v>
      </c>
      <c r="E20" s="5">
        <v>16980</v>
      </c>
      <c r="F20" s="2">
        <v>0.1452</v>
      </c>
      <c r="K20" s="37">
        <v>7052</v>
      </c>
      <c r="L20" s="37"/>
      <c r="P20" s="39">
        <f t="shared" si="0"/>
        <v>1023.9503999999999</v>
      </c>
      <c r="Q20" s="39">
        <v>652.17999999999995</v>
      </c>
      <c r="R20" s="39">
        <f t="shared" si="1"/>
        <v>1014.81432</v>
      </c>
    </row>
    <row r="21" spans="2:19" ht="15">
      <c r="B21" s="1">
        <v>46104</v>
      </c>
      <c r="C21" s="36">
        <v>88.13</v>
      </c>
      <c r="D21" s="39">
        <f t="shared" si="2"/>
        <v>989.77176000000009</v>
      </c>
      <c r="E21" s="5">
        <v>16980</v>
      </c>
      <c r="F21" s="2">
        <v>0.14530000000000001</v>
      </c>
      <c r="K21" s="37">
        <v>6774</v>
      </c>
      <c r="L21" s="37"/>
      <c r="P21" s="39">
        <f t="shared" si="0"/>
        <v>984.26220000000012</v>
      </c>
      <c r="Q21" s="39">
        <v>674.54</v>
      </c>
      <c r="R21" s="39">
        <f t="shared" si="1"/>
        <v>989.77176000000009</v>
      </c>
    </row>
    <row r="22" spans="2:19" ht="15">
      <c r="B22" s="1">
        <v>46105</v>
      </c>
      <c r="C22" s="36">
        <v>92.35</v>
      </c>
      <c r="D22" s="39">
        <f t="shared" si="2"/>
        <v>951.07416000000012</v>
      </c>
      <c r="E22" s="5">
        <v>16980</v>
      </c>
      <c r="F22" s="2">
        <v>0.14510000000000001</v>
      </c>
      <c r="K22" s="38">
        <v>6552</v>
      </c>
      <c r="L22" s="38"/>
      <c r="P22" s="39">
        <f t="shared" si="0"/>
        <v>950.6952</v>
      </c>
      <c r="Q22" s="39">
        <v>635.05999999999995</v>
      </c>
      <c r="R22" s="39">
        <f t="shared" si="1"/>
        <v>951.07416000000012</v>
      </c>
    </row>
    <row r="23" spans="2:19" ht="15">
      <c r="B23" s="1">
        <v>46106</v>
      </c>
      <c r="C23" s="36">
        <v>90.32</v>
      </c>
      <c r="D23" s="39">
        <f t="shared" si="2"/>
        <v>942.25980000000004</v>
      </c>
      <c r="E23" s="5">
        <v>16910</v>
      </c>
      <c r="F23" s="2">
        <v>0.1449</v>
      </c>
      <c r="K23" s="38">
        <v>6540</v>
      </c>
      <c r="L23" s="38"/>
      <c r="P23" s="39">
        <f t="shared" si="0"/>
        <v>947.64599999999996</v>
      </c>
      <c r="Q23" s="39">
        <v>613.80999999999995</v>
      </c>
      <c r="R23" s="39">
        <f t="shared" si="1"/>
        <v>942.25980000000004</v>
      </c>
    </row>
    <row r="24" spans="2:19" ht="15">
      <c r="B24" s="1">
        <v>46107</v>
      </c>
      <c r="C24" s="36">
        <v>94.48</v>
      </c>
      <c r="D24" s="39">
        <f t="shared" si="2"/>
        <v>965.99948000000006</v>
      </c>
      <c r="E24" s="5">
        <v>16900</v>
      </c>
      <c r="F24" s="2">
        <v>0.1447</v>
      </c>
      <c r="K24" s="38">
        <v>6748</v>
      </c>
      <c r="L24" s="38"/>
      <c r="P24" s="39">
        <f t="shared" si="0"/>
        <v>976.43560000000002</v>
      </c>
      <c r="Q24" s="39">
        <v>616.16999999999996</v>
      </c>
      <c r="R24" s="39">
        <f t="shared" si="1"/>
        <v>965.99948000000006</v>
      </c>
    </row>
    <row r="25" spans="2:19" ht="15">
      <c r="B25" s="1">
        <v>46108</v>
      </c>
      <c r="C25" s="36">
        <v>99.64</v>
      </c>
      <c r="D25" s="39">
        <f t="shared" si="2"/>
        <v>980.16164000000003</v>
      </c>
      <c r="E25" s="5">
        <v>16965</v>
      </c>
      <c r="F25" s="2">
        <v>0.1447</v>
      </c>
      <c r="H25" s="3">
        <v>10606.25</v>
      </c>
      <c r="I25" s="7">
        <v>9300</v>
      </c>
      <c r="J25" s="3">
        <v>9395</v>
      </c>
      <c r="K25" s="38">
        <v>6814</v>
      </c>
      <c r="L25" s="38"/>
      <c r="M25" s="4">
        <f>H25*$F$25/1000</f>
        <v>1.5347243749999999</v>
      </c>
      <c r="N25" s="4">
        <f>I25*$F$25/1000</f>
        <v>1.34571</v>
      </c>
      <c r="O25" s="4">
        <f>J25*$F$25/1000</f>
        <v>1.3594565000000001</v>
      </c>
      <c r="P25" s="39">
        <f t="shared" si="0"/>
        <v>985.98579999999993</v>
      </c>
      <c r="Q25" s="39">
        <v>637.91</v>
      </c>
      <c r="R25" s="39">
        <f t="shared" si="1"/>
        <v>980.16164000000003</v>
      </c>
      <c r="S25" s="4"/>
    </row>
    <row r="26" spans="2:19" ht="15">
      <c r="B26" s="1">
        <v>46111</v>
      </c>
      <c r="C26" s="36">
        <v>102.88</v>
      </c>
      <c r="D26" s="39">
        <f t="shared" si="2"/>
        <v>972.83392000000003</v>
      </c>
      <c r="E26" s="5">
        <v>16990</v>
      </c>
      <c r="F26" s="2">
        <v>0.1447</v>
      </c>
      <c r="H26" s="3">
        <v>10618.75</v>
      </c>
      <c r="I26" s="8">
        <v>9312.5</v>
      </c>
      <c r="J26" s="3">
        <v>9403.33</v>
      </c>
      <c r="K26" s="38">
        <v>6692</v>
      </c>
      <c r="L26" s="38"/>
      <c r="M26" s="4">
        <f t="shared" ref="M26:M28" si="3">H26*$F$25/1000</f>
        <v>1.5365331249999998</v>
      </c>
      <c r="N26" s="4">
        <f t="shared" ref="N26:N28" si="4">I26*$F$25/1000</f>
        <v>1.3475187499999999</v>
      </c>
      <c r="O26" s="4">
        <f t="shared" ref="O26:O28" si="5">J26*$F$25/1000</f>
        <v>1.3606618509999999</v>
      </c>
      <c r="P26" s="39">
        <f t="shared" si="0"/>
        <v>968.33240000000001</v>
      </c>
      <c r="Q26" s="39">
        <v>660.56</v>
      </c>
      <c r="R26" s="39">
        <f t="shared" si="1"/>
        <v>972.83392000000003</v>
      </c>
      <c r="S26" s="4"/>
    </row>
    <row r="27" spans="2:19" ht="15">
      <c r="B27" s="1">
        <v>46112</v>
      </c>
      <c r="C27" s="36">
        <v>101.38</v>
      </c>
      <c r="D27" s="39">
        <f t="shared" si="2"/>
        <v>965.62356</v>
      </c>
      <c r="E27" s="5">
        <v>16994.5</v>
      </c>
      <c r="F27" s="2">
        <v>0.1449</v>
      </c>
      <c r="H27" s="6">
        <v>10618.75</v>
      </c>
      <c r="I27" s="8">
        <v>9312.5</v>
      </c>
      <c r="J27" s="3">
        <v>9445</v>
      </c>
      <c r="K27" s="38">
        <v>6618</v>
      </c>
      <c r="L27" s="38"/>
      <c r="M27" s="4">
        <f t="shared" si="3"/>
        <v>1.5365331249999998</v>
      </c>
      <c r="N27" s="4">
        <f t="shared" si="4"/>
        <v>1.3475187499999999</v>
      </c>
      <c r="O27" s="4">
        <f t="shared" si="5"/>
        <v>1.3666914999999999</v>
      </c>
      <c r="P27" s="39">
        <f t="shared" si="0"/>
        <v>958.94820000000004</v>
      </c>
      <c r="Q27" s="39">
        <v>661.55</v>
      </c>
      <c r="R27" s="39">
        <f t="shared" si="1"/>
        <v>965.62356</v>
      </c>
      <c r="S27" s="4"/>
    </row>
    <row r="28" spans="2:19" ht="15">
      <c r="B28" s="1">
        <v>46113</v>
      </c>
      <c r="C28" s="36">
        <v>98.88</v>
      </c>
      <c r="D28" s="39">
        <f t="shared" si="2"/>
        <v>947.34900000000005</v>
      </c>
      <c r="E28" s="5">
        <v>16921.5</v>
      </c>
      <c r="F28" s="2">
        <v>0.14549999999999999</v>
      </c>
      <c r="H28" s="3">
        <v>10618.75</v>
      </c>
      <c r="I28" s="8">
        <v>9312.5</v>
      </c>
      <c r="J28" s="3">
        <v>9445</v>
      </c>
      <c r="K28" s="38">
        <v>6490</v>
      </c>
      <c r="L28" s="38"/>
      <c r="M28" s="4">
        <f t="shared" si="3"/>
        <v>1.5365331249999998</v>
      </c>
      <c r="N28" s="4">
        <f t="shared" si="4"/>
        <v>1.3475187499999999</v>
      </c>
      <c r="O28" s="4">
        <f t="shared" si="5"/>
        <v>1.3666914999999999</v>
      </c>
      <c r="P28" s="39">
        <f t="shared" si="0"/>
        <v>944.29499999999996</v>
      </c>
      <c r="Q28" s="39">
        <v>639.71</v>
      </c>
      <c r="R28" s="39">
        <f t="shared" si="1"/>
        <v>947.34900000000005</v>
      </c>
      <c r="S28" s="4"/>
    </row>
    <row r="29" spans="2:19" ht="15">
      <c r="B29" s="1">
        <v>46114</v>
      </c>
      <c r="C29" s="36">
        <v>104.68</v>
      </c>
      <c r="D29" s="39">
        <f t="shared" si="2"/>
        <v>970.98998879999999</v>
      </c>
      <c r="E29" s="5">
        <v>17016.400000000001</v>
      </c>
      <c r="F29" s="2">
        <v>0.1452</v>
      </c>
      <c r="K29" s="38">
        <v>6706.93</v>
      </c>
      <c r="L29" s="38"/>
      <c r="M29" s="4"/>
      <c r="N29" s="4"/>
      <c r="O29" s="4"/>
      <c r="P29" s="39">
        <f t="shared" si="0"/>
        <v>973.84623599999998</v>
      </c>
      <c r="Q29" s="39">
        <v>639.71</v>
      </c>
      <c r="R29" s="39">
        <f t="shared" ref="R29" si="6">(0.3*Q29+0.8*P29)</f>
        <v>970.98998879999999</v>
      </c>
      <c r="S29" s="4"/>
    </row>
    <row r="30" spans="2:19" ht="15">
      <c r="B30" s="1">
        <v>46115</v>
      </c>
      <c r="C30" s="36"/>
      <c r="E30" s="5"/>
      <c r="P30" s="39"/>
      <c r="Q30" s="39"/>
      <c r="R30" s="39"/>
    </row>
    <row r="31" spans="2:19">
      <c r="B31" s="1">
        <v>46116</v>
      </c>
      <c r="C31" s="36"/>
      <c r="E31" s="5"/>
    </row>
    <row r="32" spans="2:19">
      <c r="B32" s="1">
        <v>46117</v>
      </c>
      <c r="C32" s="36"/>
      <c r="E32" s="5"/>
    </row>
    <row r="33" spans="2:5">
      <c r="B33" s="1">
        <v>46118</v>
      </c>
      <c r="C33" s="36"/>
      <c r="E33" s="5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48"/>
  <sheetViews>
    <sheetView zoomScale="85" zoomScaleNormal="85" workbookViewId="0">
      <pane ySplit="3" topLeftCell="A13" activePane="bottomLeft" state="frozen"/>
      <selection pane="bottomLeft" activeCell="A30" sqref="A30:XFD30"/>
    </sheetView>
  </sheetViews>
  <sheetFormatPr defaultRowHeight="14.25"/>
  <cols>
    <col min="1" max="1" width="9.125" style="2"/>
    <col min="2" max="2" width="8.875" customWidth="1"/>
    <col min="3" max="3" width="8" style="46" customWidth="1"/>
    <col min="4" max="4" width="7.625" customWidth="1"/>
    <col min="5" max="5" width="10.125" style="46" customWidth="1"/>
    <col min="6" max="6" width="8.875" style="53" bestFit="1" customWidth="1"/>
    <col min="7" max="7" width="3.875" customWidth="1"/>
    <col min="8" max="10" width="9.125" hidden="1" customWidth="1"/>
    <col min="11" max="11" width="9.125" style="46" customWidth="1"/>
    <col min="12" max="12" width="4.125" customWidth="1"/>
    <col min="13" max="15" width="0" hidden="1" customWidth="1"/>
    <col min="17" max="17" width="9" style="46"/>
    <col min="18" max="18" width="9.25" customWidth="1"/>
    <col min="20" max="21" width="7.625" customWidth="1"/>
  </cols>
  <sheetData>
    <row r="1" spans="2:20">
      <c r="H1" t="s">
        <v>75</v>
      </c>
      <c r="M1" t="s">
        <v>10</v>
      </c>
    </row>
    <row r="2" spans="2:20" ht="15">
      <c r="H2" s="42" t="s">
        <v>9</v>
      </c>
      <c r="I2" s="42" t="s">
        <v>9</v>
      </c>
      <c r="J2" s="42" t="s">
        <v>8</v>
      </c>
      <c r="K2" s="47" t="s">
        <v>75</v>
      </c>
      <c r="L2" s="45"/>
      <c r="M2" s="44" t="s">
        <v>9</v>
      </c>
      <c r="N2" s="44" t="s">
        <v>9</v>
      </c>
      <c r="O2" s="44" t="s">
        <v>8</v>
      </c>
      <c r="P2" s="44" t="s">
        <v>10</v>
      </c>
      <c r="Q2" s="55"/>
    </row>
    <row r="3" spans="2:20" ht="15">
      <c r="B3" s="43" t="s">
        <v>78</v>
      </c>
      <c r="C3" s="48" t="s">
        <v>1</v>
      </c>
      <c r="D3" s="43" t="s">
        <v>14</v>
      </c>
      <c r="E3" s="48" t="s">
        <v>2</v>
      </c>
      <c r="F3" s="54" t="s">
        <v>3</v>
      </c>
      <c r="G3" s="43"/>
      <c r="H3" s="43" t="s">
        <v>5</v>
      </c>
      <c r="I3" s="43" t="s">
        <v>6</v>
      </c>
      <c r="J3" s="43" t="s">
        <v>7</v>
      </c>
      <c r="K3" s="48" t="s">
        <v>11</v>
      </c>
      <c r="L3" s="43"/>
      <c r="M3" s="43" t="s">
        <v>5</v>
      </c>
      <c r="N3" s="43" t="s">
        <v>6</v>
      </c>
      <c r="O3" s="43" t="s">
        <v>7</v>
      </c>
      <c r="P3" s="43" t="s">
        <v>11</v>
      </c>
      <c r="Q3" s="48" t="s">
        <v>13</v>
      </c>
      <c r="R3" s="43" t="s">
        <v>14</v>
      </c>
      <c r="S3" s="43" t="s">
        <v>76</v>
      </c>
      <c r="T3" s="43" t="s">
        <v>77</v>
      </c>
    </row>
    <row r="4" spans="2:20">
      <c r="B4" s="1">
        <v>46079</v>
      </c>
      <c r="C4" s="51">
        <v>65.42</v>
      </c>
      <c r="D4" s="40">
        <v>743</v>
      </c>
      <c r="E4" s="52">
        <v>16755</v>
      </c>
      <c r="F4" s="53">
        <v>0.1462</v>
      </c>
      <c r="K4" s="49">
        <v>5192</v>
      </c>
      <c r="P4" s="39">
        <f t="shared" ref="P4:P30" si="0">K4*F4</f>
        <v>759.07039999999995</v>
      </c>
      <c r="Q4" s="56">
        <v>460.65</v>
      </c>
      <c r="R4" s="41">
        <f>(0.3*Q4+0.8*P4)</f>
        <v>745.4513199999999</v>
      </c>
      <c r="S4" s="4">
        <f>R4/1000+0.6</f>
        <v>1.34545132</v>
      </c>
    </row>
    <row r="5" spans="2:20">
      <c r="B5" s="1">
        <v>46080</v>
      </c>
      <c r="C5" s="51">
        <v>67.102999999999994</v>
      </c>
      <c r="D5" s="39">
        <f>R5</f>
        <v>754.48260000000005</v>
      </c>
      <c r="E5" s="52">
        <v>16765</v>
      </c>
      <c r="F5" s="53">
        <v>0.14580000000000001</v>
      </c>
      <c r="K5" s="49">
        <v>5290</v>
      </c>
      <c r="L5" s="37"/>
      <c r="P5" s="39">
        <f t="shared" si="0"/>
        <v>771.28200000000004</v>
      </c>
      <c r="Q5" s="56">
        <v>458.19</v>
      </c>
      <c r="R5" s="39">
        <f t="shared" ref="R5:R29" si="1">(0.3*Q5+0.8*P5)</f>
        <v>754.48260000000005</v>
      </c>
      <c r="S5" s="4">
        <f t="shared" ref="S5:S28" si="2">R5/1000+0.6</f>
        <v>1.3544825999999999</v>
      </c>
      <c r="T5" s="4">
        <f t="shared" ref="T5:T28" si="3">S5-$S$4</f>
        <v>9.0312799999998639E-3</v>
      </c>
    </row>
    <row r="6" spans="2:20">
      <c r="B6" s="1">
        <v>46083</v>
      </c>
      <c r="C6" s="51">
        <v>71.23</v>
      </c>
      <c r="D6" s="39">
        <f t="shared" ref="D6:D30" si="4">R6</f>
        <v>784.27516000000014</v>
      </c>
      <c r="E6" s="52">
        <v>16860</v>
      </c>
      <c r="F6" s="53">
        <v>0.14530000000000001</v>
      </c>
      <c r="K6" s="49">
        <v>5534</v>
      </c>
      <c r="L6" s="37"/>
      <c r="P6" s="39">
        <f t="shared" si="0"/>
        <v>804.0902000000001</v>
      </c>
      <c r="Q6" s="56">
        <v>470.01</v>
      </c>
      <c r="R6" s="39">
        <f t="shared" si="1"/>
        <v>784.27516000000014</v>
      </c>
      <c r="S6" s="4">
        <f t="shared" si="2"/>
        <v>1.3842751600000001</v>
      </c>
      <c r="T6" s="4">
        <f t="shared" si="3"/>
        <v>3.8823840000000054E-2</v>
      </c>
    </row>
    <row r="7" spans="2:20">
      <c r="B7" s="1">
        <v>46084</v>
      </c>
      <c r="C7" s="51">
        <v>74.56</v>
      </c>
      <c r="D7" s="39">
        <f t="shared" si="4"/>
        <v>797.93988000000002</v>
      </c>
      <c r="E7" s="52">
        <v>16855</v>
      </c>
      <c r="F7" s="53">
        <v>0.1449</v>
      </c>
      <c r="K7" s="49">
        <v>5614</v>
      </c>
      <c r="L7" s="37"/>
      <c r="P7" s="39">
        <f t="shared" si="0"/>
        <v>813.46860000000004</v>
      </c>
      <c r="Q7" s="56">
        <v>490.55</v>
      </c>
      <c r="R7" s="39">
        <f t="shared" si="1"/>
        <v>797.93988000000002</v>
      </c>
      <c r="S7" s="4">
        <f t="shared" si="2"/>
        <v>1.39793988</v>
      </c>
      <c r="T7" s="4">
        <f t="shared" si="3"/>
        <v>5.2488560000000017E-2</v>
      </c>
    </row>
    <row r="8" spans="2:20">
      <c r="B8" s="1">
        <v>46085</v>
      </c>
      <c r="C8" s="51">
        <v>74.66</v>
      </c>
      <c r="D8" s="39">
        <f t="shared" si="4"/>
        <v>823.06700000000001</v>
      </c>
      <c r="E8" s="52">
        <v>16885</v>
      </c>
      <c r="F8" s="53">
        <v>0.14499999999999999</v>
      </c>
      <c r="K8" s="49">
        <v>5788</v>
      </c>
      <c r="L8" s="37"/>
      <c r="P8" s="39">
        <f t="shared" si="0"/>
        <v>839.26</v>
      </c>
      <c r="Q8" s="56">
        <v>505.53</v>
      </c>
      <c r="R8" s="39">
        <f t="shared" si="1"/>
        <v>823.06700000000001</v>
      </c>
      <c r="S8" s="4">
        <f t="shared" si="2"/>
        <v>1.4230670000000001</v>
      </c>
      <c r="T8" s="4">
        <f t="shared" si="3"/>
        <v>7.7615680000000076E-2</v>
      </c>
    </row>
    <row r="9" spans="2:20">
      <c r="B9" s="1">
        <v>46086</v>
      </c>
      <c r="C9" s="51">
        <v>81.010000000000005</v>
      </c>
      <c r="D9" s="39">
        <f t="shared" si="4"/>
        <v>852.96824000000015</v>
      </c>
      <c r="E9" s="52">
        <v>16880</v>
      </c>
      <c r="F9" s="53">
        <v>0.14510000000000001</v>
      </c>
      <c r="K9" s="49">
        <v>5978</v>
      </c>
      <c r="L9" s="37"/>
      <c r="P9" s="39">
        <f t="shared" si="0"/>
        <v>867.40780000000007</v>
      </c>
      <c r="Q9" s="56">
        <v>530.14</v>
      </c>
      <c r="R9" s="39">
        <f t="shared" si="1"/>
        <v>852.96824000000015</v>
      </c>
      <c r="S9" s="4">
        <f t="shared" si="2"/>
        <v>1.4529682400000001</v>
      </c>
      <c r="T9" s="4">
        <f t="shared" si="3"/>
        <v>0.10751692000000013</v>
      </c>
    </row>
    <row r="10" spans="2:20">
      <c r="B10" s="1">
        <v>46087</v>
      </c>
      <c r="C10" s="51">
        <v>90.9</v>
      </c>
      <c r="D10" s="39">
        <f t="shared" si="4"/>
        <v>888.11999999999989</v>
      </c>
      <c r="E10" s="52">
        <v>16905</v>
      </c>
      <c r="F10" s="53">
        <v>0.14499999999999999</v>
      </c>
      <c r="K10" s="49">
        <v>6300</v>
      </c>
      <c r="L10" s="37"/>
      <c r="P10" s="39">
        <f t="shared" si="0"/>
        <v>913.49999999999989</v>
      </c>
      <c r="Q10" s="56">
        <v>524.4</v>
      </c>
      <c r="R10" s="39">
        <f t="shared" si="1"/>
        <v>888.11999999999989</v>
      </c>
      <c r="S10" s="4">
        <f t="shared" si="2"/>
        <v>1.4881199999999999</v>
      </c>
      <c r="T10" s="4">
        <f t="shared" si="3"/>
        <v>0.14266867999999988</v>
      </c>
    </row>
    <row r="11" spans="2:20">
      <c r="B11" s="1">
        <v>46090</v>
      </c>
      <c r="C11" s="51">
        <v>91.48</v>
      </c>
      <c r="D11" s="39">
        <f t="shared" si="4"/>
        <v>931.30004000000008</v>
      </c>
      <c r="E11" s="52">
        <v>16940</v>
      </c>
      <c r="F11" s="53">
        <v>0.14480000000000001</v>
      </c>
      <c r="K11" s="49">
        <v>6506</v>
      </c>
      <c r="L11" s="37"/>
      <c r="P11" s="39">
        <f t="shared" si="0"/>
        <v>942.06880000000012</v>
      </c>
      <c r="Q11" s="56">
        <v>592.15</v>
      </c>
      <c r="R11" s="39">
        <f t="shared" si="1"/>
        <v>931.30004000000008</v>
      </c>
      <c r="S11" s="4">
        <f t="shared" si="2"/>
        <v>1.5313000400000001</v>
      </c>
      <c r="T11" s="4">
        <f t="shared" si="3"/>
        <v>0.18584872000000008</v>
      </c>
    </row>
    <row r="12" spans="2:20">
      <c r="B12" s="1">
        <v>46091</v>
      </c>
      <c r="C12" s="51">
        <v>82.1</v>
      </c>
      <c r="D12" s="39">
        <f t="shared" si="4"/>
        <v>890.57312000000002</v>
      </c>
      <c r="E12" s="52">
        <v>16857.5</v>
      </c>
      <c r="F12" s="53">
        <v>0.1454</v>
      </c>
      <c r="K12" s="49">
        <v>6266</v>
      </c>
      <c r="L12" s="37"/>
      <c r="P12" s="39">
        <f t="shared" si="0"/>
        <v>911.07640000000004</v>
      </c>
      <c r="Q12" s="56">
        <v>539.04</v>
      </c>
      <c r="R12" s="39">
        <f t="shared" si="1"/>
        <v>890.57312000000002</v>
      </c>
      <c r="S12" s="4">
        <f t="shared" si="2"/>
        <v>1.4905731200000001</v>
      </c>
      <c r="T12" s="4">
        <f t="shared" si="3"/>
        <v>0.14512180000000008</v>
      </c>
    </row>
    <row r="13" spans="2:20">
      <c r="B13" s="1">
        <v>46092</v>
      </c>
      <c r="C13" s="51">
        <v>86.07</v>
      </c>
      <c r="D13" s="39">
        <f t="shared" si="4"/>
        <v>950.95988000000011</v>
      </c>
      <c r="E13" s="52">
        <v>16870</v>
      </c>
      <c r="F13" s="53">
        <v>0.14560000000000001</v>
      </c>
      <c r="K13" s="49">
        <v>6706</v>
      </c>
      <c r="L13" s="37"/>
      <c r="P13" s="39">
        <f t="shared" si="0"/>
        <v>976.39359999999999</v>
      </c>
      <c r="Q13" s="56">
        <v>566.15</v>
      </c>
      <c r="R13" s="39">
        <f t="shared" si="1"/>
        <v>950.95988000000011</v>
      </c>
      <c r="S13" s="4">
        <f t="shared" si="2"/>
        <v>1.5509598800000002</v>
      </c>
      <c r="T13" s="4">
        <f t="shared" si="3"/>
        <v>0.20550856000000017</v>
      </c>
    </row>
    <row r="14" spans="2:20">
      <c r="B14" s="1">
        <v>46093</v>
      </c>
      <c r="C14" s="51">
        <v>94.43</v>
      </c>
      <c r="D14" s="39">
        <f t="shared" si="4"/>
        <v>989.24856</v>
      </c>
      <c r="E14" s="52">
        <v>16890</v>
      </c>
      <c r="F14" s="53">
        <v>0.14560000000000001</v>
      </c>
      <c r="K14" s="49">
        <v>6972</v>
      </c>
      <c r="L14" s="37"/>
      <c r="P14" s="39">
        <f t="shared" si="0"/>
        <v>1015.1232</v>
      </c>
      <c r="Q14" s="56">
        <v>590.5</v>
      </c>
      <c r="R14" s="39">
        <f t="shared" si="1"/>
        <v>989.24856</v>
      </c>
      <c r="S14" s="4">
        <f t="shared" si="2"/>
        <v>1.5892485599999999</v>
      </c>
      <c r="T14" s="4">
        <f t="shared" si="3"/>
        <v>0.24379723999999992</v>
      </c>
    </row>
    <row r="15" spans="2:20">
      <c r="B15" s="1">
        <v>46094</v>
      </c>
      <c r="C15" s="51">
        <v>96.84</v>
      </c>
      <c r="D15" s="39">
        <f t="shared" si="4"/>
        <v>985.7360000000001</v>
      </c>
      <c r="E15" s="52">
        <v>16940</v>
      </c>
      <c r="F15" s="53">
        <v>0.14499999999999999</v>
      </c>
      <c r="K15" s="49">
        <v>6982</v>
      </c>
      <c r="L15" s="37"/>
      <c r="P15" s="39">
        <f t="shared" si="0"/>
        <v>1012.39</v>
      </c>
      <c r="Q15" s="56">
        <v>586.08000000000004</v>
      </c>
      <c r="R15" s="39">
        <f t="shared" si="1"/>
        <v>985.7360000000001</v>
      </c>
      <c r="S15" s="4">
        <f t="shared" si="2"/>
        <v>1.585736</v>
      </c>
      <c r="T15" s="4">
        <f t="shared" si="3"/>
        <v>0.24028468000000003</v>
      </c>
    </row>
    <row r="16" spans="2:20">
      <c r="B16" s="1">
        <v>46097</v>
      </c>
      <c r="C16" s="51">
        <v>93.5</v>
      </c>
      <c r="D16" s="39">
        <f t="shared" si="4"/>
        <v>971.24400000000003</v>
      </c>
      <c r="E16" s="52">
        <v>16990</v>
      </c>
      <c r="F16" s="53">
        <v>0.14499999999999999</v>
      </c>
      <c r="K16" s="49">
        <v>6810</v>
      </c>
      <c r="L16" s="37"/>
      <c r="P16" s="39">
        <f t="shared" si="0"/>
        <v>987.44999999999993</v>
      </c>
      <c r="Q16" s="56">
        <v>604.28</v>
      </c>
      <c r="R16" s="39">
        <f t="shared" si="1"/>
        <v>971.24400000000003</v>
      </c>
      <c r="S16" s="4">
        <f t="shared" si="2"/>
        <v>1.5712440000000001</v>
      </c>
      <c r="T16" s="4">
        <f t="shared" si="3"/>
        <v>0.22579268000000008</v>
      </c>
    </row>
    <row r="17" spans="2:20">
      <c r="B17" s="1">
        <v>46098</v>
      </c>
      <c r="C17" s="51">
        <v>96.21</v>
      </c>
      <c r="D17" s="40">
        <v>996</v>
      </c>
      <c r="E17" s="52">
        <v>16980</v>
      </c>
      <c r="F17" s="53">
        <v>0.1452</v>
      </c>
      <c r="K17" s="49">
        <v>6924</v>
      </c>
      <c r="L17" s="37"/>
      <c r="P17" s="39">
        <f t="shared" si="0"/>
        <v>1005.3647999999999</v>
      </c>
      <c r="Q17" s="56">
        <v>593.28</v>
      </c>
      <c r="R17" s="41">
        <f t="shared" si="1"/>
        <v>982.27584000000002</v>
      </c>
      <c r="S17" s="4">
        <f t="shared" si="2"/>
        <v>1.5822758399999999</v>
      </c>
      <c r="T17" s="4">
        <f t="shared" si="3"/>
        <v>0.23682451999999987</v>
      </c>
    </row>
    <row r="18" spans="2:20">
      <c r="B18" s="1">
        <v>46099</v>
      </c>
      <c r="C18" s="51">
        <v>96.32</v>
      </c>
      <c r="D18" s="39">
        <f t="shared" si="4"/>
        <v>991.51019999999994</v>
      </c>
      <c r="E18" s="52">
        <v>16980</v>
      </c>
      <c r="F18" s="53">
        <v>0.14549999999999999</v>
      </c>
      <c r="K18" s="49">
        <v>6968</v>
      </c>
      <c r="L18" s="37"/>
      <c r="P18" s="39">
        <f t="shared" si="0"/>
        <v>1013.8439999999999</v>
      </c>
      <c r="Q18" s="56">
        <v>601.45000000000005</v>
      </c>
      <c r="R18" s="39">
        <f t="shared" si="1"/>
        <v>991.51019999999994</v>
      </c>
      <c r="S18" s="4">
        <f t="shared" si="2"/>
        <v>1.5915101999999999</v>
      </c>
      <c r="T18" s="4">
        <f t="shared" si="3"/>
        <v>0.24605887999999987</v>
      </c>
    </row>
    <row r="19" spans="2:20">
      <c r="B19" s="1">
        <v>46100</v>
      </c>
      <c r="C19" s="51">
        <v>96.14</v>
      </c>
      <c r="D19" s="39">
        <f t="shared" si="4"/>
        <v>954.13848000000007</v>
      </c>
      <c r="E19" s="52">
        <v>16980</v>
      </c>
      <c r="F19" s="53">
        <v>0.1449</v>
      </c>
      <c r="K19" s="49">
        <v>6544</v>
      </c>
      <c r="L19" s="37"/>
      <c r="P19" s="39">
        <f t="shared" si="0"/>
        <v>948.22559999999999</v>
      </c>
      <c r="Q19" s="56">
        <v>651.86</v>
      </c>
      <c r="R19" s="39">
        <f t="shared" si="1"/>
        <v>954.13848000000007</v>
      </c>
      <c r="S19" s="4">
        <f t="shared" si="2"/>
        <v>1.5541384800000002</v>
      </c>
      <c r="T19" s="4">
        <f t="shared" si="3"/>
        <v>0.2086871600000002</v>
      </c>
    </row>
    <row r="20" spans="2:20">
      <c r="B20" s="1">
        <v>46101</v>
      </c>
      <c r="C20" s="51">
        <v>98.32</v>
      </c>
      <c r="D20" s="39">
        <f t="shared" si="4"/>
        <v>1014.81432</v>
      </c>
      <c r="E20" s="52">
        <v>16980</v>
      </c>
      <c r="F20" s="53">
        <v>0.1452</v>
      </c>
      <c r="K20" s="49">
        <v>7052</v>
      </c>
      <c r="L20" s="37"/>
      <c r="P20" s="39">
        <f t="shared" si="0"/>
        <v>1023.9503999999999</v>
      </c>
      <c r="Q20" s="56">
        <v>652.17999999999995</v>
      </c>
      <c r="R20" s="39">
        <f t="shared" si="1"/>
        <v>1014.81432</v>
      </c>
      <c r="S20" s="4">
        <f t="shared" si="2"/>
        <v>1.6148143199999998</v>
      </c>
      <c r="T20" s="4">
        <f t="shared" si="3"/>
        <v>0.2693629999999998</v>
      </c>
    </row>
    <row r="21" spans="2:20">
      <c r="B21" s="1">
        <v>46104</v>
      </c>
      <c r="C21" s="51">
        <v>88.13</v>
      </c>
      <c r="D21" s="39">
        <f t="shared" si="4"/>
        <v>989.77176000000009</v>
      </c>
      <c r="E21" s="52">
        <v>16980</v>
      </c>
      <c r="F21" s="53">
        <v>0.14530000000000001</v>
      </c>
      <c r="K21" s="49">
        <v>6774</v>
      </c>
      <c r="L21" s="37"/>
      <c r="P21" s="39">
        <f t="shared" si="0"/>
        <v>984.26220000000012</v>
      </c>
      <c r="Q21" s="56">
        <v>674.54</v>
      </c>
      <c r="R21" s="39">
        <f t="shared" si="1"/>
        <v>989.77176000000009</v>
      </c>
      <c r="S21" s="4">
        <f t="shared" si="2"/>
        <v>1.5897717600000001</v>
      </c>
      <c r="T21" s="4">
        <f t="shared" si="3"/>
        <v>0.24432044000000008</v>
      </c>
    </row>
    <row r="22" spans="2:20">
      <c r="B22" s="1">
        <v>46105</v>
      </c>
      <c r="C22" s="51">
        <v>92.35</v>
      </c>
      <c r="D22" s="39">
        <f t="shared" si="4"/>
        <v>951.07416000000012</v>
      </c>
      <c r="E22" s="52">
        <v>16980</v>
      </c>
      <c r="F22" s="53">
        <v>0.14510000000000001</v>
      </c>
      <c r="K22" s="50">
        <v>6552</v>
      </c>
      <c r="L22" s="38"/>
      <c r="P22" s="39">
        <f t="shared" si="0"/>
        <v>950.6952</v>
      </c>
      <c r="Q22" s="56">
        <v>635.05999999999995</v>
      </c>
      <c r="R22" s="39">
        <f t="shared" si="1"/>
        <v>951.07416000000012</v>
      </c>
      <c r="S22" s="4">
        <f t="shared" si="2"/>
        <v>1.5510741600000002</v>
      </c>
      <c r="T22" s="4">
        <f t="shared" si="3"/>
        <v>0.2056228400000002</v>
      </c>
    </row>
    <row r="23" spans="2:20">
      <c r="B23" s="1">
        <v>46106</v>
      </c>
      <c r="C23" s="51">
        <v>90.32</v>
      </c>
      <c r="D23" s="39">
        <f t="shared" si="4"/>
        <v>942.25980000000004</v>
      </c>
      <c r="E23" s="52">
        <v>16910</v>
      </c>
      <c r="F23" s="53">
        <v>0.1449</v>
      </c>
      <c r="K23" s="50">
        <v>6540</v>
      </c>
      <c r="L23" s="38"/>
      <c r="P23" s="39">
        <f t="shared" si="0"/>
        <v>947.64599999999996</v>
      </c>
      <c r="Q23" s="56">
        <v>613.80999999999995</v>
      </c>
      <c r="R23" s="39">
        <f t="shared" si="1"/>
        <v>942.25980000000004</v>
      </c>
      <c r="S23" s="4">
        <f t="shared" si="2"/>
        <v>1.5422598000000001</v>
      </c>
      <c r="T23" s="4">
        <f t="shared" si="3"/>
        <v>0.19680848000000006</v>
      </c>
    </row>
    <row r="24" spans="2:20">
      <c r="B24" s="1">
        <v>46107</v>
      </c>
      <c r="C24" s="51">
        <v>94.48</v>
      </c>
      <c r="D24" s="39">
        <f t="shared" si="4"/>
        <v>965.99948000000006</v>
      </c>
      <c r="E24" s="52">
        <v>16900</v>
      </c>
      <c r="F24" s="53">
        <v>0.1447</v>
      </c>
      <c r="K24" s="50">
        <v>6748</v>
      </c>
      <c r="L24" s="38"/>
      <c r="P24" s="39">
        <f t="shared" si="0"/>
        <v>976.43560000000002</v>
      </c>
      <c r="Q24" s="56">
        <v>616.16999999999996</v>
      </c>
      <c r="R24" s="39">
        <f t="shared" si="1"/>
        <v>965.99948000000006</v>
      </c>
      <c r="S24" s="4">
        <f t="shared" si="2"/>
        <v>1.5659994799999999</v>
      </c>
      <c r="T24" s="4">
        <f t="shared" si="3"/>
        <v>0.22054815999999988</v>
      </c>
    </row>
    <row r="25" spans="2:20">
      <c r="B25" s="1">
        <v>46108</v>
      </c>
      <c r="C25" s="51">
        <v>99.64</v>
      </c>
      <c r="D25" s="39">
        <f t="shared" si="4"/>
        <v>980.16164000000003</v>
      </c>
      <c r="E25" s="52">
        <v>16965</v>
      </c>
      <c r="F25" s="53">
        <v>0.1447</v>
      </c>
      <c r="H25" s="3">
        <v>10606.25</v>
      </c>
      <c r="I25" s="7">
        <v>9300</v>
      </c>
      <c r="J25" s="3">
        <v>9395</v>
      </c>
      <c r="K25" s="50">
        <v>6814</v>
      </c>
      <c r="L25" s="38"/>
      <c r="M25" s="4">
        <f>H25*$F$25/1000</f>
        <v>1.5347243749999999</v>
      </c>
      <c r="N25" s="4">
        <f>I25*$F$25/1000</f>
        <v>1.34571</v>
      </c>
      <c r="O25" s="4">
        <f>J25*$F$25/1000</f>
        <v>1.3594565000000001</v>
      </c>
      <c r="P25" s="39">
        <f t="shared" si="0"/>
        <v>985.98579999999993</v>
      </c>
      <c r="Q25" s="56">
        <v>637.91</v>
      </c>
      <c r="R25" s="39">
        <f t="shared" si="1"/>
        <v>980.16164000000003</v>
      </c>
      <c r="S25" s="4">
        <f t="shared" si="2"/>
        <v>1.58016164</v>
      </c>
      <c r="T25" s="4">
        <f t="shared" si="3"/>
        <v>0.23471032000000003</v>
      </c>
    </row>
    <row r="26" spans="2:20">
      <c r="B26" s="1">
        <v>46111</v>
      </c>
      <c r="C26" s="51">
        <v>102.88</v>
      </c>
      <c r="D26" s="39">
        <f t="shared" si="4"/>
        <v>972.83392000000003</v>
      </c>
      <c r="E26" s="52">
        <v>16990</v>
      </c>
      <c r="F26" s="53">
        <v>0.1447</v>
      </c>
      <c r="H26" s="3">
        <v>10618.75</v>
      </c>
      <c r="I26" s="8">
        <v>9312.5</v>
      </c>
      <c r="J26" s="3">
        <v>9403.33</v>
      </c>
      <c r="K26" s="50">
        <v>6692</v>
      </c>
      <c r="L26" s="38"/>
      <c r="M26" s="4">
        <f t="shared" ref="M26:O28" si="5">H26*$F$25/1000</f>
        <v>1.5365331249999998</v>
      </c>
      <c r="N26" s="4">
        <f t="shared" si="5"/>
        <v>1.3475187499999999</v>
      </c>
      <c r="O26" s="4">
        <f t="shared" si="5"/>
        <v>1.3606618509999999</v>
      </c>
      <c r="P26" s="39">
        <f t="shared" si="0"/>
        <v>968.33240000000001</v>
      </c>
      <c r="Q26" s="56">
        <v>660.56</v>
      </c>
      <c r="R26" s="39">
        <f t="shared" si="1"/>
        <v>972.83392000000003</v>
      </c>
      <c r="S26" s="4">
        <f t="shared" si="2"/>
        <v>1.5728339199999999</v>
      </c>
      <c r="T26" s="4">
        <f t="shared" si="3"/>
        <v>0.22738259999999988</v>
      </c>
    </row>
    <row r="27" spans="2:20">
      <c r="B27" s="1">
        <v>46112</v>
      </c>
      <c r="C27" s="51">
        <v>101.38</v>
      </c>
      <c r="D27" s="39">
        <f t="shared" si="4"/>
        <v>965.62356</v>
      </c>
      <c r="E27" s="52">
        <v>16994.5</v>
      </c>
      <c r="F27" s="53">
        <v>0.1449</v>
      </c>
      <c r="H27" s="6">
        <v>10618.75</v>
      </c>
      <c r="I27" s="8">
        <v>9312.5</v>
      </c>
      <c r="J27" s="3">
        <v>9445</v>
      </c>
      <c r="K27" s="50">
        <v>6618</v>
      </c>
      <c r="L27" s="38"/>
      <c r="M27" s="4">
        <f t="shared" si="5"/>
        <v>1.5365331249999998</v>
      </c>
      <c r="N27" s="4">
        <f t="shared" si="5"/>
        <v>1.3475187499999999</v>
      </c>
      <c r="O27" s="4">
        <f t="shared" si="5"/>
        <v>1.3666914999999999</v>
      </c>
      <c r="P27" s="39">
        <f t="shared" si="0"/>
        <v>958.94820000000004</v>
      </c>
      <c r="Q27" s="56">
        <v>661.55</v>
      </c>
      <c r="R27" s="39">
        <f t="shared" si="1"/>
        <v>965.62356</v>
      </c>
      <c r="S27" s="4">
        <f t="shared" si="2"/>
        <v>1.5656235600000001</v>
      </c>
      <c r="T27" s="4">
        <f t="shared" si="3"/>
        <v>0.22017224000000013</v>
      </c>
    </row>
    <row r="28" spans="2:20">
      <c r="B28" s="1">
        <v>46113</v>
      </c>
      <c r="C28" s="51">
        <v>98.88</v>
      </c>
      <c r="D28" s="39">
        <f t="shared" si="4"/>
        <v>947.34900000000005</v>
      </c>
      <c r="E28" s="52">
        <v>16921.5</v>
      </c>
      <c r="F28" s="53">
        <v>0.14549999999999999</v>
      </c>
      <c r="H28" s="3">
        <v>10618.75</v>
      </c>
      <c r="I28" s="8">
        <v>9312.5</v>
      </c>
      <c r="J28" s="3">
        <v>9445</v>
      </c>
      <c r="K28" s="50">
        <v>6490</v>
      </c>
      <c r="L28" s="38"/>
      <c r="M28" s="4">
        <f t="shared" si="5"/>
        <v>1.5365331249999998</v>
      </c>
      <c r="N28" s="4">
        <f t="shared" si="5"/>
        <v>1.3475187499999999</v>
      </c>
      <c r="O28" s="4">
        <f t="shared" si="5"/>
        <v>1.3666914999999999</v>
      </c>
      <c r="P28" s="39">
        <f t="shared" si="0"/>
        <v>944.29499999999996</v>
      </c>
      <c r="Q28" s="56">
        <v>639.71</v>
      </c>
      <c r="R28" s="39">
        <f t="shared" si="1"/>
        <v>947.34900000000005</v>
      </c>
      <c r="S28" s="4">
        <f t="shared" si="2"/>
        <v>1.5473490000000001</v>
      </c>
      <c r="T28" s="4">
        <f t="shared" si="3"/>
        <v>0.20189768000000008</v>
      </c>
    </row>
    <row r="29" spans="2:20">
      <c r="B29" s="1">
        <v>46114</v>
      </c>
      <c r="C29" s="51">
        <v>104.68</v>
      </c>
      <c r="D29" s="39">
        <f t="shared" si="4"/>
        <v>970.98998879999999</v>
      </c>
      <c r="E29" s="52">
        <v>17016.400000000001</v>
      </c>
      <c r="F29" s="53">
        <v>0.1452</v>
      </c>
      <c r="K29" s="50">
        <v>6706.93</v>
      </c>
      <c r="L29" s="38"/>
      <c r="M29" s="4"/>
      <c r="N29" s="4"/>
      <c r="O29" s="4"/>
      <c r="P29" s="39">
        <f t="shared" si="0"/>
        <v>973.84623599999998</v>
      </c>
      <c r="Q29" s="56">
        <v>639.71</v>
      </c>
      <c r="R29" s="39">
        <f t="shared" si="1"/>
        <v>970.98998879999999</v>
      </c>
      <c r="S29" s="4">
        <f>R29/1000+0.6</f>
        <v>1.5709899888000001</v>
      </c>
      <c r="T29" s="4">
        <f>S29-$S$4</f>
        <v>0.22553866880000006</v>
      </c>
    </row>
    <row r="30" spans="2:20">
      <c r="B30" s="1">
        <v>46115</v>
      </c>
      <c r="C30" s="51"/>
      <c r="D30" s="39">
        <f t="shared" si="4"/>
        <v>0</v>
      </c>
      <c r="E30" s="52"/>
      <c r="P30" s="39">
        <f t="shared" si="0"/>
        <v>0</v>
      </c>
      <c r="Q30" s="56"/>
      <c r="R30" s="39">
        <f t="shared" ref="R30" si="6">(0.3*Q30+0.8*P30)</f>
        <v>0</v>
      </c>
      <c r="S30" s="4">
        <f>R30/1000+0.6</f>
        <v>0.6</v>
      </c>
      <c r="T30" s="4">
        <f>S30-$S$4</f>
        <v>-0.74545132000000003</v>
      </c>
    </row>
    <row r="31" spans="2:20">
      <c r="B31" s="1">
        <v>46116</v>
      </c>
      <c r="C31" s="51"/>
      <c r="E31" s="52"/>
    </row>
    <row r="32" spans="2:20">
      <c r="B32" s="1">
        <v>46117</v>
      </c>
      <c r="C32" s="51"/>
      <c r="E32" s="52"/>
    </row>
    <row r="33" spans="2:5">
      <c r="B33" s="1">
        <v>46118</v>
      </c>
      <c r="C33" s="51"/>
      <c r="E33" s="52"/>
    </row>
    <row r="34" spans="2:5">
      <c r="B34" s="1">
        <v>46119</v>
      </c>
    </row>
    <row r="35" spans="2:5">
      <c r="B35" s="1">
        <v>46120</v>
      </c>
    </row>
    <row r="36" spans="2:5">
      <c r="B36" s="1">
        <v>46121</v>
      </c>
    </row>
    <row r="37" spans="2:5">
      <c r="B37" s="1">
        <v>46122</v>
      </c>
    </row>
    <row r="38" spans="2:5">
      <c r="B38" s="1">
        <v>46123</v>
      </c>
    </row>
    <row r="39" spans="2:5">
      <c r="B39" s="1">
        <v>46124</v>
      </c>
    </row>
    <row r="40" spans="2:5">
      <c r="B40" s="1">
        <v>46125</v>
      </c>
    </row>
    <row r="41" spans="2:5">
      <c r="B41" s="1">
        <v>46126</v>
      </c>
    </row>
    <row r="42" spans="2:5">
      <c r="B42" s="1">
        <v>46127</v>
      </c>
    </row>
    <row r="43" spans="2:5">
      <c r="B43" s="1">
        <v>46128</v>
      </c>
    </row>
    <row r="44" spans="2:5">
      <c r="B44" s="1">
        <v>46129</v>
      </c>
    </row>
    <row r="45" spans="2:5">
      <c r="B45" s="1">
        <v>46130</v>
      </c>
    </row>
    <row r="46" spans="2:5">
      <c r="B46" s="1">
        <v>46131</v>
      </c>
    </row>
    <row r="47" spans="2:5">
      <c r="B47" s="1">
        <v>46132</v>
      </c>
    </row>
    <row r="48" spans="2:5">
      <c r="B48" s="1">
        <v>46133</v>
      </c>
    </row>
  </sheetData>
  <pageMargins left="0.7" right="0.7" top="0.75" bottom="0.75" header="0.3" footer="0.3"/>
  <pageSetup paperSize="9" scale="76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S121"/>
  <sheetViews>
    <sheetView workbookViewId="0">
      <selection activeCell="E118" sqref="E118:E121"/>
    </sheetView>
  </sheetViews>
  <sheetFormatPr defaultRowHeight="14.25"/>
  <cols>
    <col min="4" max="4" width="12.625" bestFit="1" customWidth="1"/>
    <col min="5" max="8" width="9.875" bestFit="1" customWidth="1"/>
    <col min="9" max="9" width="8.375" bestFit="1" customWidth="1"/>
    <col min="10" max="10" width="9.75" bestFit="1" customWidth="1"/>
    <col min="13" max="13" width="12.25" bestFit="1" customWidth="1"/>
  </cols>
  <sheetData>
    <row r="3" spans="4:10" ht="16.5">
      <c r="D3" s="17">
        <v>46083</v>
      </c>
      <c r="E3" s="18">
        <v>71.23</v>
      </c>
      <c r="F3" s="19">
        <v>75</v>
      </c>
      <c r="G3" s="19">
        <v>75.33</v>
      </c>
      <c r="H3" s="19">
        <v>69.2</v>
      </c>
      <c r="I3" s="19" t="s">
        <v>45</v>
      </c>
      <c r="J3" s="20">
        <v>6.2799999999999995E-2</v>
      </c>
    </row>
    <row r="4" spans="4:10" ht="16.5">
      <c r="D4" s="11">
        <v>46084</v>
      </c>
      <c r="E4" s="12">
        <v>74.56</v>
      </c>
      <c r="F4" s="13">
        <v>71.23</v>
      </c>
      <c r="G4" s="13">
        <v>77.98</v>
      </c>
      <c r="H4" s="13">
        <v>70.41</v>
      </c>
      <c r="I4" s="13" t="s">
        <v>44</v>
      </c>
      <c r="J4" s="14">
        <v>4.6699999999999998E-2</v>
      </c>
    </row>
    <row r="5" spans="4:10" ht="16.5">
      <c r="D5" s="11">
        <v>46085</v>
      </c>
      <c r="E5" s="12">
        <v>74.66</v>
      </c>
      <c r="F5" s="13">
        <v>74.739999999999995</v>
      </c>
      <c r="G5" s="13">
        <v>77.23</v>
      </c>
      <c r="H5" s="13">
        <v>73.28</v>
      </c>
      <c r="I5" s="13" t="s">
        <v>43</v>
      </c>
      <c r="J5" s="14">
        <v>1.2999999999999999E-3</v>
      </c>
    </row>
    <row r="6" spans="4:10" ht="16.5">
      <c r="D6" s="11">
        <v>46086</v>
      </c>
      <c r="E6" s="12">
        <v>81.010000000000005</v>
      </c>
      <c r="F6" s="13">
        <v>76.150000000000006</v>
      </c>
      <c r="G6" s="13">
        <v>82.16</v>
      </c>
      <c r="H6" s="13">
        <v>74.97</v>
      </c>
      <c r="I6" s="13" t="s">
        <v>42</v>
      </c>
      <c r="J6" s="14">
        <v>8.5099999999999995E-2</v>
      </c>
    </row>
    <row r="7" spans="4:10" ht="16.5">
      <c r="D7" s="11">
        <v>46087</v>
      </c>
      <c r="E7" s="12">
        <v>90.9</v>
      </c>
      <c r="F7" s="13">
        <v>79.08</v>
      </c>
      <c r="G7" s="13">
        <v>92.61</v>
      </c>
      <c r="H7" s="13">
        <v>78.239999999999995</v>
      </c>
      <c r="I7" s="13" t="s">
        <v>41</v>
      </c>
      <c r="J7" s="14">
        <v>0.1221</v>
      </c>
    </row>
    <row r="8" spans="4:10" ht="16.5">
      <c r="D8" s="11">
        <v>46090</v>
      </c>
      <c r="E8" s="12">
        <v>91.48</v>
      </c>
      <c r="F8" s="13">
        <v>91.91</v>
      </c>
      <c r="G8" s="13">
        <v>113.41</v>
      </c>
      <c r="H8" s="13">
        <v>79</v>
      </c>
      <c r="I8" s="13" t="s">
        <v>40</v>
      </c>
      <c r="J8" s="14">
        <v>6.4000000000000003E-3</v>
      </c>
    </row>
    <row r="9" spans="4:10" ht="16.5">
      <c r="D9" s="11">
        <v>46091</v>
      </c>
      <c r="E9" s="15">
        <v>82.1</v>
      </c>
      <c r="F9" s="13">
        <v>83</v>
      </c>
      <c r="G9" s="13">
        <v>88.49</v>
      </c>
      <c r="H9" s="13">
        <v>75.64</v>
      </c>
      <c r="I9" s="13" t="s">
        <v>39</v>
      </c>
      <c r="J9" s="16">
        <v>-0.10249999999999999</v>
      </c>
    </row>
    <row r="10" spans="4:10" ht="16.5">
      <c r="D10" s="11">
        <v>46092</v>
      </c>
      <c r="E10" s="12">
        <v>86.07</v>
      </c>
      <c r="F10" s="13">
        <v>85.11</v>
      </c>
      <c r="G10" s="13">
        <v>87.32</v>
      </c>
      <c r="H10" s="13">
        <v>80.599999999999994</v>
      </c>
      <c r="I10" s="13" t="s">
        <v>38</v>
      </c>
      <c r="J10" s="14">
        <v>4.8399999999999999E-2</v>
      </c>
    </row>
    <row r="11" spans="4:10" ht="16.5">
      <c r="D11" s="11">
        <v>46093</v>
      </c>
      <c r="E11" s="12">
        <v>94.43</v>
      </c>
      <c r="F11" s="13">
        <v>87.46</v>
      </c>
      <c r="G11" s="13">
        <v>95.68</v>
      </c>
      <c r="H11" s="13">
        <v>87.18</v>
      </c>
      <c r="I11" s="13" t="s">
        <v>37</v>
      </c>
      <c r="J11" s="14">
        <v>9.7100000000000006E-2</v>
      </c>
    </row>
    <row r="12" spans="4:10" ht="16.5">
      <c r="D12" s="11">
        <v>46094</v>
      </c>
      <c r="E12" s="12">
        <v>96.84</v>
      </c>
      <c r="F12" s="13">
        <v>95.52</v>
      </c>
      <c r="G12" s="13">
        <v>97.31</v>
      </c>
      <c r="H12" s="13">
        <v>91.09</v>
      </c>
      <c r="I12" s="13" t="s">
        <v>36</v>
      </c>
      <c r="J12" s="14">
        <v>2.5499999999999998E-2</v>
      </c>
    </row>
    <row r="13" spans="4:10" ht="16.5">
      <c r="D13" s="11">
        <v>46097</v>
      </c>
      <c r="E13" s="15">
        <v>93.5</v>
      </c>
      <c r="F13" s="13">
        <v>100.93</v>
      </c>
      <c r="G13" s="13">
        <v>102.44</v>
      </c>
      <c r="H13" s="13">
        <v>92.93</v>
      </c>
      <c r="I13" s="13" t="s">
        <v>35</v>
      </c>
      <c r="J13" s="16">
        <v>-3.4500000000000003E-2</v>
      </c>
    </row>
    <row r="14" spans="4:10" ht="16.5">
      <c r="D14" s="11">
        <v>46098</v>
      </c>
      <c r="E14" s="12">
        <v>96.21</v>
      </c>
      <c r="F14" s="13">
        <v>94.41</v>
      </c>
      <c r="G14" s="13">
        <v>98.42</v>
      </c>
      <c r="H14" s="13">
        <v>93.83</v>
      </c>
      <c r="I14" s="13" t="s">
        <v>34</v>
      </c>
      <c r="J14" s="14">
        <v>2.9000000000000001E-2</v>
      </c>
    </row>
    <row r="15" spans="4:10" ht="16.5">
      <c r="D15" s="11">
        <v>46099</v>
      </c>
      <c r="E15" s="12">
        <v>96.32</v>
      </c>
      <c r="F15" s="13">
        <v>96</v>
      </c>
      <c r="G15" s="13">
        <v>100.55</v>
      </c>
      <c r="H15" s="13">
        <v>91.96</v>
      </c>
      <c r="I15" s="13" t="s">
        <v>33</v>
      </c>
      <c r="J15" s="14">
        <v>1.1000000000000001E-3</v>
      </c>
    </row>
    <row r="16" spans="4:10" ht="16.5">
      <c r="D16" s="11">
        <v>46100</v>
      </c>
      <c r="E16" s="15">
        <v>96.14</v>
      </c>
      <c r="F16" s="13">
        <v>99.13</v>
      </c>
      <c r="G16" s="13">
        <v>101.48</v>
      </c>
      <c r="H16" s="13">
        <v>92.8</v>
      </c>
      <c r="I16" s="13" t="s">
        <v>32</v>
      </c>
      <c r="J16" s="16">
        <v>-1.9E-3</v>
      </c>
    </row>
    <row r="17" spans="4:10" ht="16.5">
      <c r="D17" s="11">
        <v>46101</v>
      </c>
      <c r="E17" s="12">
        <v>98.32</v>
      </c>
      <c r="F17" s="13">
        <v>95</v>
      </c>
      <c r="G17" s="13">
        <v>99.67</v>
      </c>
      <c r="H17" s="13">
        <v>93.42</v>
      </c>
      <c r="I17" s="13" t="s">
        <v>31</v>
      </c>
      <c r="J17" s="14">
        <v>2.2700000000000001E-2</v>
      </c>
    </row>
    <row r="18" spans="4:10" ht="16.5">
      <c r="D18" s="11">
        <v>46104</v>
      </c>
      <c r="E18" s="15">
        <v>88.13</v>
      </c>
      <c r="F18" s="13">
        <v>100.51</v>
      </c>
      <c r="G18" s="13">
        <v>101.67</v>
      </c>
      <c r="H18" s="13">
        <v>84.37</v>
      </c>
      <c r="I18" s="13" t="s">
        <v>30</v>
      </c>
      <c r="J18" s="16">
        <v>-0.1036</v>
      </c>
    </row>
    <row r="19" spans="4:10" ht="16.5">
      <c r="D19" s="11">
        <v>46105</v>
      </c>
      <c r="E19" s="12">
        <v>92.35</v>
      </c>
      <c r="F19" s="13">
        <v>88.78</v>
      </c>
      <c r="G19" s="13">
        <v>93.36</v>
      </c>
      <c r="H19" s="13">
        <v>86.34</v>
      </c>
      <c r="I19" s="13" t="s">
        <v>29</v>
      </c>
      <c r="J19" s="14">
        <v>4.7899999999999998E-2</v>
      </c>
    </row>
    <row r="20" spans="4:10" ht="16.5">
      <c r="D20" s="11">
        <v>46106</v>
      </c>
      <c r="E20" s="15">
        <v>90.32</v>
      </c>
      <c r="F20" s="13">
        <v>88.49</v>
      </c>
      <c r="G20" s="13">
        <v>91.73</v>
      </c>
      <c r="H20" s="13">
        <v>86.46</v>
      </c>
      <c r="I20" s="13" t="s">
        <v>28</v>
      </c>
      <c r="J20" s="16">
        <v>-2.1999999999999999E-2</v>
      </c>
    </row>
    <row r="21" spans="4:10" ht="16.5">
      <c r="D21" s="11">
        <v>46107</v>
      </c>
      <c r="E21" s="12">
        <v>94.48</v>
      </c>
      <c r="F21" s="13">
        <v>91.38</v>
      </c>
      <c r="G21" s="13">
        <v>95.44</v>
      </c>
      <c r="H21" s="13">
        <v>89.51</v>
      </c>
      <c r="I21" s="13" t="s">
        <v>27</v>
      </c>
      <c r="J21" s="14">
        <v>4.6100000000000002E-2</v>
      </c>
    </row>
    <row r="22" spans="4:10" ht="16.5">
      <c r="D22" s="11">
        <v>46108</v>
      </c>
      <c r="E22" s="12">
        <v>99.64</v>
      </c>
      <c r="F22" s="13">
        <v>93.31</v>
      </c>
      <c r="G22" s="13">
        <v>101.24</v>
      </c>
      <c r="H22" s="13">
        <v>92.08</v>
      </c>
      <c r="I22" s="13" t="s">
        <v>26</v>
      </c>
      <c r="J22" s="14">
        <v>5.4600000000000003E-2</v>
      </c>
    </row>
    <row r="23" spans="4:10" ht="16.5">
      <c r="D23" s="11">
        <v>46111</v>
      </c>
      <c r="E23" s="12">
        <v>102.88</v>
      </c>
      <c r="F23" s="13">
        <v>102.6</v>
      </c>
      <c r="G23" s="13">
        <v>105.36</v>
      </c>
      <c r="H23" s="13">
        <v>99.43</v>
      </c>
      <c r="I23" s="13" t="s">
        <v>25</v>
      </c>
      <c r="J23" s="14">
        <v>3.2500000000000001E-2</v>
      </c>
    </row>
    <row r="24" spans="4:10" ht="16.5">
      <c r="D24" s="11">
        <v>46112</v>
      </c>
      <c r="E24" s="15">
        <v>101.38</v>
      </c>
      <c r="F24" s="13">
        <v>105.07</v>
      </c>
      <c r="G24" s="13">
        <v>106.86</v>
      </c>
      <c r="H24" s="13">
        <v>99.62</v>
      </c>
      <c r="I24" s="13" t="s">
        <v>24</v>
      </c>
      <c r="J24" s="16">
        <v>-1.46E-2</v>
      </c>
    </row>
    <row r="25" spans="4:10" ht="16.5">
      <c r="D25" s="11">
        <v>46113</v>
      </c>
      <c r="E25" s="15">
        <v>98.88</v>
      </c>
      <c r="F25" s="13">
        <v>101.81</v>
      </c>
      <c r="G25" s="13">
        <v>103.31</v>
      </c>
      <c r="H25" s="13">
        <v>96.51</v>
      </c>
      <c r="I25" s="13" t="s">
        <v>23</v>
      </c>
      <c r="J25" s="16">
        <v>-2.47E-2</v>
      </c>
    </row>
    <row r="26" spans="4:10" ht="16.5">
      <c r="D26" s="11">
        <v>46114</v>
      </c>
      <c r="E26" s="12">
        <v>104.68</v>
      </c>
      <c r="F26" s="13">
        <v>98.91</v>
      </c>
      <c r="G26" s="13">
        <v>104.69</v>
      </c>
      <c r="H26" s="13">
        <v>97.56</v>
      </c>
      <c r="I26" s="13" t="s">
        <v>22</v>
      </c>
      <c r="J26" s="14">
        <v>5.8700000000000002E-2</v>
      </c>
    </row>
    <row r="27" spans="4:10" ht="33">
      <c r="D27" s="9" t="s">
        <v>15</v>
      </c>
      <c r="E27" s="10" t="s">
        <v>16</v>
      </c>
      <c r="F27" s="10" t="s">
        <v>17</v>
      </c>
      <c r="G27" s="10" t="s">
        <v>18</v>
      </c>
      <c r="H27" s="10" t="s">
        <v>19</v>
      </c>
      <c r="I27" s="10" t="s">
        <v>20</v>
      </c>
      <c r="J27" s="10" t="s">
        <v>21</v>
      </c>
    </row>
    <row r="32" spans="4:10" ht="33">
      <c r="D32" s="9" t="s">
        <v>15</v>
      </c>
      <c r="E32" s="21" t="s">
        <v>16</v>
      </c>
      <c r="F32" s="21" t="s">
        <v>17</v>
      </c>
      <c r="G32" s="21" t="s">
        <v>18</v>
      </c>
      <c r="H32" s="21" t="s">
        <v>19</v>
      </c>
      <c r="I32" s="21" t="s">
        <v>20</v>
      </c>
      <c r="J32" s="21" t="s">
        <v>21</v>
      </c>
    </row>
    <row r="33" spans="4:19" ht="16.5">
      <c r="D33" s="22">
        <v>46083</v>
      </c>
      <c r="E33" s="27">
        <v>5534</v>
      </c>
      <c r="F33" s="24">
        <v>5504</v>
      </c>
      <c r="G33" s="24">
        <v>5586</v>
      </c>
      <c r="H33" s="24">
        <v>5494</v>
      </c>
      <c r="I33" s="25" t="s">
        <v>70</v>
      </c>
      <c r="J33" s="28">
        <v>4.6100000000000002E-2</v>
      </c>
    </row>
    <row r="34" spans="4:19" ht="16.5">
      <c r="D34" s="22">
        <v>46084</v>
      </c>
      <c r="E34" s="27">
        <v>5614</v>
      </c>
      <c r="F34" s="24">
        <v>5644</v>
      </c>
      <c r="G34" s="24">
        <v>5702</v>
      </c>
      <c r="H34" s="24">
        <v>5516</v>
      </c>
      <c r="I34" s="25" t="s">
        <v>69</v>
      </c>
      <c r="J34" s="28">
        <v>1.4500000000000001E-2</v>
      </c>
      <c r="M34" s="11">
        <v>46077</v>
      </c>
      <c r="N34" s="33">
        <v>5308</v>
      </c>
      <c r="O34" s="34">
        <v>5320</v>
      </c>
      <c r="P34" s="34">
        <v>5378</v>
      </c>
      <c r="Q34" s="34">
        <v>5276</v>
      </c>
      <c r="R34" s="13" t="s">
        <v>74</v>
      </c>
      <c r="S34" s="14">
        <v>2.63E-2</v>
      </c>
    </row>
    <row r="35" spans="4:19" ht="16.5">
      <c r="D35" s="22">
        <v>46085</v>
      </c>
      <c r="E35" s="27">
        <v>5788</v>
      </c>
      <c r="F35" s="24">
        <v>5550</v>
      </c>
      <c r="G35" s="24">
        <v>6008</v>
      </c>
      <c r="H35" s="24">
        <v>5546</v>
      </c>
      <c r="I35" s="25" t="s">
        <v>68</v>
      </c>
      <c r="J35" s="28">
        <v>3.1E-2</v>
      </c>
      <c r="M35" s="11">
        <v>46078</v>
      </c>
      <c r="N35" s="35">
        <v>5268</v>
      </c>
      <c r="O35" s="34">
        <v>5272</v>
      </c>
      <c r="P35" s="34">
        <v>5338</v>
      </c>
      <c r="Q35" s="34">
        <v>5214</v>
      </c>
      <c r="R35" s="13" t="s">
        <v>73</v>
      </c>
      <c r="S35" s="16">
        <v>-7.4999999999999997E-3</v>
      </c>
    </row>
    <row r="36" spans="4:19" ht="16.5">
      <c r="D36" s="22">
        <v>46086</v>
      </c>
      <c r="E36" s="27">
        <v>5978</v>
      </c>
      <c r="F36" s="24">
        <v>5860</v>
      </c>
      <c r="G36" s="24">
        <v>6040</v>
      </c>
      <c r="H36" s="24">
        <v>5762</v>
      </c>
      <c r="I36" s="25" t="s">
        <v>67</v>
      </c>
      <c r="J36" s="28">
        <v>3.2800000000000003E-2</v>
      </c>
      <c r="M36" s="11">
        <v>46079</v>
      </c>
      <c r="N36" s="35">
        <v>5192</v>
      </c>
      <c r="O36" s="34">
        <v>5194</v>
      </c>
      <c r="P36" s="34">
        <v>5218</v>
      </c>
      <c r="Q36" s="34">
        <v>5150</v>
      </c>
      <c r="R36" s="13" t="s">
        <v>72</v>
      </c>
      <c r="S36" s="16">
        <v>-1.44E-2</v>
      </c>
    </row>
    <row r="37" spans="4:19" ht="16.5">
      <c r="D37" s="22">
        <v>46087</v>
      </c>
      <c r="E37" s="27">
        <v>6300</v>
      </c>
      <c r="F37" s="24">
        <v>6300</v>
      </c>
      <c r="G37" s="24">
        <v>6300</v>
      </c>
      <c r="H37" s="24">
        <v>6300</v>
      </c>
      <c r="I37" s="25" t="s">
        <v>64</v>
      </c>
      <c r="J37" s="28">
        <v>5.3900000000000003E-2</v>
      </c>
      <c r="M37" s="11">
        <v>46080</v>
      </c>
      <c r="N37" s="33">
        <v>5290</v>
      </c>
      <c r="O37" s="34">
        <v>5192</v>
      </c>
      <c r="P37" s="34">
        <v>5538</v>
      </c>
      <c r="Q37" s="34">
        <v>5192</v>
      </c>
      <c r="R37" s="13" t="s">
        <v>71</v>
      </c>
      <c r="S37" s="14">
        <v>1.89E-2</v>
      </c>
    </row>
    <row r="38" spans="4:19" ht="16.5">
      <c r="D38" s="22">
        <v>46090</v>
      </c>
      <c r="E38" s="27">
        <v>6506</v>
      </c>
      <c r="F38" s="24">
        <v>6742</v>
      </c>
      <c r="G38" s="24">
        <v>6742</v>
      </c>
      <c r="H38" s="24">
        <v>5858</v>
      </c>
      <c r="I38" s="25" t="s">
        <v>66</v>
      </c>
      <c r="J38" s="28">
        <v>3.27E-2</v>
      </c>
    </row>
    <row r="39" spans="4:19" ht="16.5">
      <c r="D39" s="22">
        <v>46091</v>
      </c>
      <c r="E39" s="23">
        <v>6266</v>
      </c>
      <c r="F39" s="24">
        <v>6206</v>
      </c>
      <c r="G39" s="24">
        <v>6660</v>
      </c>
      <c r="H39" s="24">
        <v>6050</v>
      </c>
      <c r="I39" s="25" t="s">
        <v>65</v>
      </c>
      <c r="J39" s="26">
        <v>-3.6900000000000002E-2</v>
      </c>
    </row>
    <row r="40" spans="4:19" ht="16.5">
      <c r="D40" s="22">
        <v>46092</v>
      </c>
      <c r="E40" s="27">
        <v>6706</v>
      </c>
      <c r="F40" s="24">
        <v>6706</v>
      </c>
      <c r="G40" s="24">
        <v>6706</v>
      </c>
      <c r="H40" s="24">
        <v>6706</v>
      </c>
      <c r="I40" s="25" t="s">
        <v>64</v>
      </c>
      <c r="J40" s="28">
        <v>7.0199999999999999E-2</v>
      </c>
    </row>
    <row r="41" spans="4:19" ht="16.5">
      <c r="D41" s="22">
        <v>46093</v>
      </c>
      <c r="E41" s="27">
        <v>6972</v>
      </c>
      <c r="F41" s="24">
        <v>7044</v>
      </c>
      <c r="G41" s="24">
        <v>7208</v>
      </c>
      <c r="H41" s="24">
        <v>6774</v>
      </c>
      <c r="I41" s="25" t="s">
        <v>63</v>
      </c>
      <c r="J41" s="28">
        <v>3.9699999999999999E-2</v>
      </c>
    </row>
    <row r="42" spans="4:19" ht="16.5">
      <c r="D42" s="22">
        <v>46094</v>
      </c>
      <c r="E42" s="27">
        <v>6982</v>
      </c>
      <c r="F42" s="24">
        <v>6790</v>
      </c>
      <c r="G42" s="24">
        <v>7232</v>
      </c>
      <c r="H42" s="24">
        <v>6718</v>
      </c>
      <c r="I42" s="25" t="s">
        <v>62</v>
      </c>
      <c r="J42" s="28">
        <v>1.4E-3</v>
      </c>
    </row>
    <row r="43" spans="4:19" ht="16.5">
      <c r="D43" s="22">
        <v>46097</v>
      </c>
      <c r="E43" s="23">
        <v>6810</v>
      </c>
      <c r="F43" s="24">
        <v>6822</v>
      </c>
      <c r="G43" s="24">
        <v>6936</v>
      </c>
      <c r="H43" s="24">
        <v>6656</v>
      </c>
      <c r="I43" s="25" t="s">
        <v>61</v>
      </c>
      <c r="J43" s="26">
        <v>-2.46E-2</v>
      </c>
    </row>
    <row r="44" spans="4:19" ht="16.5">
      <c r="D44" s="22">
        <v>46098</v>
      </c>
      <c r="E44" s="27">
        <v>6924</v>
      </c>
      <c r="F44" s="24">
        <v>6788</v>
      </c>
      <c r="G44" s="24">
        <v>7034</v>
      </c>
      <c r="H44" s="24">
        <v>6664</v>
      </c>
      <c r="I44" s="25" t="s">
        <v>60</v>
      </c>
      <c r="J44" s="28">
        <v>1.67E-2</v>
      </c>
    </row>
    <row r="45" spans="4:19" ht="16.5">
      <c r="D45" s="22">
        <v>46099</v>
      </c>
      <c r="E45" s="27">
        <v>6968</v>
      </c>
      <c r="F45" s="24">
        <v>6994</v>
      </c>
      <c r="G45" s="24">
        <v>7112</v>
      </c>
      <c r="H45" s="24">
        <v>6770</v>
      </c>
      <c r="I45" s="25" t="s">
        <v>59</v>
      </c>
      <c r="J45" s="28">
        <v>6.4000000000000003E-3</v>
      </c>
    </row>
    <row r="46" spans="4:19" ht="16.5">
      <c r="D46" s="22">
        <v>46100</v>
      </c>
      <c r="E46" s="23">
        <v>6544</v>
      </c>
      <c r="F46" s="24">
        <v>6724</v>
      </c>
      <c r="G46" s="24">
        <v>6828</v>
      </c>
      <c r="H46" s="24">
        <v>6384</v>
      </c>
      <c r="I46" s="25" t="s">
        <v>58</v>
      </c>
      <c r="J46" s="26">
        <v>-6.08E-2</v>
      </c>
    </row>
    <row r="47" spans="4:19" ht="16.5">
      <c r="D47" s="22">
        <v>46101</v>
      </c>
      <c r="E47" s="27">
        <v>7052</v>
      </c>
      <c r="F47" s="24">
        <v>6664</v>
      </c>
      <c r="G47" s="24">
        <v>7230</v>
      </c>
      <c r="H47" s="24">
        <v>6630</v>
      </c>
      <c r="I47" s="25" t="s">
        <v>57</v>
      </c>
      <c r="J47" s="28">
        <v>7.7600000000000002E-2</v>
      </c>
    </row>
    <row r="48" spans="4:19" ht="16.5">
      <c r="D48" s="22">
        <v>46104</v>
      </c>
      <c r="E48" s="23">
        <v>6774</v>
      </c>
      <c r="F48" s="24">
        <v>6598</v>
      </c>
      <c r="G48" s="24">
        <v>6936</v>
      </c>
      <c r="H48" s="24">
        <v>6598</v>
      </c>
      <c r="I48" s="25" t="s">
        <v>56</v>
      </c>
      <c r="J48" s="26">
        <v>-3.9399999999999998E-2</v>
      </c>
    </row>
    <row r="49" spans="4:10" ht="16.5">
      <c r="D49" s="22">
        <v>46105</v>
      </c>
      <c r="E49" s="23">
        <v>6552</v>
      </c>
      <c r="F49" s="24">
        <v>6730</v>
      </c>
      <c r="G49" s="24">
        <v>6742</v>
      </c>
      <c r="H49" s="24">
        <v>6242</v>
      </c>
      <c r="I49" s="25" t="s">
        <v>55</v>
      </c>
      <c r="J49" s="26">
        <v>-3.2800000000000003E-2</v>
      </c>
    </row>
    <row r="50" spans="4:10" ht="16.5">
      <c r="D50" s="22">
        <v>46106</v>
      </c>
      <c r="E50" s="23">
        <v>6540</v>
      </c>
      <c r="F50" s="24">
        <v>6552</v>
      </c>
      <c r="G50" s="24">
        <v>6718</v>
      </c>
      <c r="H50" s="24">
        <v>6470</v>
      </c>
      <c r="I50" s="25" t="s">
        <v>54</v>
      </c>
      <c r="J50" s="26">
        <v>-1.8E-3</v>
      </c>
    </row>
    <row r="51" spans="4:10" ht="16.5">
      <c r="D51" s="22">
        <v>46107</v>
      </c>
      <c r="E51" s="27">
        <v>6748</v>
      </c>
      <c r="F51" s="24">
        <v>6836</v>
      </c>
      <c r="G51" s="24">
        <v>6896</v>
      </c>
      <c r="H51" s="24">
        <v>6638</v>
      </c>
      <c r="I51" s="25" t="s">
        <v>53</v>
      </c>
      <c r="J51" s="28">
        <v>3.1800000000000002E-2</v>
      </c>
    </row>
    <row r="52" spans="4:10" ht="16.5">
      <c r="D52" s="22">
        <v>46108</v>
      </c>
      <c r="E52" s="27">
        <v>6814</v>
      </c>
      <c r="F52" s="24">
        <v>6906</v>
      </c>
      <c r="G52" s="24">
        <v>6952</v>
      </c>
      <c r="H52" s="24">
        <v>6700</v>
      </c>
      <c r="I52" s="25" t="s">
        <v>52</v>
      </c>
      <c r="J52" s="28">
        <v>9.7999999999999997E-3</v>
      </c>
    </row>
    <row r="53" spans="4:10" ht="16.5">
      <c r="D53" s="22">
        <v>46111</v>
      </c>
      <c r="E53" s="23">
        <v>6692</v>
      </c>
      <c r="F53" s="24">
        <v>6662</v>
      </c>
      <c r="G53" s="24">
        <v>6898</v>
      </c>
      <c r="H53" s="24">
        <v>6552</v>
      </c>
      <c r="I53" s="25" t="s">
        <v>51</v>
      </c>
      <c r="J53" s="26">
        <v>-1.7899999999999999E-2</v>
      </c>
    </row>
    <row r="54" spans="4:10" ht="16.5">
      <c r="D54" s="22">
        <v>46112</v>
      </c>
      <c r="E54" s="23">
        <v>6618</v>
      </c>
      <c r="F54" s="24">
        <v>6680</v>
      </c>
      <c r="G54" s="24">
        <v>6780</v>
      </c>
      <c r="H54" s="24">
        <v>6370</v>
      </c>
      <c r="I54" s="25" t="s">
        <v>50</v>
      </c>
      <c r="J54" s="26">
        <v>-1.11E-2</v>
      </c>
    </row>
    <row r="55" spans="4:10" ht="16.5">
      <c r="D55" s="22">
        <v>46113</v>
      </c>
      <c r="E55" s="23">
        <v>6490</v>
      </c>
      <c r="F55" s="24">
        <v>6518</v>
      </c>
      <c r="G55" s="24">
        <v>6518</v>
      </c>
      <c r="H55" s="24">
        <v>6450</v>
      </c>
      <c r="I55" s="25" t="s">
        <v>49</v>
      </c>
      <c r="J55" s="26">
        <v>-1.9300000000000001E-2</v>
      </c>
    </row>
    <row r="56" spans="4:10" ht="16.5">
      <c r="D56" s="29"/>
    </row>
    <row r="57" spans="4:10" ht="16.5">
      <c r="D57" s="30"/>
    </row>
    <row r="58" spans="4:10" ht="16.5">
      <c r="D58" s="29"/>
    </row>
    <row r="59" spans="4:10" ht="33">
      <c r="D59" s="9" t="s">
        <v>15</v>
      </c>
      <c r="E59" s="10" t="s">
        <v>16</v>
      </c>
      <c r="F59" s="10" t="s">
        <v>17</v>
      </c>
      <c r="G59" s="10" t="s">
        <v>18</v>
      </c>
      <c r="H59" s="10" t="s">
        <v>19</v>
      </c>
      <c r="I59" s="10" t="s">
        <v>20</v>
      </c>
      <c r="J59" s="10" t="s">
        <v>21</v>
      </c>
    </row>
    <row r="60" spans="4:10" ht="16.5">
      <c r="D60" s="11">
        <v>46073</v>
      </c>
      <c r="E60" s="15">
        <v>0.1447</v>
      </c>
      <c r="F60" s="13">
        <v>0.1447</v>
      </c>
      <c r="G60" s="13">
        <v>0.1447</v>
      </c>
      <c r="H60" s="13">
        <v>0.1447</v>
      </c>
      <c r="I60" s="13"/>
      <c r="J60" s="31">
        <v>0</v>
      </c>
    </row>
    <row r="61" spans="4:10" ht="16.5">
      <c r="D61" s="11">
        <v>46076</v>
      </c>
      <c r="E61" s="15">
        <v>0.1447</v>
      </c>
      <c r="F61" s="13">
        <v>0.1447</v>
      </c>
      <c r="G61" s="13">
        <v>0.1447</v>
      </c>
      <c r="H61" s="13">
        <v>0.1447</v>
      </c>
      <c r="I61" s="13"/>
      <c r="J61" s="31">
        <v>0</v>
      </c>
    </row>
    <row r="62" spans="4:10" ht="16.5">
      <c r="D62" s="11">
        <v>46077</v>
      </c>
      <c r="E62" s="12">
        <v>0.14530000000000001</v>
      </c>
      <c r="F62" s="13">
        <v>0.14499999999999999</v>
      </c>
      <c r="G62" s="13">
        <v>0.1454</v>
      </c>
      <c r="H62" s="13">
        <v>0.14499999999999999</v>
      </c>
      <c r="I62" s="13"/>
      <c r="J62" s="14">
        <v>4.1000000000000003E-3</v>
      </c>
    </row>
    <row r="63" spans="4:10" ht="16.5">
      <c r="D63" s="11">
        <v>46078</v>
      </c>
      <c r="E63" s="12">
        <v>0.14560000000000001</v>
      </c>
      <c r="F63" s="13">
        <v>0.14530000000000001</v>
      </c>
      <c r="G63" s="13">
        <v>0.1457</v>
      </c>
      <c r="H63" s="13">
        <v>0.14530000000000001</v>
      </c>
      <c r="I63" s="13"/>
      <c r="J63" s="14">
        <v>2.0999999999999999E-3</v>
      </c>
    </row>
    <row r="64" spans="4:10" ht="16.5">
      <c r="D64" s="11">
        <v>46079</v>
      </c>
      <c r="E64" s="12">
        <v>0.1462</v>
      </c>
      <c r="F64" s="13">
        <v>0.1459</v>
      </c>
      <c r="G64" s="13">
        <v>0.1464</v>
      </c>
      <c r="H64" s="13">
        <v>0.1459</v>
      </c>
      <c r="I64" s="13"/>
      <c r="J64" s="14">
        <v>4.1000000000000003E-3</v>
      </c>
    </row>
    <row r="65" spans="4:10" ht="16.5">
      <c r="D65" s="11">
        <v>46080</v>
      </c>
      <c r="E65" s="15">
        <v>0.14580000000000001</v>
      </c>
      <c r="F65" s="13">
        <v>0.14580000000000001</v>
      </c>
      <c r="G65" s="13">
        <v>0.1459</v>
      </c>
      <c r="H65" s="13">
        <v>0.14580000000000001</v>
      </c>
      <c r="I65" s="13"/>
      <c r="J65" s="16">
        <v>-2.7000000000000001E-3</v>
      </c>
    </row>
    <row r="66" spans="4:10" ht="16.5">
      <c r="D66" s="11">
        <v>46083</v>
      </c>
      <c r="E66" s="15">
        <v>0.14530000000000001</v>
      </c>
      <c r="F66" s="13">
        <v>0.14560000000000001</v>
      </c>
      <c r="G66" s="13">
        <v>0.1457</v>
      </c>
      <c r="H66" s="13">
        <v>0.1452</v>
      </c>
      <c r="I66" s="13"/>
      <c r="J66" s="16">
        <v>-3.3999999999999998E-3</v>
      </c>
    </row>
    <row r="67" spans="4:10" ht="16.5">
      <c r="D67" s="11">
        <v>46084</v>
      </c>
      <c r="E67" s="15">
        <v>0.1449</v>
      </c>
      <c r="F67" s="13">
        <v>0.1454</v>
      </c>
      <c r="G67" s="13">
        <v>0.1454</v>
      </c>
      <c r="H67" s="13">
        <v>0.1449</v>
      </c>
      <c r="I67" s="13"/>
      <c r="J67" s="16">
        <v>-2.8E-3</v>
      </c>
    </row>
    <row r="68" spans="4:10" ht="16.5">
      <c r="D68" s="11">
        <v>46085</v>
      </c>
      <c r="E68" s="12">
        <v>0.14499999999999999</v>
      </c>
      <c r="F68" s="13">
        <v>0.1444</v>
      </c>
      <c r="G68" s="13">
        <v>0.14499999999999999</v>
      </c>
      <c r="H68" s="13">
        <v>0.14430000000000001</v>
      </c>
      <c r="I68" s="13"/>
      <c r="J68" s="14">
        <v>6.9999999999999999E-4</v>
      </c>
    </row>
    <row r="69" spans="4:10" ht="16.5">
      <c r="D69" s="11">
        <v>46086</v>
      </c>
      <c r="E69" s="12">
        <v>0.14510000000000001</v>
      </c>
      <c r="F69" s="13">
        <v>0.1454</v>
      </c>
      <c r="G69" s="13">
        <v>0.1454</v>
      </c>
      <c r="H69" s="13">
        <v>0.1449</v>
      </c>
      <c r="I69" s="13"/>
      <c r="J69" s="14">
        <v>6.9999999999999999E-4</v>
      </c>
    </row>
    <row r="70" spans="4:10" ht="16.5">
      <c r="D70" s="11">
        <v>46087</v>
      </c>
      <c r="E70" s="15">
        <v>0.14499999999999999</v>
      </c>
      <c r="F70" s="13">
        <v>0.1447</v>
      </c>
      <c r="G70" s="13">
        <v>0.14499999999999999</v>
      </c>
      <c r="H70" s="13">
        <v>0.1447</v>
      </c>
      <c r="I70" s="13"/>
      <c r="J70" s="16">
        <v>-6.9999999999999999E-4</v>
      </c>
    </row>
    <row r="71" spans="4:10" ht="16.5">
      <c r="D71" s="11">
        <v>46090</v>
      </c>
      <c r="E71" s="15">
        <v>0.14480000000000001</v>
      </c>
      <c r="F71" s="13">
        <v>0.14430000000000001</v>
      </c>
      <c r="G71" s="13">
        <v>0.14480000000000001</v>
      </c>
      <c r="H71" s="13">
        <v>0.14430000000000001</v>
      </c>
      <c r="I71" s="13"/>
      <c r="J71" s="16">
        <v>-1.4E-3</v>
      </c>
    </row>
    <row r="72" spans="4:10" ht="16.5">
      <c r="D72" s="11">
        <v>46091</v>
      </c>
      <c r="E72" s="12">
        <v>0.1454</v>
      </c>
      <c r="F72" s="13">
        <v>0.14510000000000001</v>
      </c>
      <c r="G72" s="13">
        <v>0.14560000000000001</v>
      </c>
      <c r="H72" s="13">
        <v>0.14510000000000001</v>
      </c>
      <c r="I72" s="13"/>
      <c r="J72" s="14">
        <v>4.1000000000000003E-3</v>
      </c>
    </row>
    <row r="73" spans="4:10" ht="16.5">
      <c r="D73" s="11">
        <v>46092</v>
      </c>
      <c r="E73" s="12">
        <v>0.14560000000000001</v>
      </c>
      <c r="F73" s="13">
        <v>0.1457</v>
      </c>
      <c r="G73" s="13">
        <v>0.14580000000000001</v>
      </c>
      <c r="H73" s="13">
        <v>0.14549999999999999</v>
      </c>
      <c r="I73" s="13"/>
      <c r="J73" s="14">
        <v>1.4E-3</v>
      </c>
    </row>
    <row r="74" spans="4:10" ht="16.5">
      <c r="D74" s="11">
        <v>46093</v>
      </c>
      <c r="E74" s="15">
        <v>0.14560000000000001</v>
      </c>
      <c r="F74" s="13">
        <v>0.1454</v>
      </c>
      <c r="G74" s="13">
        <v>0.14560000000000001</v>
      </c>
      <c r="H74" s="13">
        <v>0.14530000000000001</v>
      </c>
      <c r="I74" s="13"/>
      <c r="J74" s="31">
        <v>0</v>
      </c>
    </row>
    <row r="75" spans="4:10" ht="16.5">
      <c r="D75" s="11">
        <v>46094</v>
      </c>
      <c r="E75" s="15">
        <v>0.14499999999999999</v>
      </c>
      <c r="F75" s="13">
        <v>0.14530000000000001</v>
      </c>
      <c r="G75" s="13">
        <v>0.1454</v>
      </c>
      <c r="H75" s="13">
        <v>0.1449</v>
      </c>
      <c r="I75" s="13"/>
      <c r="J75" s="16">
        <v>-4.1000000000000003E-3</v>
      </c>
    </row>
    <row r="76" spans="4:10" ht="16.5">
      <c r="D76" s="11">
        <v>46097</v>
      </c>
      <c r="E76" s="15">
        <v>0.14499999999999999</v>
      </c>
      <c r="F76" s="13">
        <v>0.1449</v>
      </c>
      <c r="G76" s="13">
        <v>0.14499999999999999</v>
      </c>
      <c r="H76" s="13">
        <v>0.14480000000000001</v>
      </c>
      <c r="I76" s="13"/>
      <c r="J76" s="31">
        <v>0</v>
      </c>
    </row>
    <row r="77" spans="4:10" ht="16.5">
      <c r="D77" s="11">
        <v>46098</v>
      </c>
      <c r="E77" s="12">
        <v>0.1452</v>
      </c>
      <c r="F77" s="13">
        <v>0.1452</v>
      </c>
      <c r="G77" s="13">
        <v>0.14530000000000001</v>
      </c>
      <c r="H77" s="13">
        <v>0.14510000000000001</v>
      </c>
      <c r="I77" s="13"/>
      <c r="J77" s="14">
        <v>1.4E-3</v>
      </c>
    </row>
    <row r="78" spans="4:10" ht="16.5">
      <c r="D78" s="11">
        <v>46099</v>
      </c>
      <c r="E78" s="12">
        <v>0.14549999999999999</v>
      </c>
      <c r="F78" s="13">
        <v>0.14530000000000001</v>
      </c>
      <c r="G78" s="13">
        <v>0.14549999999999999</v>
      </c>
      <c r="H78" s="13">
        <v>0.1452</v>
      </c>
      <c r="I78" s="13"/>
      <c r="J78" s="14">
        <v>2.0999999999999999E-3</v>
      </c>
    </row>
    <row r="79" spans="4:10" ht="16.5">
      <c r="D79" s="11">
        <v>46100</v>
      </c>
      <c r="E79" s="15">
        <v>0.1449</v>
      </c>
      <c r="F79" s="13">
        <v>0.14499999999999999</v>
      </c>
      <c r="G79" s="13">
        <v>0.14510000000000001</v>
      </c>
      <c r="H79" s="13">
        <v>0.1449</v>
      </c>
      <c r="I79" s="13"/>
      <c r="J79" s="16">
        <v>-4.1000000000000003E-3</v>
      </c>
    </row>
    <row r="80" spans="4:10" ht="16.5">
      <c r="D80" s="11">
        <v>46101</v>
      </c>
      <c r="E80" s="12">
        <v>0.1452</v>
      </c>
      <c r="F80" s="13">
        <v>0.1452</v>
      </c>
      <c r="G80" s="13">
        <v>0.14530000000000001</v>
      </c>
      <c r="H80" s="13">
        <v>0.14499999999999999</v>
      </c>
      <c r="I80" s="13"/>
      <c r="J80" s="14">
        <v>2.0999999999999999E-3</v>
      </c>
    </row>
    <row r="81" spans="4:10" ht="16.5">
      <c r="D81" s="11">
        <v>46104</v>
      </c>
      <c r="E81" s="12">
        <v>0.14530000000000001</v>
      </c>
      <c r="F81" s="13">
        <v>0.1447</v>
      </c>
      <c r="G81" s="13">
        <v>0.1454</v>
      </c>
      <c r="H81" s="13">
        <v>0.1447</v>
      </c>
      <c r="I81" s="13"/>
      <c r="J81" s="14">
        <v>6.9999999999999999E-4</v>
      </c>
    </row>
    <row r="82" spans="4:10" ht="16.5">
      <c r="D82" s="11">
        <v>46105</v>
      </c>
      <c r="E82" s="15">
        <v>0.14510000000000001</v>
      </c>
      <c r="F82" s="13">
        <v>0.1452</v>
      </c>
      <c r="G82" s="13">
        <v>0.14530000000000001</v>
      </c>
      <c r="H82" s="13">
        <v>0.14499999999999999</v>
      </c>
      <c r="I82" s="13"/>
      <c r="J82" s="16">
        <v>-1.4E-3</v>
      </c>
    </row>
    <row r="83" spans="4:10" ht="16.5">
      <c r="D83" s="11">
        <v>46106</v>
      </c>
      <c r="E83" s="15">
        <v>0.1449</v>
      </c>
      <c r="F83" s="13">
        <v>0.1452</v>
      </c>
      <c r="G83" s="13">
        <v>0.14530000000000001</v>
      </c>
      <c r="H83" s="13">
        <v>0.14480000000000001</v>
      </c>
      <c r="I83" s="13"/>
      <c r="J83" s="16">
        <v>-1.4E-3</v>
      </c>
    </row>
    <row r="84" spans="4:10" ht="16.5">
      <c r="D84" s="11">
        <v>46107</v>
      </c>
      <c r="E84" s="15">
        <v>0.1447</v>
      </c>
      <c r="F84" s="13">
        <v>0.14480000000000001</v>
      </c>
      <c r="G84" s="13">
        <v>0.1449</v>
      </c>
      <c r="H84" s="13">
        <v>0.1447</v>
      </c>
      <c r="I84" s="13"/>
      <c r="J84" s="16">
        <v>-1.4E-3</v>
      </c>
    </row>
    <row r="85" spans="4:10" ht="16.5">
      <c r="D85" s="11">
        <v>46108</v>
      </c>
      <c r="E85" s="15">
        <v>0.1447</v>
      </c>
      <c r="F85" s="13">
        <v>0.14460000000000001</v>
      </c>
      <c r="G85" s="13">
        <v>0.14480000000000001</v>
      </c>
      <c r="H85" s="13">
        <v>0.14460000000000001</v>
      </c>
      <c r="I85" s="13"/>
      <c r="J85" s="31">
        <v>0</v>
      </c>
    </row>
    <row r="86" spans="4:10" ht="16.5">
      <c r="D86" s="11">
        <v>46111</v>
      </c>
      <c r="E86" s="15">
        <v>0.1447</v>
      </c>
      <c r="F86" s="13">
        <v>0.14460000000000001</v>
      </c>
      <c r="G86" s="13">
        <v>0.14480000000000001</v>
      </c>
      <c r="H86" s="13">
        <v>0.14449999999999999</v>
      </c>
      <c r="I86" s="13"/>
      <c r="J86" s="31">
        <v>0</v>
      </c>
    </row>
    <row r="87" spans="4:10" ht="16.5">
      <c r="D87" s="11">
        <v>46112</v>
      </c>
      <c r="E87" s="12">
        <v>0.1449</v>
      </c>
      <c r="F87" s="13">
        <v>0.14480000000000001</v>
      </c>
      <c r="G87" s="13">
        <v>0.14510000000000001</v>
      </c>
      <c r="H87" s="13">
        <v>0.1447</v>
      </c>
      <c r="I87" s="13"/>
      <c r="J87" s="14">
        <v>1.4E-3</v>
      </c>
    </row>
    <row r="88" spans="4:10" ht="16.5">
      <c r="D88" s="11">
        <v>46113</v>
      </c>
      <c r="E88" s="12">
        <v>0.14549999999999999</v>
      </c>
      <c r="F88" s="13">
        <v>0.14530000000000001</v>
      </c>
      <c r="G88" s="13">
        <v>0.14549999999999999</v>
      </c>
      <c r="H88" s="13">
        <v>0.1452</v>
      </c>
      <c r="I88" s="13"/>
      <c r="J88" s="14">
        <v>4.1000000000000003E-3</v>
      </c>
    </row>
    <row r="89" spans="4:10" ht="16.5">
      <c r="D89" s="11">
        <v>46114</v>
      </c>
      <c r="E89" s="15">
        <v>0.1452</v>
      </c>
      <c r="F89" s="13">
        <v>0.14549999999999999</v>
      </c>
      <c r="G89" s="13">
        <v>0.14549999999999999</v>
      </c>
      <c r="H89" s="13">
        <v>0.1452</v>
      </c>
      <c r="I89" s="13"/>
      <c r="J89" s="16">
        <v>-1.9E-3</v>
      </c>
    </row>
    <row r="94" spans="4:10" ht="16.5">
      <c r="D94" s="9" t="s">
        <v>15</v>
      </c>
      <c r="E94" s="10" t="s">
        <v>16</v>
      </c>
      <c r="F94" s="10" t="s">
        <v>17</v>
      </c>
      <c r="G94" s="10" t="s">
        <v>18</v>
      </c>
      <c r="H94" s="10" t="s">
        <v>19</v>
      </c>
      <c r="I94" s="10" t="s">
        <v>20</v>
      </c>
      <c r="J94" s="10" t="s">
        <v>21</v>
      </c>
    </row>
    <row r="95" spans="4:10" ht="16.5">
      <c r="D95" s="11">
        <v>46079</v>
      </c>
      <c r="E95" s="35">
        <v>16755</v>
      </c>
      <c r="F95" s="34">
        <v>16757.5</v>
      </c>
      <c r="G95" s="34">
        <v>16781</v>
      </c>
      <c r="H95" s="34">
        <v>16732.5</v>
      </c>
      <c r="I95" s="13"/>
      <c r="J95" s="16">
        <v>-1.8E-3</v>
      </c>
    </row>
    <row r="96" spans="4:10" ht="16.5">
      <c r="D96" s="11">
        <v>46080</v>
      </c>
      <c r="E96" s="33">
        <v>16765</v>
      </c>
      <c r="F96" s="34">
        <v>16767.5</v>
      </c>
      <c r="G96" s="34">
        <v>16788.5</v>
      </c>
      <c r="H96" s="34">
        <v>16761.5</v>
      </c>
      <c r="I96" s="13"/>
      <c r="J96" s="14">
        <v>5.9999999999999995E-4</v>
      </c>
    </row>
    <row r="97" spans="4:10" ht="16.5">
      <c r="D97" s="11">
        <v>46083</v>
      </c>
      <c r="E97" s="33">
        <v>16860</v>
      </c>
      <c r="F97" s="34">
        <v>16822.5</v>
      </c>
      <c r="G97" s="34">
        <v>16867.5</v>
      </c>
      <c r="H97" s="34">
        <v>16814.5</v>
      </c>
      <c r="I97" s="13"/>
      <c r="J97" s="14">
        <v>5.7000000000000002E-3</v>
      </c>
    </row>
    <row r="98" spans="4:10" ht="16.5">
      <c r="D98" s="11">
        <v>46084</v>
      </c>
      <c r="E98" s="35">
        <v>16855</v>
      </c>
      <c r="F98" s="34">
        <v>16860</v>
      </c>
      <c r="G98" s="34">
        <v>16885</v>
      </c>
      <c r="H98" s="34">
        <v>16844</v>
      </c>
      <c r="I98" s="13"/>
      <c r="J98" s="16">
        <v>-2.9999999999999997E-4</v>
      </c>
    </row>
    <row r="99" spans="4:10" ht="16.5">
      <c r="D99" s="11">
        <v>46085</v>
      </c>
      <c r="E99" s="33">
        <v>16885</v>
      </c>
      <c r="F99" s="34">
        <v>16920</v>
      </c>
      <c r="G99" s="34">
        <v>16932.5</v>
      </c>
      <c r="H99" s="34">
        <v>16885</v>
      </c>
      <c r="I99" s="13"/>
      <c r="J99" s="14">
        <v>1.8E-3</v>
      </c>
    </row>
    <row r="100" spans="4:10" ht="16.5">
      <c r="D100" s="11">
        <v>46086</v>
      </c>
      <c r="E100" s="35">
        <v>16880</v>
      </c>
      <c r="F100" s="34">
        <v>16902.5</v>
      </c>
      <c r="G100" s="34">
        <v>16907.5</v>
      </c>
      <c r="H100" s="34">
        <v>16855</v>
      </c>
      <c r="I100" s="13"/>
      <c r="J100" s="16">
        <v>-2.9999999999999997E-4</v>
      </c>
    </row>
    <row r="101" spans="4:10" ht="16.5">
      <c r="D101" s="11">
        <v>46087</v>
      </c>
      <c r="E101" s="33">
        <v>16905</v>
      </c>
      <c r="F101" s="34">
        <v>16917.5</v>
      </c>
      <c r="G101" s="34">
        <v>16932.5</v>
      </c>
      <c r="H101" s="34">
        <v>16902.5</v>
      </c>
      <c r="I101" s="13"/>
      <c r="J101" s="14">
        <v>1.5E-3</v>
      </c>
    </row>
    <row r="102" spans="4:10" ht="16.5">
      <c r="D102" s="11">
        <v>46090</v>
      </c>
      <c r="E102" s="33">
        <v>16940</v>
      </c>
      <c r="F102" s="34">
        <v>16990</v>
      </c>
      <c r="G102" s="34">
        <v>16995</v>
      </c>
      <c r="H102" s="34">
        <v>16937.5</v>
      </c>
      <c r="I102" s="13"/>
      <c r="J102" s="14">
        <v>2.0999999999999999E-3</v>
      </c>
    </row>
    <row r="103" spans="4:10" ht="16.5">
      <c r="D103" s="11">
        <v>46091</v>
      </c>
      <c r="E103" s="35">
        <v>16857.5</v>
      </c>
      <c r="F103" s="34">
        <v>16865</v>
      </c>
      <c r="G103" s="34">
        <v>16895</v>
      </c>
      <c r="H103" s="34">
        <v>16842.5</v>
      </c>
      <c r="I103" s="13"/>
      <c r="J103" s="16">
        <v>-4.8999999999999998E-3</v>
      </c>
    </row>
    <row r="104" spans="4:10" ht="16.5">
      <c r="D104" s="11">
        <v>46092</v>
      </c>
      <c r="E104" s="33">
        <v>16870</v>
      </c>
      <c r="F104" s="34">
        <v>16840</v>
      </c>
      <c r="G104" s="34">
        <v>16872.5</v>
      </c>
      <c r="H104" s="34">
        <v>16835</v>
      </c>
      <c r="I104" s="13"/>
      <c r="J104" s="14">
        <v>6.9999999999999999E-4</v>
      </c>
    </row>
    <row r="105" spans="4:10" ht="16.5">
      <c r="D105" s="11">
        <v>46093</v>
      </c>
      <c r="E105" s="33">
        <v>16890</v>
      </c>
      <c r="F105" s="34">
        <v>16900</v>
      </c>
      <c r="G105" s="34">
        <v>16909</v>
      </c>
      <c r="H105" s="34">
        <v>16878</v>
      </c>
      <c r="I105" s="13"/>
      <c r="J105" s="14">
        <v>1.1999999999999999E-3</v>
      </c>
    </row>
    <row r="106" spans="4:10" ht="16.5">
      <c r="D106" s="11">
        <v>46094</v>
      </c>
      <c r="E106" s="33">
        <v>16940</v>
      </c>
      <c r="F106" s="34">
        <v>16907.5</v>
      </c>
      <c r="G106" s="34">
        <v>16946</v>
      </c>
      <c r="H106" s="34">
        <v>16897.5</v>
      </c>
      <c r="I106" s="13"/>
      <c r="J106" s="14">
        <v>3.0000000000000001E-3</v>
      </c>
    </row>
    <row r="107" spans="4:10" ht="16.5">
      <c r="D107" s="11">
        <v>46097</v>
      </c>
      <c r="E107" s="33">
        <v>16990</v>
      </c>
      <c r="F107" s="34">
        <v>16950</v>
      </c>
      <c r="G107" s="34">
        <v>16997.5</v>
      </c>
      <c r="H107" s="34">
        <v>16950</v>
      </c>
      <c r="I107" s="13"/>
      <c r="J107" s="14">
        <v>3.0000000000000001E-3</v>
      </c>
    </row>
    <row r="108" spans="4:10" ht="16.5">
      <c r="D108" s="11">
        <v>46098</v>
      </c>
      <c r="E108" s="35">
        <v>16980</v>
      </c>
      <c r="F108" s="34">
        <v>16977.5</v>
      </c>
      <c r="G108" s="34">
        <v>16992.5</v>
      </c>
      <c r="H108" s="34">
        <v>16960</v>
      </c>
      <c r="I108" s="13"/>
      <c r="J108" s="16">
        <v>-5.9999999999999995E-4</v>
      </c>
    </row>
    <row r="109" spans="4:10" ht="16.5">
      <c r="D109" s="11">
        <v>46099</v>
      </c>
      <c r="E109" s="35">
        <v>16980</v>
      </c>
      <c r="F109" s="34">
        <v>16980</v>
      </c>
      <c r="G109" s="34">
        <v>16980</v>
      </c>
      <c r="H109" s="34">
        <v>16980</v>
      </c>
      <c r="I109" s="13"/>
      <c r="J109" s="31">
        <v>0</v>
      </c>
    </row>
    <row r="110" spans="4:10" ht="16.5">
      <c r="D110" s="11">
        <v>46100</v>
      </c>
      <c r="E110" s="35">
        <v>16980</v>
      </c>
      <c r="F110" s="34">
        <v>16980</v>
      </c>
      <c r="G110" s="34">
        <v>16980</v>
      </c>
      <c r="H110" s="34">
        <v>16980</v>
      </c>
      <c r="I110" s="13"/>
      <c r="J110" s="31">
        <v>0</v>
      </c>
    </row>
    <row r="111" spans="4:10" ht="16.5">
      <c r="D111" s="11">
        <v>46101</v>
      </c>
      <c r="E111" s="35">
        <v>16980</v>
      </c>
      <c r="F111" s="34">
        <v>16980</v>
      </c>
      <c r="G111" s="34">
        <v>16980</v>
      </c>
      <c r="H111" s="34">
        <v>16980</v>
      </c>
      <c r="I111" s="13"/>
      <c r="J111" s="31">
        <v>0</v>
      </c>
    </row>
    <row r="112" spans="4:10" ht="16.5">
      <c r="D112" s="11">
        <v>46104</v>
      </c>
      <c r="E112" s="35">
        <v>16980</v>
      </c>
      <c r="F112" s="34">
        <v>16980</v>
      </c>
      <c r="G112" s="34">
        <v>16980</v>
      </c>
      <c r="H112" s="34">
        <v>16980</v>
      </c>
      <c r="I112" s="13"/>
      <c r="J112" s="31">
        <v>0</v>
      </c>
    </row>
    <row r="113" spans="4:10" ht="16.5">
      <c r="D113" s="11">
        <v>46105</v>
      </c>
      <c r="E113" s="35">
        <v>16980</v>
      </c>
      <c r="F113" s="34">
        <v>16980</v>
      </c>
      <c r="G113" s="34">
        <v>16980</v>
      </c>
      <c r="H113" s="34">
        <v>16980</v>
      </c>
      <c r="I113" s="13"/>
      <c r="J113" s="31">
        <v>0</v>
      </c>
    </row>
    <row r="114" spans="4:10" ht="16.5">
      <c r="D114" s="11">
        <v>46106</v>
      </c>
      <c r="E114" s="35">
        <v>16910</v>
      </c>
      <c r="F114" s="34">
        <v>16915</v>
      </c>
      <c r="G114" s="34">
        <v>16925</v>
      </c>
      <c r="H114" s="34">
        <v>16870</v>
      </c>
      <c r="I114" s="13"/>
      <c r="J114" s="16">
        <v>-4.1000000000000003E-3</v>
      </c>
    </row>
    <row r="115" spans="4:10" ht="16.5">
      <c r="D115" s="11">
        <v>46107</v>
      </c>
      <c r="E115" s="35">
        <v>16900</v>
      </c>
      <c r="F115" s="34">
        <v>16885</v>
      </c>
      <c r="G115" s="34">
        <v>16907.5</v>
      </c>
      <c r="H115" s="34">
        <v>16880</v>
      </c>
      <c r="I115" s="13"/>
      <c r="J115" s="16">
        <v>-5.9999999999999995E-4</v>
      </c>
    </row>
    <row r="116" spans="4:10" ht="16.5">
      <c r="D116" s="11">
        <v>46108</v>
      </c>
      <c r="E116" s="33">
        <v>16965</v>
      </c>
      <c r="F116" s="34">
        <v>16922.5</v>
      </c>
      <c r="G116" s="34">
        <v>16974</v>
      </c>
      <c r="H116" s="34">
        <v>16922.5</v>
      </c>
      <c r="I116" s="13"/>
      <c r="J116" s="14">
        <v>3.8E-3</v>
      </c>
    </row>
    <row r="117" spans="4:10" ht="16.5">
      <c r="D117" s="11">
        <v>46110</v>
      </c>
      <c r="E117" s="33">
        <v>16965.8</v>
      </c>
      <c r="F117" s="34">
        <v>16960</v>
      </c>
      <c r="G117" s="34">
        <v>16965.8</v>
      </c>
      <c r="H117" s="34">
        <v>16965</v>
      </c>
      <c r="I117" s="13"/>
      <c r="J117" s="31">
        <v>0</v>
      </c>
    </row>
    <row r="118" spans="4:10" ht="16.5">
      <c r="D118" s="11">
        <v>46111</v>
      </c>
      <c r="E118" s="33">
        <v>16990</v>
      </c>
      <c r="F118" s="34">
        <v>16985</v>
      </c>
      <c r="G118" s="34">
        <v>16996.5</v>
      </c>
      <c r="H118" s="34">
        <v>16977.5</v>
      </c>
      <c r="I118" s="13"/>
      <c r="J118" s="14">
        <v>1.4E-3</v>
      </c>
    </row>
    <row r="119" spans="4:10" ht="16.5">
      <c r="D119" s="11">
        <v>46112</v>
      </c>
      <c r="E119" s="33">
        <v>16994.5</v>
      </c>
      <c r="F119" s="34">
        <v>16985</v>
      </c>
      <c r="G119" s="34">
        <v>16999</v>
      </c>
      <c r="H119" s="34">
        <v>16985</v>
      </c>
      <c r="I119" s="13"/>
      <c r="J119" s="14">
        <v>2.9999999999999997E-4</v>
      </c>
    </row>
    <row r="120" spans="4:10" ht="16.5">
      <c r="D120" s="11">
        <v>46113</v>
      </c>
      <c r="E120" s="35">
        <v>16921.5</v>
      </c>
      <c r="F120" s="34">
        <v>16975</v>
      </c>
      <c r="G120" s="34">
        <v>17031</v>
      </c>
      <c r="H120" s="34">
        <v>16921.5</v>
      </c>
      <c r="I120" s="13"/>
      <c r="J120" s="16">
        <v>-4.3E-3</v>
      </c>
    </row>
    <row r="121" spans="4:10" ht="16.5">
      <c r="D121" s="11">
        <v>46114</v>
      </c>
      <c r="E121" s="33">
        <v>17016.400000000001</v>
      </c>
      <c r="F121" s="34">
        <v>16975</v>
      </c>
      <c r="G121" s="34">
        <v>17024.8</v>
      </c>
      <c r="H121" s="34">
        <v>16921.5</v>
      </c>
      <c r="I121" s="13"/>
      <c r="J121" s="14">
        <v>5.5999999999999999E-3</v>
      </c>
    </row>
  </sheetData>
  <sortState ref="D95:J121">
    <sortCondition ref="D95:D1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tabSelected="1" workbookViewId="0">
      <selection activeCell="M10" sqref="M10"/>
    </sheetView>
  </sheetViews>
  <sheetFormatPr defaultRowHeight="14.25"/>
  <cols>
    <col min="1" max="1" width="12.125" customWidth="1"/>
  </cols>
  <sheetData>
    <row r="3" spans="1:2" ht="15">
      <c r="B3" t="s">
        <v>4</v>
      </c>
    </row>
    <row r="5" spans="1:2" ht="15">
      <c r="B5" t="s">
        <v>12</v>
      </c>
    </row>
    <row r="7" spans="1:2">
      <c r="A7" t="s">
        <v>79</v>
      </c>
      <c r="B7" s="32" t="s">
        <v>46</v>
      </c>
    </row>
    <row r="9" spans="1:2">
      <c r="A9" t="s">
        <v>13</v>
      </c>
      <c r="B9" s="32" t="s">
        <v>47</v>
      </c>
    </row>
    <row r="11" spans="1:2" ht="15">
      <c r="A11" t="s">
        <v>11</v>
      </c>
      <c r="B11" s="32" t="s">
        <v>48</v>
      </c>
    </row>
  </sheetData>
  <hyperlinks>
    <hyperlink ref="B11" r:id="rId1"/>
    <hyperlink ref="B9" r:id="rId2"/>
    <hyperlink ref="B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Melting</vt:lpstr>
      <vt:lpstr>Sheet3</vt:lpstr>
      <vt:lpstr>Sheet2</vt:lpstr>
      <vt:lpstr>Melting!Print_Area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zenzen r</dc:creator>
  <cp:lastModifiedBy>BC</cp:lastModifiedBy>
  <cp:lastPrinted>2026-04-02T06:05:36Z</cp:lastPrinted>
  <dcterms:created xsi:type="dcterms:W3CDTF">2026-04-02T03:32:12Z</dcterms:created>
  <dcterms:modified xsi:type="dcterms:W3CDTF">2026-04-04T02:46:47Z</dcterms:modified>
</cp:coreProperties>
</file>
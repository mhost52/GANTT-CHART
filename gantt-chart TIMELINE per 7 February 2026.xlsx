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trlProps/ctrlProp1.xml" ContentType="application/vnd.ms-excel.control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635" windowHeight="7620"/>
  </bookViews>
  <sheets>
    <sheet name="GanttChart" sheetId="9" r:id="rId1"/>
    <sheet name="GanttChartPro" sheetId="12" state="hidden" r:id="rId2"/>
    <sheet name="Help" sheetId="6" state="hidden" r:id="rId3"/>
    <sheet name="TermsOfUse" sheetId="11" state="hidden" r:id="rId4"/>
    <sheet name="Update Project" sheetId="13" r:id="rId5"/>
  </sheets>
  <definedNames>
    <definedName name="prevWBS" localSheetId="0">GanttChart!$A1048576</definedName>
    <definedName name="_xlnm.Print_Area" localSheetId="0">GanttChart!$A$1:$BN$85</definedName>
    <definedName name="_xlnm.Print_Area" localSheetId="1">GanttChartPro!$A$1:$C$47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Vertex42</author>
    <author>Vertex42.com Templates</author>
    <author>BC</author>
  </authors>
  <commentList>
    <comment ref="A7" authorId="0">
      <text>
        <r>
          <rPr>
            <b/>
            <sz val="9"/>
            <rFont val="Tahoma"/>
            <charset val="134"/>
          </rPr>
          <t>Work Breakdown Structure</t>
        </r>
        <r>
          <rPr>
            <sz val="9"/>
            <rFont val="Tahoma"/>
            <charset val="134"/>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text>
        <r>
          <rPr>
            <b/>
            <sz val="9"/>
            <rFont val="Tahoma"/>
            <charset val="134"/>
          </rPr>
          <t>Task Description</t>
        </r>
        <r>
          <rPr>
            <sz val="9"/>
            <rFont val="Tahoma"/>
            <charset val="134"/>
          </rPr>
          <t xml:space="preserve">
Enter the name of each task and sub-task. Use indents for sub-tasks.</t>
        </r>
      </text>
    </comment>
    <comment ref="C7" authorId="0">
      <text>
        <r>
          <rPr>
            <b/>
            <sz val="9"/>
            <rFont val="Tahoma"/>
            <charset val="134"/>
          </rPr>
          <t>Task Lead</t>
        </r>
        <r>
          <rPr>
            <sz val="9"/>
            <rFont val="Tahoma"/>
            <charset val="134"/>
          </rPr>
          <t xml:space="preserve">
Enter the name of the Task Lead in this column.</t>
        </r>
      </text>
    </comment>
    <comment ref="D7" authorId="0">
      <text/>
    </comment>
    <comment ref="E7" authorId="0">
      <text>
        <r>
          <rPr>
            <b/>
            <sz val="9"/>
            <rFont val="Tahoma"/>
            <charset val="134"/>
          </rPr>
          <t>Task Start Date</t>
        </r>
        <r>
          <rPr>
            <sz val="9"/>
            <rFont val="Tahoma"/>
            <charset val="134"/>
          </rPr>
          <t xml:space="preserve">
You can manually enter the Start Date for each task or use a formula to create a dependency on a Predecessor. For example, you could enter </t>
        </r>
        <r>
          <rPr>
            <b/>
            <sz val="9"/>
            <rFont val="Tahoma"/>
            <charset val="134"/>
          </rPr>
          <t>=</t>
        </r>
        <r>
          <rPr>
            <b/>
            <i/>
            <sz val="9"/>
            <rFont val="Tahoma"/>
            <charset val="134"/>
          </rPr>
          <t>enddate</t>
        </r>
        <r>
          <rPr>
            <b/>
            <sz val="9"/>
            <rFont val="Tahoma"/>
            <charset val="134"/>
          </rPr>
          <t>+1</t>
        </r>
        <r>
          <rPr>
            <sz val="9"/>
            <rFont val="Tahoma"/>
            <charset val="134"/>
          </rPr>
          <t xml:space="preserve"> to set the Start date to the next calendar day, or </t>
        </r>
        <r>
          <rPr>
            <b/>
            <sz val="9"/>
            <rFont val="Tahoma"/>
            <charset val="134"/>
          </rPr>
          <t>=WORKDAY(</t>
        </r>
        <r>
          <rPr>
            <b/>
            <i/>
            <sz val="9"/>
            <rFont val="Tahoma"/>
            <charset val="134"/>
          </rPr>
          <t>enddate</t>
        </r>
        <r>
          <rPr>
            <b/>
            <sz val="9"/>
            <rFont val="Tahoma"/>
            <charset val="134"/>
          </rPr>
          <t>,1)</t>
        </r>
        <r>
          <rPr>
            <sz val="9"/>
            <rFont val="Tahoma"/>
            <charset val="134"/>
          </rPr>
          <t xml:space="preserve"> to set the Start date to the next work day (excluding weekends), where </t>
        </r>
        <r>
          <rPr>
            <i/>
            <sz val="9"/>
            <rFont val="Tahoma"/>
            <charset val="134"/>
          </rPr>
          <t>enddate</t>
        </r>
        <r>
          <rPr>
            <sz val="9"/>
            <rFont val="Tahoma"/>
            <charset val="134"/>
          </rPr>
          <t xml:space="preserve"> is the cell reference for the End date of the Predecessor task.</t>
        </r>
      </text>
    </comment>
    <comment ref="F7" authorId="1">
      <text>
        <r>
          <rPr>
            <b/>
            <sz val="9"/>
            <rFont val="Tahoma"/>
            <charset val="134"/>
          </rPr>
          <t>End Date:</t>
        </r>
        <r>
          <rPr>
            <sz val="9"/>
            <rFont val="Tahoma"/>
            <charset val="134"/>
          </rPr>
          <t xml:space="preserve">
The End Date is calculated based on the Start Date and the Calendar Days columns.</t>
        </r>
      </text>
    </comment>
    <comment ref="G7" authorId="0">
      <text>
        <r>
          <rPr>
            <b/>
            <sz val="9"/>
            <rFont val="Tahoma"/>
            <charset val="134"/>
          </rPr>
          <t>Duration (Calendar Days)</t>
        </r>
        <r>
          <rPr>
            <sz val="9"/>
            <rFont val="Tahoma"/>
            <charset val="134"/>
          </rPr>
          <t xml:space="preserve">
The duration is the number of calendar days for the given task. The duration is calculated as the </t>
        </r>
        <r>
          <rPr>
            <b/>
            <sz val="9"/>
            <rFont val="Tahoma"/>
            <charset val="134"/>
          </rPr>
          <t>End</t>
        </r>
        <r>
          <rPr>
            <sz val="9"/>
            <rFont val="Tahoma"/>
            <charset val="134"/>
          </rPr>
          <t xml:space="preserve"> Date minus the </t>
        </r>
        <r>
          <rPr>
            <b/>
            <sz val="9"/>
            <rFont val="Tahoma"/>
            <charset val="134"/>
          </rPr>
          <t>Start</t>
        </r>
        <r>
          <rPr>
            <sz val="9"/>
            <rFont val="Tahoma"/>
            <charset val="134"/>
          </rPr>
          <t xml:space="preserve"> Date plus 1 day, so that a task starting and ending on the same day has a duration of 1 day.
</t>
        </r>
        <r>
          <rPr>
            <b/>
            <sz val="9"/>
            <rFont val="Tahoma"/>
            <charset val="134"/>
          </rPr>
          <t>Note:</t>
        </r>
        <r>
          <rPr>
            <sz val="9"/>
            <rFont val="Tahoma"/>
            <charset val="134"/>
          </rPr>
          <t xml:space="preserve"> The conditional formatting used to create the gantt chart references this column.</t>
        </r>
      </text>
    </comment>
    <comment ref="H7" authorId="0">
      <text>
        <r>
          <rPr>
            <b/>
            <sz val="9"/>
            <rFont val="Tahoma"/>
            <charset val="134"/>
          </rPr>
          <t>Percent Complete</t>
        </r>
        <r>
          <rPr>
            <sz val="9"/>
            <rFont val="Tahoma"/>
            <charset val="134"/>
          </rPr>
          <t xml:space="preserve">
Update the status of this task by entering the percent complete (between 0% and 100%).</t>
        </r>
      </text>
    </comment>
    <comment ref="I7" authorId="0">
      <text>
        <r>
          <rPr>
            <b/>
            <sz val="9"/>
            <rFont val="Tahoma"/>
            <charset val="134"/>
          </rPr>
          <t>Work Days</t>
        </r>
        <r>
          <rPr>
            <sz val="9"/>
            <rFont val="Tahoma"/>
            <charset val="134"/>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 ref="B23" authorId="2">
      <text>
        <r>
          <rPr>
            <b/>
            <sz val="9"/>
            <rFont val="Tahoma"/>
            <charset val="134"/>
          </rPr>
          <t xml:space="preserve">BC: </t>
        </r>
        <r>
          <rPr>
            <sz val="9"/>
            <rFont val="Tahoma"/>
            <charset val="134"/>
          </rPr>
          <t xml:space="preserve">
https://my430621-api.s4hana.cloud.sap/sap/opu/odata/sap/API_PRODUCT_SRV//A_Product --&gt; tabel pz_material
https://my430621-api.s4hana.cloud.sap/sap/opu/odata/sap/API_PRODUCT_SRV/A_ProductDescription --&gt; tabel pz_material_description
https://my430621-api.s4hana.cloud.sap/sap/opu/odata/sap/API_PRODUCT_SRV/A_ProductPlant --&gt; tabel pz_material_plant
</t>
        </r>
      </text>
    </comment>
    <comment ref="B24" authorId="2">
      <text>
        <r>
          <rPr>
            <b/>
            <sz val="9"/>
            <rFont val="Tahoma"/>
            <charset val="1"/>
          </rPr>
          <t>BC:</t>
        </r>
        <r>
          <rPr>
            <sz val="9"/>
            <rFont val="Tahoma"/>
            <charset val="1"/>
          </rPr>
          <t xml:space="preserve">
https://my430621-api.s4hana.cloud.sap/sap/opu/odata4/sap/aps_iam_api_buser_read/srvd_a2x/sap/businessuser/0001/BusinessUsers
Username :
LEUWITEX_US_SAP_COM_0889
Password : Leuwitexsapcloud@2025
tabel : pz_business_users</t>
        </r>
      </text>
    </comment>
    <comment ref="B25" authorId="2">
      <text>
        <r>
          <rPr>
            <b/>
            <sz val="9"/>
            <rFont val="Tahoma"/>
            <charset val="1"/>
          </rPr>
          <t>BC:</t>
        </r>
        <r>
          <rPr>
            <sz val="9"/>
            <rFont val="Tahoma"/>
            <charset val="1"/>
          </rPr>
          <t xml:space="preserve">
https://my430621-api.s4hana.cloud.sap/sap/opu/odata4/sap/api_fixedasset/srvd_a2x/sap/fixedasset/0001/FixedAsset
Username :
LEUWITEX_US_SAP_COM_0A93
Password : Leuwitexsapcloud@2025"
tabel : pz_fixed_asset 
https://my430621-api.s4hana.cloud.sap/sap/opu/odata4/sap/api_fixedasset/srvd_a2x/sap/fixedasset/0001/FixedAssetLedger
Username :
LEUWITEX_US_SAP_COM_0A93
Password : Leuwitexsapcloud@2025"
tabel : pz_fixed_asset_ledger </t>
        </r>
      </text>
    </comment>
    <comment ref="B26" authorId="2">
      <text>
        <r>
          <rPr>
            <b/>
            <sz val="9"/>
            <rFont val="Tahoma"/>
            <charset val="1"/>
          </rPr>
          <t>BC:</t>
        </r>
        <r>
          <rPr>
            <sz val="9"/>
            <rFont val="Tahoma"/>
            <charset val="1"/>
          </rPr>
          <t xml:space="preserve">
https://my430621-api.s4hana.cloud.sap/sap/opu/odata/sap/API_BILLING_DOCUMENT_SRV/A_BillingDocument 
Comm User  : LEUWITEX_US_SAP_COM_0120
password user comm: Leuwitexsapcloud@2025
tabel : pz_billing_document
https://my430621-api.s4hana.cloud.sap/sap/opu/odata4/sap/api_billingdocument/srvd_a2x/sap/billingdocument/0001/BillingDocumentItem 
Comm User  : LEUWITEX_US_SAP_COM_0120
password user comm: Leuwitexsapcloud@2025
tabel : pz_billing_document_item
https://my430621-api.s4hana.cloud.sap/sap/opu/odata/sap/API_SALES_ORDER_SRV/A_SalesOrder 
Comm User  : LEUWITEX_US_SAP_COM_0109
password user comm: Leuwitexsapcloud@2025
tabel : pz_sales_order</t>
        </r>
      </text>
    </comment>
    <comment ref="B27" authorId="2">
      <text>
        <r>
          <rPr>
            <b/>
            <sz val="9"/>
            <rFont val="Tahoma"/>
            <charset val="134"/>
          </rPr>
          <t xml:space="preserve">https://my430621-api.s4hana.cloud.sap/sap/opu/odata/sap/API_BUSINESS_PARTNER/A_Supplier
Username :  
LEUWITEX_US_SAP_COM_0008 SupplierFullName Bechtle AG Kriek street
Password : \W+M)hw&amp;kj]WHnSJ&gt;UmhdB(f56N&gt;\Zk9caxMY=5L 
CREATE TABLE pz_supplier (
    supplier            VARCHAR(20) PRIMARY KEY,
    supplier_full_name  VARCHAR(100),
    created_at          TIMESTAMP DEFAULT CURRENT_TIMESTAMP,
    updated_at          TIMESTAMP DEFAULT CURRENT_TIMESTAMP
);
https://my430621-api.s4hana.cloud.sap/sap/opu/odata/sap/API_BUSINESS_PARTNER/A_AddressEmailAddress 
Username :
LEUWITEX_US_SAP_COM_0008  
Password : \W+M)hw&amp;kj]WHnSJ&gt;UmhdB(f56N&gt;\Zk9caxMY=5L 
CREATE TABLE pz_address_email_address (
    email_address       VARCHAR(100) NOT NULL,
    person              VARCHAR(50),
    address_id          VARCHAR(50),
    created_at          TIMESTAMP DEFAULT CURRENT_TIMESTAMP,
    updated_at          TIMESTAMP DEFAULT CURRENT_TIMESTAMP,
    PRIMARY KEY (email_address)
);
https://my430621-api.s4hana.cloud.sap/sap/opu/odata/sap/API_BUSINESS_PARTNER/A_BusinessPartnerAddress
Username :
LEUWITEX_US_SAP_COM_0008
Password : \W+M)hw&amp;kj]WHnSJ&gt;UmhdB(f56N&gt;\Zk9caxMY=5L
CREATE TABLE pz_business_partner_address (
    country             VARCHAR(50),
    postal_code         VARCHAR(20),
    region              VARCHAR(100),
    district            VARCHAR(100),
    business_partner    VARCHAR(20),
    address_id          VARCHAR(50),
    created_at          TIMESTAMP DEFAULT CURRENT_TIMESTAMP,
    updated_at          TIMESTAMP DEFAULT CURRENT_TIMESTAMP
);
https://my430621-api.s4hana.cloud.sap/sap/opu/odata/sap/API_BUSINESS_PARTNER/A_AddressHomePageURL 
Username :  
LEUWITEX_US_SAP_COM_0008  
Password : \W+M)hw&amp;kj]WHnSJ&gt;UmhdB(f56N&gt;\Zk9caxMY=5L  
CREATE TABLE pz_address_home_page_url (
    website_url     VARCHAR(200) NOT NULL,
    address_id      VARCHAR(50),
    -- Audit columns
    created_at      TIMESTAMP DEFAULT CURRENT_TIMESTAMP,
    updated_at      TIMESTAMP DEFAULT CURRENT_TIMESTAMP,
    PRIMARY KEY (website_url)
);
https://my430621-api.s4hana.cloud.sap/sap/opu/odata/sap/API_BUSINESS_PARTNER/A_AddressPhoneNumber 
Username :  
LEUWITEX_US_SAP_COM_0008  
Password : \W+M)hw&amp;kj]WHnSJ&gt;UmhdB(f56N&gt;\Zk9caxMY=5L 
CREATE TABLE pz_address_phone_number (
    phone_number    VARCHAR(50) NOT NULL,
    address_id      VARCHAR(50),
    created_at      TIMESTAMP DEFAULT CURRENT_TIMESTAMP,
    updated_at      TIMESTAMP DEFAULT CURRENT_TIMESTAMP
);
https://my430621-api.s4hana.cloud.sap/sap/opu/odata/sap/API_BUSINESS_PARTNER/A_BuPaIdentification 
Username :  
LEUWITEX_US_SAP_COM_0008  
Password : \W+M)hw&amp;kj]WHnSJ&gt;UmhdB(f56N&gt;\Zk9caxMY=5L  
CREATE TABLE pz_bu_pa_identification (
    npwp_vendor        VARCHAR(30) NOT NULL,
    business_partner   VARCHAR(20),
    created_at         TIMESTAMP DEFAULT CURRENT_TIMESTAMP,
    updated_at         TIMESTAMP DEFAULT CURRENT_TIMESTAMP
);
https://my430621-api.s4hana.cloud.sap/sap/opu/odata/sap/API_BUSINESS_PARTNER/A_AddressFaxNumber 
Username :  
LEUWITEX_US_SAP_COM_0008  
Password : \W+M)hw&amp;kj]WHnSJ&gt;UmhdB(f56N&gt;\Zk9caxMY=5L 
CREATE TABLE pz_bu_address_fax_number (
    fax_number       VARCHAR(50) NOT NULL,
    address_id       VARCHAR(50),
    created_at       TIMESTAMP DEFAULT CURRENT_TIMESTAMP,
    updated_at       TIMESTAMP DEFAULT CURRENT_TIMESTAMP
);
</t>
        </r>
      </text>
    </comment>
    <comment ref="B28" authorId="2">
      <text>
        <r>
          <rPr>
            <sz val="9"/>
            <rFont val="Tahoma"/>
            <charset val="1"/>
          </rPr>
          <t xml:space="preserve">https://my430621-api.s4hana.cloud.sap/sap/opu/odata/sap/API_BUSINESS_PARTNER/A_BusinessPartnerAddress
UserName : LEUWITEX_US_SAP_COM_0008
Password : \W+M)hw&amp;kj]WHnSJ&gt;UmhdB(f56N&gt;\Zk9caxMY=5L
tabel : pz_business_partner_address
https://my430621-api.s4hana.cloud.sap/sap/opu/odata/sap/API_BUSINESS_PARTNER/A_Customer
UserName : LEUWITEX_US_SAP_COM_0008
Password : \W+M)hw&amp;kj]WHnSJ&gt;UmhdB(f56N&gt;\Zk9caxMY=5L
tabel : pz_customer
https://my430621-api.s4hana.cloud.sap/sap/opu/odata/sap/API_BUSINESS_PARTNER/A_Customer('9200000010')/to_CustomerSalesArea
UserName : LEUWITEX_US_SAP_COM_0008
Password : \W+M)hw&amp;kj]WHnSJ&gt;UmhdB(f56N&gt;\Zk9caxMY=5L
tabel : pz_customer_sales_area 
https://my430621-api.s4hana.cloud.sap/sap/opu/odata/sap/API_BUSINESS_PARTNER/A_BusinessPartnerTaxNumber 
UserName : LEUWITEX_US_SAP_COM_0008
Password : \W+M)hw&amp;kj]WHnSJ&gt;UmhdB(f56N&gt;\Zk9caxMY=5L
tabel : pz_business_partner_tax_number 
https://my430621-api.s4hana.cloud.sap/sap/opu/odata/sap/API_BUSINESS_PARTNER/A_CustSalesPartnerFunc
UserName : LEUWITEX_US_SAP_COM_0008
Password : \W+M)hw&amp;kj]WHnSJ&gt;UmhdB(f56N&gt;\Zk9caxMY=5L
tabel : pz_cust_sales_partner_func </t>
        </r>
      </text>
    </comment>
    <comment ref="B29"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0" authorId="2">
      <text>
        <r>
          <rPr>
            <sz val="9"/>
            <rFont val="Tahoma"/>
            <charset val="1"/>
          </rPr>
          <t xml:space="preserve">https://my430621-api.s4hana.cloud.sap/sap/opu/odata/sap/API_MATERIAL_DOCUMENT_SRV/A_MaterialDocumentHeader
Username :
LEUWITEX_US_SAP_COM_0108
Password : Leuwitexsapcloud@2025
table pz_material_document_header 
https://my430621-api.s4hana.cloud.sap/sap/opu/odata/sap/API_MATERIAL_DOCUMENT_SRV//A_MaterialDocumentItem
Username : LEUWITEX_US_SAP_COM_0108
Password : Leuwitexsapcloud@2025
table pz_material_document_item </t>
        </r>
      </text>
    </comment>
    <comment ref="B31"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List>
</comments>
</file>

<file path=xl/comments2.xml><?xml version="1.0" encoding="utf-8"?>
<comments xmlns="http://schemas.openxmlformats.org/spreadsheetml/2006/main">
  <authors>
    <author>Vertex42</author>
  </authors>
  <commentList>
    <comment ref="C16" authorId="0">
      <text>
        <r>
          <rPr>
            <sz val="8"/>
            <rFont val="Tahoma"/>
            <charset val="134"/>
          </rPr>
          <t>This is an example comment.</t>
        </r>
      </text>
    </comment>
  </commentList>
</comments>
</file>

<file path=xl/sharedStrings.xml><?xml version="1.0" encoding="utf-8"?>
<sst xmlns="http://schemas.openxmlformats.org/spreadsheetml/2006/main" count="323" uniqueCount="234">
  <si>
    <t>RICEF BY LEUWITEX ( update 14 February 2026 )</t>
  </si>
  <si>
    <t xml:space="preserve">Project Start Date </t>
  </si>
  <si>
    <t xml:space="preserve">Display Week </t>
  </si>
  <si>
    <t xml:space="preserve">Project Lead </t>
  </si>
  <si>
    <t>Billy</t>
  </si>
  <si>
    <t>WBS</t>
  </si>
  <si>
    <t>TASK</t>
  </si>
  <si>
    <t>PIC</t>
  </si>
  <si>
    <t>NOTES</t>
  </si>
  <si>
    <t>START</t>
  </si>
  <si>
    <t>END</t>
  </si>
  <si>
    <t>DAYS</t>
  </si>
  <si>
    <t>% DONE</t>
  </si>
  <si>
    <t>WORK DAYS</t>
  </si>
  <si>
    <t>SAP API development</t>
  </si>
  <si>
    <t>INSTALL ECLIPSE, ADOBE LIFECYCLE DI PC</t>
  </si>
  <si>
    <t>Baim, Budi</t>
  </si>
  <si>
    <t>BELAJAR KE SOLTIUS TENTANG SAP</t>
  </si>
  <si>
    <t>INTEGRASI API SAP KE PRINT BARCODE INTERNAL</t>
  </si>
  <si>
    <t>MAPPING IT INVENTORY</t>
  </si>
  <si>
    <t>Baim</t>
  </si>
  <si>
    <t>BELAJAR MENDAFTARKAN API SAP</t>
  </si>
  <si>
    <t>MAPPING TABEL TAMBAHAN BEA CUKAI</t>
  </si>
  <si>
    <t>SIT</t>
  </si>
  <si>
    <t>INTEGRASI API SAP UNTUK BEA CUKAI</t>
  </si>
  <si>
    <t>BELAJAR MENGEDIT FORM SAP</t>
  </si>
  <si>
    <t>KUT SAP BAGIAN MASTER DATA MM</t>
  </si>
  <si>
    <t>KUT SAP BAGIAN MASTER DATA SD dan FICO</t>
  </si>
  <si>
    <t>Budi</t>
  </si>
  <si>
    <t>Modifikasi Form Invoice (Barang Bekas, Avfal, BS, Maklon, Masker)</t>
  </si>
  <si>
    <t>Modifikasi Form Surat Jalan (Barang Bekas, Avfal, BS, Maklon, Masker)</t>
  </si>
  <si>
    <t>Buat UI penarikan data dari API dan insert data Delivery</t>
  </si>
  <si>
    <t>Buat UI penarikan data dari API dan insert data Material</t>
  </si>
  <si>
    <t>Buat UI penarikan data dari API dan insert data Business User</t>
  </si>
  <si>
    <t>Buat UI penarikan data dari API dan insert data Asset</t>
  </si>
  <si>
    <t>Buat UI penarikan data dari API dan insert data Invoice</t>
  </si>
  <si>
    <t>Buat UI penarikan data dari API dan insert data Supplier</t>
  </si>
  <si>
    <t>Buat UI penarikan data dari API dan insert data Master Customer</t>
  </si>
  <si>
    <t>Buat UI penarikan data dari API dan insert data PO</t>
  </si>
  <si>
    <t>Buat UI penarikan data dari API dan insert data Material Document</t>
  </si>
  <si>
    <t>Buat UI penarikan data dari API dan insert data BOM</t>
  </si>
  <si>
    <t>BBK INTERN</t>
  </si>
  <si>
    <t>DASHBOARD LAYOUT PER BIN</t>
  </si>
  <si>
    <t>DETAIL LIST KARTON PER RAK</t>
  </si>
  <si>
    <t>LAPORAN GUDANG PACKING LEAD TIME</t>
  </si>
  <si>
    <t>LAPORAN PERSEDIAAN GUDANG PACKING</t>
  </si>
  <si>
    <t>LAPORAN SURAT JALAN (P)</t>
  </si>
  <si>
    <t>LAPORAN SURAT JALAN SLOC</t>
  </si>
  <si>
    <t>LIST KARTON PER KODE ORDER</t>
  </si>
  <si>
    <t>LIST STK INTERN DAN EXTERN</t>
  </si>
  <si>
    <t>MONITORING KAIN GREY</t>
  </si>
  <si>
    <t>MOVING HISTORY PER LIST KARTON</t>
  </si>
  <si>
    <t>MOVING HISTORY PER LIST BARCODE</t>
  </si>
  <si>
    <t>REPORT CANCEL KAIN KELUAR</t>
  </si>
  <si>
    <t>REPORT CANCEL KAIN MASUK</t>
  </si>
  <si>
    <t>REPORT COSTING</t>
  </si>
  <si>
    <t>REPORT PEMARTAIAN</t>
  </si>
  <si>
    <t>REPORT RESERVASI</t>
  </si>
  <si>
    <t>REPORT RESUME KODE PARTAI</t>
  </si>
  <si>
    <t>STK BLANK GD. PACKING</t>
  </si>
  <si>
    <t>STOCK BALANCE KAIN GREY</t>
  </si>
  <si>
    <t>STOCK GREY LEAD TIME PER GRADE</t>
  </si>
  <si>
    <t>STOCK KAIN GREY (GRADE)</t>
  </si>
  <si>
    <t>STOCK KAIN GREY (LW 22)</t>
  </si>
  <si>
    <t>STOCK KAIN PASIF (ALL AREA)</t>
  </si>
  <si>
    <t>STOCK LEADTIME</t>
  </si>
  <si>
    <t>STOCK PER BARCODE</t>
  </si>
  <si>
    <t>MOVING HISTORY - GUDANG GREY</t>
  </si>
  <si>
    <t>Report</t>
  </si>
  <si>
    <t>REPORT - WM - MOVING HISTORY - GUDANG GREY</t>
  </si>
  <si>
    <t>Billy, Baim</t>
  </si>
  <si>
    <t>REPORT - WM - STOCK PER BARCODE</t>
  </si>
  <si>
    <t>REPORT - WM - LAPORAN PERSEDIAAN GUDANG PACKING</t>
  </si>
  <si>
    <t>REPORT - WM - LAPORAN GUDANG PACKING LEAD TIME</t>
  </si>
  <si>
    <t>REPORT - WM - LIST KARTON PER KODE ORDER</t>
  </si>
  <si>
    <t>REPORT - WM - MOVING HISTORY PER BARCODE</t>
  </si>
  <si>
    <t>REPORT - WM - MOVING HISTORY PER LIST KARTON</t>
  </si>
  <si>
    <t>REPORT - MM - STOCK KAIN GREY (GRADE)</t>
  </si>
  <si>
    <t>Billy, Budi</t>
  </si>
  <si>
    <t>REPORT - MM - STOCK LEADTIME</t>
  </si>
  <si>
    <t>REPORT - MM - STOCK GREY LEAD TIME PER GRADE</t>
  </si>
  <si>
    <t>REPORT - MM - STOCK BALANCE KAIN GREY</t>
  </si>
  <si>
    <t>REPORT - MM - STOCK KAIN PASIF (ALL AREA)</t>
  </si>
  <si>
    <t>REPORT - MM - STOCK KAIN GREY (LW 22)</t>
  </si>
  <si>
    <t>REPORT - MM - REPORT RESERVASI</t>
  </si>
  <si>
    <t>REPORT - MM - REPORT PEMARTAIAN</t>
  </si>
  <si>
    <t>REPORT - MM - REPORT RESUME KODE PARTAI</t>
  </si>
  <si>
    <t>REPORT - MM - BBK INTERN</t>
  </si>
  <si>
    <t>REPORT - MM - Report Cancel Kain Masuk</t>
  </si>
  <si>
    <t>REPORT - MM - Report Cancel Kain Keluar</t>
  </si>
  <si>
    <t>REPORT - MM - List STK Intern dan Extern</t>
  </si>
  <si>
    <t>REPORT - MM - Laporan Surat Jalan Sloc</t>
  </si>
  <si>
    <t>REPORT - MM - Laporan Surat Jalan (P)</t>
  </si>
  <si>
    <t>REPORT - WM - DASHBOARD LAYOUT PER BIN</t>
  </si>
  <si>
    <t>REPORT - WM - MONITORING KAIN GREY</t>
  </si>
  <si>
    <t>REPORT - CO - REPORT COSTING</t>
  </si>
  <si>
    <t>REPORT - WM - DETAIL LIST KARTON PER RAK</t>
  </si>
  <si>
    <t>REPORT - MM - STK Blank Gd. Packing</t>
  </si>
  <si>
    <t>Interfaces</t>
  </si>
  <si>
    <t>INTERFACE BEA CUKAI</t>
  </si>
  <si>
    <t>INTERFACE PRINT BARCODE</t>
  </si>
  <si>
    <t>Billy, Baim, Budi</t>
  </si>
  <si>
    <t>INTERFACE PRINT BARCODE BANYAK LIST KARTON</t>
  </si>
  <si>
    <t>Forms</t>
  </si>
  <si>
    <t>Form Transfer Posting (ZSCMF001)</t>
  </si>
  <si>
    <t>Form Purchase Order (ZSCMF002)</t>
  </si>
  <si>
    <t>Form Good Receipt (ZSCMF003)</t>
  </si>
  <si>
    <t>Form Good Issue (ZSCMF004)</t>
  </si>
  <si>
    <t>Form Bukti Tanda Terima</t>
  </si>
  <si>
    <t>Enhancement</t>
  </si>
  <si>
    <t>Custom field for qty in PCS at Report Stock</t>
  </si>
  <si>
    <t>Gantt Chart Template Pro</t>
  </si>
  <si>
    <r>
      <rPr>
        <b/>
        <sz val="10"/>
        <rFont val="Arial"/>
        <charset val="134"/>
      </rPr>
      <t>Gantt Chart Template Pro</t>
    </r>
    <r>
      <rPr>
        <sz val="10"/>
        <rFont val="Arial"/>
        <charset val="134"/>
      </rPr>
      <t xml:space="preserve"> is similar to this free version, but</t>
    </r>
  </si>
  <si>
    <t>it is more feature-packed. It also comes with other bonus content.</t>
  </si>
  <si>
    <t>Learn About Gantt Chart Template Pro</t>
  </si>
  <si>
    <t>https://www.vertex42.com/ExcelTemplates/excel-gantt-chart.html</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</si>
  <si>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</si>
  <si>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</si>
  <si>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</si>
  <si>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</si>
  <si>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</si>
  <si>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</si>
  <si>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</si>
  <si>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</si>
  <si>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</si>
  <si>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</si>
  <si>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</si>
  <si>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</si>
  <si>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</si>
  <si>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</si>
  <si>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</si>
  <si>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</si>
  <si>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</si>
  <si>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</si>
  <si>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</si>
  <si>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</si>
  <si>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</si>
  <si>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</si>
  <si>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</si>
  <si>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</si>
  <si>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</si>
  <si>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</si>
  <si>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</si>
  <si>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</si>
  <si>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</si>
  <si>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</si>
  <si>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</si>
  <si>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</si>
  <si>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</si>
  <si>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</si>
  <si>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</si>
  <si>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</si>
  <si>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</si>
  <si>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</si>
  <si>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</si>
  <si>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</si>
  <si>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</si>
  <si>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</si>
  <si>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</si>
  <si>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r>
      <rPr>
        <sz val="11"/>
        <color rgb="FFFF0000"/>
        <rFont val="Arial"/>
        <charset val="134"/>
      </rPr>
      <t xml:space="preserve">• </t>
    </r>
    <r>
      <rPr>
        <b/>
        <sz val="11"/>
        <color rgb="FFFF0000"/>
        <rFont val="Arial"/>
        <charset val="134"/>
      </rPr>
      <t>Backup</t>
    </r>
    <r>
      <rPr>
        <sz val="11"/>
        <color rgb="FFFF0000"/>
        <rFont val="Arial"/>
        <charset val="134"/>
      </rPr>
      <t xml:space="preserve"> your file regularly to avoid losing data! Excel files get corrupted occasionally.</t>
    </r>
  </si>
  <si>
    <t>Inserting New Tasks (Rows)</t>
  </si>
  <si>
    <r>
      <rPr>
        <sz val="11"/>
        <rFont val="Arial"/>
        <charset val="134"/>
      </rPr>
      <t xml:space="preserve">When inserting and deleting tasks, you need to insert and delete </t>
    </r>
    <r>
      <rPr>
        <b/>
        <sz val="11"/>
        <rFont val="Arial"/>
        <charset val="134"/>
      </rPr>
      <t>entire rows</t>
    </r>
    <r>
      <rPr>
        <sz val="11"/>
        <rFont val="Arial"/>
        <charset val="134"/>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</si>
  <si>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</si>
  <si>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</si>
  <si>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</si>
  <si>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</si>
  <si>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</si>
  <si>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</si>
  <si>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</si>
  <si>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</si>
  <si>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</si>
  <si>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</si>
  <si>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</si>
  <si>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</si>
  <si>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</si>
  <si>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</si>
  <si>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</si>
  <si>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</si>
  <si>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</si>
  <si>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</si>
  <si>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</si>
  <si>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</si>
  <si>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</si>
  <si>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</si>
  <si>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rPr>
        <sz val="11"/>
        <rFont val="Arial"/>
        <charset val="134"/>
      </rPr>
      <t>• Use the formula =WORKDAY(</t>
    </r>
    <r>
      <rPr>
        <i/>
        <sz val="11"/>
        <rFont val="Arial"/>
        <charset val="134"/>
      </rPr>
      <t>enddate</t>
    </r>
    <r>
      <rPr>
        <sz val="11"/>
        <rFont val="Arial"/>
        <charset val="134"/>
      </rPr>
      <t xml:space="preserve">,1) where </t>
    </r>
    <r>
      <rPr>
        <i/>
        <sz val="11"/>
        <rFont val="Arial"/>
        <charset val="134"/>
      </rPr>
      <t>enddate</t>
    </r>
    <r>
      <rPr>
        <sz val="11"/>
        <rFont val="Arial"/>
        <charset val="134"/>
      </rPr>
      <t xml:space="preserve"> is the reference to the End date of a predecessor task.</t>
    </r>
  </si>
  <si>
    <r>
      <rPr>
        <sz val="11"/>
        <rFont val="Arial"/>
        <charset val="134"/>
      </rPr>
      <t>• For multiple predecessors, the formula would be =MAX(WORKDAY(</t>
    </r>
    <r>
      <rPr>
        <i/>
        <sz val="11"/>
        <rFont val="Arial"/>
        <charset val="134"/>
      </rPr>
      <t>enddate1</t>
    </r>
    <r>
      <rPr>
        <sz val="11"/>
        <rFont val="Arial"/>
        <charset val="134"/>
      </rPr>
      <t>,1),WORKDAY(</t>
    </r>
    <r>
      <rPr>
        <i/>
        <sz val="11"/>
        <rFont val="Arial"/>
        <charset val="134"/>
      </rPr>
      <t>enddate2</t>
    </r>
    <r>
      <rPr>
        <sz val="11"/>
        <rFont val="Arial"/>
        <charset val="134"/>
      </rPr>
      <t>,1))</t>
    </r>
  </si>
  <si>
    <t>D.</t>
  </si>
  <si>
    <t>Set the Start date to the next Calendar Day after another task's End date.</t>
  </si>
  <si>
    <r>
      <rPr>
        <sz val="11"/>
        <rFont val="Arial"/>
        <charset val="134"/>
      </rPr>
      <t>• This formula is very simple: =</t>
    </r>
    <r>
      <rPr>
        <i/>
        <sz val="11"/>
        <rFont val="Arial"/>
        <charset val="134"/>
      </rPr>
      <t>enddate</t>
    </r>
    <r>
      <rPr>
        <sz val="11"/>
        <rFont val="Arial"/>
        <charset val="134"/>
      </rPr>
      <t>+1</t>
    </r>
  </si>
  <si>
    <r>
      <rPr>
        <sz val="11"/>
        <rFont val="Arial"/>
        <charset val="134"/>
      </rPr>
      <t>• For multiple predecessors, the formula would be =MAX(</t>
    </r>
    <r>
      <rPr>
        <i/>
        <sz val="11"/>
        <rFont val="Arial"/>
        <charset val="134"/>
      </rPr>
      <t>enddate1</t>
    </r>
    <r>
      <rPr>
        <sz val="11"/>
        <rFont val="Arial"/>
        <charset val="134"/>
      </rPr>
      <t>,</t>
    </r>
    <r>
      <rPr>
        <i/>
        <sz val="11"/>
        <rFont val="Arial"/>
        <charset val="134"/>
      </rPr>
      <t>enddate2</t>
    </r>
    <r>
      <rPr>
        <sz val="11"/>
        <rFont val="Arial"/>
        <charset val="134"/>
      </rPr>
      <t>,</t>
    </r>
    <r>
      <rPr>
        <i/>
        <sz val="11"/>
        <rFont val="Arial"/>
        <charset val="134"/>
      </rPr>
      <t>enddate3</t>
    </r>
    <r>
      <rPr>
        <sz val="11"/>
        <rFont val="Arial"/>
        <charset val="134"/>
      </rPr>
      <t>)+1</t>
    </r>
  </si>
  <si>
    <t>E.</t>
  </si>
  <si>
    <t>Set the Start date to a number of days before or after another date.</t>
  </si>
  <si>
    <r>
      <rPr>
        <sz val="11"/>
        <rFont val="Arial"/>
        <charset val="134"/>
      </rPr>
      <t>• This formula is just like the one in C or D, except that in place of the "1" you enter the number of days, such as =WORKDAY(</t>
    </r>
    <r>
      <rPr>
        <i/>
        <sz val="11"/>
        <rFont val="Arial"/>
        <charset val="134"/>
      </rPr>
      <t>enddate</t>
    </r>
    <r>
      <rPr>
        <sz val="11"/>
        <rFont val="Arial"/>
        <charset val="134"/>
      </rPr>
      <t>,5) or =WORKDAY(</t>
    </r>
    <r>
      <rPr>
        <i/>
        <sz val="11"/>
        <rFont val="Arial"/>
        <charset val="134"/>
      </rPr>
      <t>startdate</t>
    </r>
    <r>
      <rPr>
        <sz val="11"/>
        <rFont val="Arial"/>
        <charset val="134"/>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</si>
  <si>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</si>
  <si>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</si>
  <si>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</si>
  <si>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</si>
  <si>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</si>
  <si>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</si>
  <si>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</si>
  <si>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rPr>
        <sz val="11"/>
        <color theme="4" tint="-0.249977111117893"/>
        <rFont val="Arial"/>
        <charset val="134"/>
      </rPr>
      <t xml:space="preserve">How do I enter the </t>
    </r>
    <r>
      <rPr>
        <b/>
        <sz val="11"/>
        <color theme="4" tint="-0.249977111117893"/>
        <rFont val="Arial"/>
        <charset val="134"/>
      </rPr>
      <t>Work Days</t>
    </r>
    <r>
      <rPr>
        <sz val="11"/>
        <color theme="4" tint="-0.249977111117893"/>
        <rFont val="Arial"/>
        <charset val="134"/>
      </rPr>
      <t xml:space="preserve"> instead of </t>
    </r>
    <r>
      <rPr>
        <b/>
        <sz val="11"/>
        <color theme="4" tint="-0.249977111117893"/>
        <rFont val="Arial"/>
        <charset val="134"/>
      </rPr>
      <t>Calendar Days</t>
    </r>
    <r>
      <rPr>
        <sz val="11"/>
        <color theme="4" tint="-0.249977111117893"/>
        <rFont val="Arial"/>
        <charset val="134"/>
      </rPr>
      <t>?</t>
    </r>
  </si>
  <si>
    <t>Entering work days instead of calendar days is a feature of the Pro version. There is nothing in the free version preventing you from entering your own formulas, though.</t>
  </si>
  <si>
    <r>
      <rPr>
        <sz val="11"/>
        <color theme="4" tint="-0.249977111117893"/>
        <rFont val="Arial"/>
        <charset val="134"/>
      </rPr>
      <t xml:space="preserve">How do I calculate Calendar Days after entering the </t>
    </r>
    <r>
      <rPr>
        <b/>
        <sz val="11"/>
        <color theme="4" tint="-0.249977111117893"/>
        <rFont val="Arial"/>
        <charset val="134"/>
      </rPr>
      <t>Start and End Dates</t>
    </r>
    <r>
      <rPr>
        <sz val="11"/>
        <color theme="4" tint="-0.249977111117893"/>
        <rFont val="Arial"/>
        <charset val="134"/>
      </rPr>
      <t>?</t>
    </r>
  </si>
  <si>
    <r>
      <rPr>
        <sz val="11"/>
        <rFont val="Arial"/>
        <charset val="134"/>
      </rPr>
      <t>You can calculate the duration in calendar days (including both start and end dates) using the formula =</t>
    </r>
    <r>
      <rPr>
        <i/>
        <sz val="11"/>
        <rFont val="Arial"/>
        <charset val="134"/>
      </rPr>
      <t>enddate</t>
    </r>
    <r>
      <rPr>
        <sz val="11"/>
        <rFont val="Arial"/>
        <charset val="134"/>
      </rPr>
      <t>-</t>
    </r>
    <r>
      <rPr>
        <i/>
        <sz val="11"/>
        <rFont val="Arial"/>
        <charset val="134"/>
      </rPr>
      <t>startdate</t>
    </r>
    <r>
      <rPr>
        <sz val="11"/>
        <rFont val="Arial"/>
        <charset val="134"/>
      </rPr>
      <t>+1</t>
    </r>
  </si>
  <si>
    <r>
      <rPr>
        <sz val="11"/>
        <color theme="4" tint="-0.249977111117893"/>
        <rFont val="Arial"/>
        <charset val="134"/>
      </rPr>
      <t xml:space="preserve">How do I change the </t>
    </r>
    <r>
      <rPr>
        <b/>
        <sz val="11"/>
        <color theme="4" tint="-0.249977111117893"/>
        <rFont val="Arial"/>
        <charset val="134"/>
      </rPr>
      <t>Print Settings</t>
    </r>
    <r>
      <rPr>
        <sz val="11"/>
        <color theme="4" tint="-0.249977111117893"/>
        <rFont val="Arial"/>
        <charset val="134"/>
      </rPr>
      <t>? (Excel 2010, 2013)</t>
    </r>
  </si>
  <si>
    <t>Select the entire range of cells you want to print and go to File &gt; Print Area &gt; Set Print Area. Then go to File &gt; Page Setup or File &gt; Print Preview and adjust the Scaling, Margins, and Page Orientation as desired.</t>
  </si>
  <si>
    <r>
      <rPr>
        <sz val="11"/>
        <color theme="4" tint="-0.249977111117893"/>
        <rFont val="Arial"/>
        <charset val="134"/>
      </rPr>
      <t xml:space="preserve">How do I increase the </t>
    </r>
    <r>
      <rPr>
        <b/>
        <sz val="11"/>
        <color theme="4" tint="-0.249977111117893"/>
        <rFont val="Arial"/>
        <charset val="134"/>
      </rPr>
      <t>range of dates</t>
    </r>
    <r>
      <rPr>
        <sz val="11"/>
        <color theme="4" tint="-0.249977111117893"/>
        <rFont val="Arial"/>
        <charset val="134"/>
      </rPr>
      <t xml:space="preserve"> displayed in the Gantt chart?</t>
    </r>
  </si>
  <si>
    <t>You will need to add columns to the right of the Gantt Chart via copy/paste. Copy and paste the columns in groups of 7. Afterwards, you will also probably need to update the print area.</t>
  </si>
  <si>
    <r>
      <rPr>
        <sz val="11"/>
        <color theme="4" tint="-0.249977111117893"/>
        <rFont val="Arial"/>
        <charset val="134"/>
      </rPr>
      <t xml:space="preserve">How do I create a summary row that shows the </t>
    </r>
    <r>
      <rPr>
        <b/>
        <sz val="11"/>
        <color theme="4" tint="-0.249977111117893"/>
        <rFont val="Arial"/>
        <charset val="134"/>
      </rPr>
      <t>MIN</t>
    </r>
    <r>
      <rPr>
        <sz val="11"/>
        <color theme="4" tint="-0.249977111117893"/>
        <rFont val="Arial"/>
        <charset val="134"/>
      </rPr>
      <t xml:space="preserve"> and </t>
    </r>
    <r>
      <rPr>
        <b/>
        <sz val="11"/>
        <color theme="4" tint="-0.249977111117893"/>
        <rFont val="Arial"/>
        <charset val="134"/>
      </rPr>
      <t>MAX</t>
    </r>
    <r>
      <rPr>
        <sz val="11"/>
        <color theme="4" tint="-0.249977111117893"/>
        <rFont val="Arial"/>
        <charset val="134"/>
      </rPr>
      <t xml:space="preserve"> dates for all sub-tasks?</t>
    </r>
  </si>
  <si>
    <r>
      <rPr>
        <sz val="11"/>
        <color rgb="FF000000"/>
        <rFont val="Arial"/>
        <charset val="134"/>
      </rPr>
      <t>In the Start column, use the formula =MIN(</t>
    </r>
    <r>
      <rPr>
        <i/>
        <sz val="11"/>
        <color rgb="FF000000"/>
        <rFont val="Arial"/>
        <charset val="134"/>
      </rPr>
      <t>range_of_start_dates</t>
    </r>
    <r>
      <rPr>
        <sz val="11"/>
        <color rgb="FF000000"/>
        <rFont val="Arial"/>
        <charset val="134"/>
      </rPr>
      <t>)</t>
    </r>
  </si>
  <si>
    <r>
      <rPr>
        <sz val="11"/>
        <color rgb="FF000000"/>
        <rFont val="Arial"/>
        <charset val="134"/>
      </rPr>
      <t>In the End column, use the formula =MAX(</t>
    </r>
    <r>
      <rPr>
        <i/>
        <sz val="11"/>
        <color rgb="FF000000"/>
        <rFont val="Arial"/>
        <charset val="134"/>
      </rPr>
      <t>range_of_end_dates</t>
    </r>
    <r>
      <rPr>
        <sz val="11"/>
        <color rgb="FF000000"/>
        <rFont val="Arial"/>
        <charset val="134"/>
      </rPr>
      <t>)</t>
    </r>
  </si>
  <si>
    <r>
      <rPr>
        <sz val="11"/>
        <color rgb="FF000000"/>
        <rFont val="Arial"/>
        <charset val="134"/>
      </rPr>
      <t>In the Days column, use the formula =</t>
    </r>
    <r>
      <rPr>
        <i/>
        <sz val="11"/>
        <color rgb="FF000000"/>
        <rFont val="Arial"/>
        <charset val="134"/>
      </rPr>
      <t>end_date</t>
    </r>
    <r>
      <rPr>
        <sz val="11"/>
        <color rgb="FF000000"/>
        <rFont val="Arial"/>
        <charset val="134"/>
      </rPr>
      <t>-</t>
    </r>
    <r>
      <rPr>
        <i/>
        <sz val="11"/>
        <color rgb="FF000000"/>
        <rFont val="Arial"/>
        <charset val="134"/>
      </rPr>
      <t>start_date</t>
    </r>
    <r>
      <rPr>
        <sz val="11"/>
        <color rgb="FF000000"/>
        <rFont val="Arial"/>
        <charset val="134"/>
      </rPr>
      <t>+1</t>
    </r>
  </si>
  <si>
    <r>
      <rPr>
        <sz val="11"/>
        <color theme="4" tint="-0.249977111117893"/>
        <rFont val="Arial"/>
        <charset val="134"/>
      </rPr>
      <t xml:space="preserve">How do I calculate the </t>
    </r>
    <r>
      <rPr>
        <b/>
        <sz val="11"/>
        <color theme="4" tint="-0.249977111117893"/>
        <rFont val="Arial"/>
        <charset val="134"/>
      </rPr>
      <t>%Complete</t>
    </r>
    <r>
      <rPr>
        <sz val="11"/>
        <color theme="4" tint="-0.249977111117893"/>
        <rFont val="Arial"/>
        <charset val="134"/>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</si>
  <si>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</si>
  <si>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rPr>
        <sz val="11"/>
        <rFont val="Arial"/>
        <charset val="134"/>
      </rPr>
      <t>=SUMPRODUCT(</t>
    </r>
    <r>
      <rPr>
        <i/>
        <sz val="11"/>
        <rFont val="Arial"/>
        <charset val="134"/>
      </rPr>
      <t>workdays</t>
    </r>
    <r>
      <rPr>
        <sz val="11"/>
        <rFont val="Arial"/>
        <charset val="134"/>
      </rPr>
      <t>,</t>
    </r>
    <r>
      <rPr>
        <i/>
        <sz val="11"/>
        <rFont val="Arial"/>
        <charset val="134"/>
      </rPr>
      <t>complete</t>
    </r>
    <r>
      <rPr>
        <sz val="11"/>
        <rFont val="Arial"/>
        <charset val="134"/>
      </rPr>
      <t>)/SUM(</t>
    </r>
    <r>
      <rPr>
        <i/>
        <sz val="11"/>
        <rFont val="Arial"/>
        <charset val="134"/>
      </rPr>
      <t>workdays</t>
    </r>
    <r>
      <rPr>
        <sz val="11"/>
        <rFont val="Arial"/>
        <charset val="134"/>
      </rPr>
      <t>)</t>
    </r>
  </si>
  <si>
    <t>Example: Let's say you have 3 sub tasks that are 10 days, 12 days, and 14 days long, respectively. If the first subtask is 50% complete and the others are 25% complete, you could calculate the overall percent complete for the group as: =(10*50%+12*25%+14*25%)/(10+12+14).</t>
  </si>
  <si>
    <r>
      <rPr>
        <sz val="11"/>
        <color theme="4" tint="-0.249977111117893"/>
        <rFont val="Arial"/>
        <charset val="134"/>
      </rPr>
      <t xml:space="preserve">I've </t>
    </r>
    <r>
      <rPr>
        <b/>
        <sz val="11"/>
        <color theme="4" tint="-0.249977111117893"/>
        <rFont val="Arial"/>
        <charset val="134"/>
      </rPr>
      <t>messed up</t>
    </r>
    <r>
      <rPr>
        <sz val="11"/>
        <color theme="4" tint="-0.249977111117893"/>
        <rFont val="Arial"/>
        <charset val="134"/>
      </rPr>
      <t xml:space="preserve"> the chart area somehow. How do I fix it?</t>
    </r>
  </si>
  <si>
    <t>Find a row that works, then copy the cells that make up the gantt chart area from that row into the row that is messed up.</t>
  </si>
  <si>
    <t>© 2006-2025 Vertex42 LLC</t>
  </si>
  <si>
    <t>Terms of Use</t>
  </si>
  <si>
    <t>Gantt Chart Template, by Vertex42.com</t>
  </si>
  <si>
    <t>This spreadsheet template, including all worksheets and associated content is a copyrighted work under the United States and other copyright laws.</t>
  </si>
  <si>
    <r>
      <rPr>
        <sz val="12"/>
        <rFont val="Arial"/>
        <charset val="134"/>
      </rPr>
      <t xml:space="preserve">You may download the spreadsheet template, make archival copies, and customize the template only for your </t>
    </r>
    <r>
      <rPr>
        <b/>
        <sz val="12"/>
        <rFont val="Arial"/>
        <charset val="134"/>
      </rPr>
      <t>personal use or use within your company or organization</t>
    </r>
    <r>
      <rPr>
        <sz val="12"/>
        <rFont val="Arial"/>
        <charset val="134"/>
      </rPr>
      <t xml:space="preserve"> and </t>
    </r>
    <r>
      <rPr>
        <b/>
        <sz val="12"/>
        <rFont val="Arial"/>
        <charset val="134"/>
      </rPr>
      <t>not</t>
    </r>
    <r>
      <rPr>
        <sz val="12"/>
        <rFont val="Arial"/>
        <charset val="134"/>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</si>
  <si>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</si>
  <si>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</si>
  <si>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charset val="134"/>
      </rPr>
      <t>Limited Private Sharing and Other Allowed Uses</t>
    </r>
    <r>
      <rPr>
        <sz val="12"/>
        <rFont val="Arial"/>
        <charset val="134"/>
      </rPr>
      <t>: See the complete license agreement to learn more about how you may or may not use this template.</t>
    </r>
  </si>
  <si>
    <t>View the Complete License Agreement</t>
  </si>
  <si>
    <t>https://www.vertex42.com/licensing/EULA_privateuse.html</t>
  </si>
  <si>
    <t>Update per 14 February 2026</t>
  </si>
  <si>
    <t>UI penarikan data dari API dan insert data Delivery(PIC: BAIM) sudah selesai</t>
  </si>
  <si>
    <t>UI penarikan data dari API dan insert data Material(PIC: BUDI) sudah selesai</t>
  </si>
  <si>
    <t>UI penarikan data dari API dan insert data Asset(PIC: BAIM) sudah selesai</t>
  </si>
  <si>
    <t>UI penarikan data dari API dan insert data Supplier(PIC: BAIM) sudah selesai</t>
  </si>
  <si>
    <t>UI penarikan data dari API dan insert data PO(PIC: BAIM) sudah selesai</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</si>
</sst>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d/yyyy\ \(dddd\)"/>
    <numFmt numFmtId="179" formatCode="d\ mmm\ yyyy"/>
    <numFmt numFmtId="180" formatCode="d"/>
    <numFmt numFmtId="181" formatCode="ddd\ dd/m/yy"/>
    <numFmt numFmtId="182" formatCode="ddd\ m/dd/yy"/>
  </numFmts>
  <fonts count="70">
    <font>
      <sz val="10"/>
      <name val="Arial"/>
      <charset val="134"/>
    </font>
    <font>
      <b/>
      <sz val="16"/>
      <name val="Arial"/>
      <charset val="134"/>
    </font>
    <font>
      <sz val="18"/>
      <color theme="4" tint="-0.249977111117893"/>
      <name val="Arial"/>
      <charset val="134"/>
    </font>
    <font>
      <sz val="12"/>
      <name val="Arial"/>
      <charset val="134"/>
    </font>
    <font>
      <u/>
      <sz val="11"/>
      <color indexed="12"/>
      <name val="Arial"/>
      <charset val="134"/>
    </font>
    <font>
      <b/>
      <sz val="12"/>
      <name val="Arial"/>
      <charset val="134"/>
    </font>
    <font>
      <u/>
      <sz val="12"/>
      <color indexed="12"/>
      <name val="Arial"/>
      <charset val="134"/>
    </font>
    <font>
      <sz val="18"/>
      <color theme="3"/>
      <name val="Arial"/>
      <charset val="134"/>
    </font>
    <font>
      <sz val="8"/>
      <name val="Arial"/>
      <charset val="134"/>
    </font>
    <font>
      <sz val="14"/>
      <color theme="4" tint="-0.249977111117893"/>
      <name val="Arial"/>
      <charset val="134"/>
    </font>
    <font>
      <b/>
      <sz val="12"/>
      <color theme="4" tint="-0.249977111117893"/>
      <name val="Arial"/>
      <charset val="134"/>
    </font>
    <font>
      <sz val="11"/>
      <name val="Arial"/>
      <charset val="134"/>
    </font>
    <font>
      <sz val="14"/>
      <name val="Arial"/>
      <charset val="134"/>
    </font>
    <font>
      <sz val="11"/>
      <color rgb="FFFF0000"/>
      <name val="Arial"/>
      <charset val="134"/>
    </font>
    <font>
      <b/>
      <sz val="10"/>
      <name val="Arial"/>
      <charset val="134"/>
    </font>
    <font>
      <b/>
      <sz val="11"/>
      <color theme="4" tint="-0.249977111117893"/>
      <name val="Arial"/>
      <charset val="134"/>
    </font>
    <font>
      <sz val="11"/>
      <color rgb="FF000000"/>
      <name val="Arial"/>
      <charset val="134"/>
    </font>
    <font>
      <sz val="11"/>
      <color theme="4" tint="-0.249977111117893"/>
      <name val="Arial"/>
      <charset val="134"/>
    </font>
    <font>
      <b/>
      <sz val="11"/>
      <name val="Arial"/>
      <charset val="134"/>
    </font>
    <font>
      <u/>
      <sz val="14"/>
      <color indexed="12"/>
      <name val="Arial"/>
      <charset val="134"/>
    </font>
    <font>
      <i/>
      <sz val="8"/>
      <name val="Arial"/>
      <charset val="134"/>
    </font>
    <font>
      <sz val="9"/>
      <name val="Arial"/>
      <charset val="134"/>
      <scheme val="minor"/>
    </font>
    <font>
      <sz val="16"/>
      <color theme="4" tint="-0.249977111117893"/>
      <name val="Arial"/>
      <charset val="134"/>
      <scheme val="major"/>
    </font>
    <font>
      <sz val="14"/>
      <color indexed="56"/>
      <name val="Arial"/>
      <charset val="134"/>
    </font>
    <font>
      <i/>
      <sz val="8"/>
      <color theme="0" tint="-0.349986266670736"/>
      <name val="Arial"/>
      <charset val="134"/>
    </font>
    <font>
      <sz val="11"/>
      <name val="Arial"/>
      <charset val="134"/>
      <scheme val="major"/>
    </font>
    <font>
      <sz val="9"/>
      <name val="Arial"/>
      <charset val="134"/>
    </font>
    <font>
      <u/>
      <sz val="8"/>
      <color indexed="12"/>
      <name val="Arial"/>
      <charset val="134"/>
    </font>
    <font>
      <sz val="7"/>
      <color indexed="55"/>
      <name val="Arial"/>
      <charset val="134"/>
    </font>
    <font>
      <u/>
      <sz val="10"/>
      <color indexed="12"/>
      <name val="Arial"/>
      <charset val="134"/>
    </font>
    <font>
      <sz val="10"/>
      <name val="Arial"/>
      <charset val="134"/>
      <scheme val="major"/>
    </font>
    <font>
      <sz val="10"/>
      <name val="Arial"/>
      <charset val="134"/>
      <scheme val="minor"/>
    </font>
    <font>
      <sz val="11"/>
      <name val="Arial"/>
      <charset val="134"/>
      <scheme val="minor"/>
    </font>
    <font>
      <b/>
      <sz val="9"/>
      <name val="Arial"/>
      <charset val="134"/>
      <scheme val="major"/>
    </font>
    <font>
      <b/>
      <sz val="8"/>
      <name val="Arial"/>
      <charset val="134"/>
      <scheme val="major"/>
    </font>
    <font>
      <b/>
      <sz val="11"/>
      <name val="Arial"/>
      <charset val="134"/>
      <scheme val="minor"/>
    </font>
    <font>
      <sz val="14"/>
      <name val="Arial"/>
      <charset val="134"/>
      <scheme val="minor"/>
    </font>
    <font>
      <sz val="9"/>
      <color rgb="FF000000"/>
      <name val="Arial"/>
      <charset val="134"/>
      <scheme val="minor"/>
    </font>
    <font>
      <sz val="14"/>
      <color rgb="FF000000"/>
      <name val="Arial"/>
      <charset val="134"/>
      <scheme val="minor"/>
    </font>
    <font>
      <sz val="11"/>
      <color indexed="8"/>
      <name val="Calibri"/>
      <charset val="134"/>
    </font>
    <font>
      <sz val="11"/>
      <color theme="1"/>
      <name val="Arial"/>
      <charset val="134"/>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sz val="11"/>
      <color rgb="FFFF0000"/>
      <name val="Arial"/>
      <charset val="134"/>
    </font>
    <font>
      <i/>
      <sz val="11"/>
      <name val="Arial"/>
      <charset val="134"/>
    </font>
    <font>
      <i/>
      <sz val="11"/>
      <color rgb="FF000000"/>
      <name val="Arial"/>
      <charset val="134"/>
    </font>
    <font>
      <sz val="9"/>
      <name val="Tahoma"/>
      <charset val="1"/>
    </font>
    <font>
      <b/>
      <sz val="9"/>
      <name val="Tahoma"/>
      <charset val="134"/>
    </font>
    <font>
      <sz val="8"/>
      <name val="Tahoma"/>
      <charset val="134"/>
    </font>
    <font>
      <sz val="9"/>
      <name val="Tahoma"/>
      <charset val="134"/>
    </font>
    <font>
      <b/>
      <i/>
      <sz val="9"/>
      <name val="Tahoma"/>
      <charset val="134"/>
    </font>
    <font>
      <sz val="10"/>
      <name val="SimSun"/>
      <charset val="134"/>
    </font>
    <font>
      <i/>
      <sz val="9"/>
      <name val="Tahoma"/>
      <charset val="134"/>
    </font>
    <font>
      <b/>
      <sz val="9"/>
      <name val="Tahoma"/>
      <charset val="1"/>
    </font>
  </fonts>
  <fills count="41">
    <fill>
      <patternFill patternType="none"/>
    </fill>
    <fill>
      <patternFill patternType="gray125"/>
    </fill>
    <fill>
      <patternFill patternType="solid">
        <fgColor indexed="22"/>
        <bgColor indexed="64"/>
      </patternFill>
    </fill>
    <fill>
      <patternFill patternType="solid">
        <fgColor theme="3" tint="0.799798577837458"/>
        <bgColor indexed="64"/>
      </patternFill>
    </fill>
    <fill>
      <patternFill patternType="solid">
        <fgColor theme="0" tint="-0.14981536301767"/>
        <bgColor indexed="64"/>
      </patternFill>
    </fill>
    <fill>
      <patternFill patternType="solid">
        <fgColor indexed="9"/>
        <bgColor indexed="64"/>
      </patternFill>
    </fill>
    <fill>
      <patternFill patternType="solid">
        <fgColor theme="6" tint="0.799890133365886"/>
        <bgColor indexed="64"/>
      </patternFill>
    </fill>
    <fill>
      <patternFill patternType="solid">
        <fgColor theme="3" tint="0.799798577837458"/>
        <bgColor rgb="FFD6F4D9"/>
      </patternFill>
    </fill>
    <fill>
      <patternFill patternType="solid">
        <fgColor theme="6" tint="0.799920651875362"/>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top style="thin">
        <color indexed="22"/>
      </top>
      <bottom style="thin">
        <color indexed="22"/>
      </bottom>
      <diagonal/>
    </border>
    <border>
      <left/>
      <right/>
      <top/>
      <bottom style="thin">
        <color theme="0" tint="-0.249946592608417"/>
      </bottom>
      <diagonal/>
    </border>
    <border>
      <left style="medium">
        <color theme="0" tint="-0.249946592608417"/>
      </left>
      <right style="thin">
        <color theme="0" tint="-0.249946592608417"/>
      </right>
      <top/>
      <bottom/>
      <diagonal/>
    </border>
    <border>
      <left style="thin">
        <color theme="0" tint="-0.249946592608417"/>
      </left>
      <right style="thin">
        <color theme="0" tint="-0.249946592608417"/>
      </right>
      <top/>
      <bottom/>
      <diagonal/>
    </border>
    <border>
      <left style="thin">
        <color theme="0" tint="-0.249946592608417"/>
      </left>
      <right style="medium">
        <color theme="0" tint="-0.249946592608417"/>
      </right>
      <top/>
      <bottom/>
      <diagonal/>
    </border>
    <border>
      <left/>
      <right/>
      <top style="thin">
        <color theme="0" tint="-0.249946592608417"/>
      </top>
      <bottom style="thin">
        <color theme="0" tint="-0.249946592608417"/>
      </bottom>
      <diagonal/>
    </border>
    <border>
      <left/>
      <right/>
      <top/>
      <bottom style="medium">
        <color theme="0" tint="-0.349986266670736"/>
      </bottom>
      <diagonal/>
    </border>
    <border>
      <left style="medium">
        <color theme="0" tint="-0.249946592608417"/>
      </left>
      <right style="thin">
        <color theme="0" tint="-0.249946592608417"/>
      </right>
      <top/>
      <bottom style="medium">
        <color theme="0" tint="-0.349986266670736"/>
      </bottom>
      <diagonal/>
    </border>
    <border>
      <left style="thin">
        <color theme="0" tint="-0.249946592608417"/>
      </left>
      <right style="thin">
        <color theme="0" tint="-0.249946592608417"/>
      </right>
      <top/>
      <bottom style="medium">
        <color theme="0" tint="-0.349986266670736"/>
      </bottom>
      <diagonal/>
    </border>
    <border>
      <left style="thin">
        <color theme="0" tint="-0.249946592608417"/>
      </left>
      <right style="medium">
        <color theme="0" tint="-0.249946592608417"/>
      </right>
      <top/>
      <bottom style="medium">
        <color theme="0" tint="-0.349986266670736"/>
      </bottom>
      <diagonal/>
    </border>
    <border>
      <left/>
      <right/>
      <top/>
      <bottom style="thin">
        <color indexed="22"/>
      </bottom>
      <diagonal/>
    </border>
    <border>
      <left/>
      <right/>
      <top style="thin">
        <color rgb="FFEFEFEF"/>
      </top>
      <bottom style="thin">
        <color rgb="FFEFEFE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0" fillId="0" borderId="0" applyFont="0" applyFill="0" applyBorder="0" applyAlignment="0" applyProtection="0">
      <alignment vertical="center"/>
    </xf>
    <xf numFmtId="44" fontId="40" fillId="0" borderId="0" applyFont="0" applyFill="0" applyBorder="0" applyAlignment="0" applyProtection="0">
      <alignment vertical="center"/>
    </xf>
    <xf numFmtId="9" fontId="0" fillId="0" borderId="0" applyFont="0" applyFill="0" applyBorder="0" applyAlignment="0" applyProtection="0"/>
    <xf numFmtId="177" fontId="40" fillId="0" borderId="0" applyFont="0" applyFill="0" applyBorder="0" applyAlignment="0" applyProtection="0">
      <alignment vertical="center"/>
    </xf>
    <xf numFmtId="42" fontId="40" fillId="0" borderId="0" applyFont="0" applyFill="0" applyBorder="0" applyAlignment="0" applyProtection="0">
      <alignment vertical="center"/>
    </xf>
    <xf numFmtId="0" fontId="29" fillId="0" borderId="0" applyNumberFormat="0" applyFill="0" applyBorder="0" applyAlignment="0" applyProtection="0">
      <alignment vertical="top"/>
      <protection locked="0"/>
    </xf>
    <xf numFmtId="0" fontId="41" fillId="0" borderId="0" applyNumberFormat="0" applyFill="0" applyBorder="0" applyAlignment="0" applyProtection="0">
      <alignment vertical="center"/>
    </xf>
    <xf numFmtId="0" fontId="40" fillId="10" borderId="15" applyNumberFormat="0" applyFont="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16" applyNumberFormat="0" applyFill="0" applyAlignment="0" applyProtection="0">
      <alignment vertical="center"/>
    </xf>
    <xf numFmtId="0" fontId="46" fillId="0" borderId="16" applyNumberFormat="0" applyFill="0" applyAlignment="0" applyProtection="0">
      <alignment vertical="center"/>
    </xf>
    <xf numFmtId="0" fontId="47" fillId="0" borderId="17" applyNumberFormat="0" applyFill="0" applyAlignment="0" applyProtection="0">
      <alignment vertical="center"/>
    </xf>
    <xf numFmtId="0" fontId="47" fillId="0" borderId="0" applyNumberFormat="0" applyFill="0" applyBorder="0" applyAlignment="0" applyProtection="0">
      <alignment vertical="center"/>
    </xf>
    <xf numFmtId="0" fontId="48" fillId="11" borderId="18" applyNumberFormat="0" applyAlignment="0" applyProtection="0">
      <alignment vertical="center"/>
    </xf>
    <xf numFmtId="0" fontId="49" fillId="12" borderId="19" applyNumberFormat="0" applyAlignment="0" applyProtection="0">
      <alignment vertical="center"/>
    </xf>
    <xf numFmtId="0" fontId="50" fillId="12" borderId="18" applyNumberFormat="0" applyAlignment="0" applyProtection="0">
      <alignment vertical="center"/>
    </xf>
    <xf numFmtId="0" fontId="51" fillId="13" borderId="20" applyNumberFormat="0" applyAlignment="0" applyProtection="0">
      <alignment vertical="center"/>
    </xf>
    <xf numFmtId="0" fontId="52" fillId="0" borderId="21" applyNumberFormat="0" applyFill="0" applyAlignment="0" applyProtection="0">
      <alignment vertical="center"/>
    </xf>
    <xf numFmtId="0" fontId="53" fillId="0" borderId="22" applyNumberFormat="0" applyFill="0" applyAlignment="0" applyProtection="0">
      <alignment vertical="center"/>
    </xf>
    <xf numFmtId="0" fontId="54" fillId="14" borderId="0" applyNumberFormat="0" applyBorder="0" applyAlignment="0" applyProtection="0">
      <alignment vertical="center"/>
    </xf>
    <xf numFmtId="0" fontId="55" fillId="15" borderId="0" applyNumberFormat="0" applyBorder="0" applyAlignment="0" applyProtection="0">
      <alignment vertical="center"/>
    </xf>
    <xf numFmtId="0" fontId="56" fillId="16" borderId="0" applyNumberFormat="0" applyBorder="0" applyAlignment="0" applyProtection="0">
      <alignment vertical="center"/>
    </xf>
    <xf numFmtId="0" fontId="57" fillId="17" borderId="0" applyNumberFormat="0" applyBorder="0" applyAlignment="0" applyProtection="0">
      <alignment vertical="center"/>
    </xf>
    <xf numFmtId="0" fontId="58" fillId="18" borderId="0" applyNumberFormat="0" applyBorder="0" applyAlignment="0" applyProtection="0">
      <alignment vertical="center"/>
    </xf>
    <xf numFmtId="0" fontId="58" fillId="19" borderId="0" applyNumberFormat="0" applyBorder="0" applyAlignment="0" applyProtection="0">
      <alignment vertical="center"/>
    </xf>
    <xf numFmtId="0" fontId="57" fillId="20" borderId="0" applyNumberFormat="0" applyBorder="0" applyAlignment="0" applyProtection="0">
      <alignment vertical="center"/>
    </xf>
    <xf numFmtId="0" fontId="57" fillId="21" borderId="0" applyNumberFormat="0" applyBorder="0" applyAlignment="0" applyProtection="0">
      <alignment vertical="center"/>
    </xf>
    <xf numFmtId="0" fontId="58" fillId="22" borderId="0" applyNumberFormat="0" applyBorder="0" applyAlignment="0" applyProtection="0">
      <alignment vertical="center"/>
    </xf>
    <xf numFmtId="0" fontId="58" fillId="23" borderId="0" applyNumberFormat="0" applyBorder="0" applyAlignment="0" applyProtection="0">
      <alignment vertical="center"/>
    </xf>
    <xf numFmtId="0" fontId="57" fillId="24" borderId="0" applyNumberFormat="0" applyBorder="0" applyAlignment="0" applyProtection="0">
      <alignment vertical="center"/>
    </xf>
    <xf numFmtId="0" fontId="57" fillId="25" borderId="0" applyNumberFormat="0" applyBorder="0" applyAlignment="0" applyProtection="0">
      <alignment vertical="center"/>
    </xf>
    <xf numFmtId="0" fontId="58" fillId="26" borderId="0" applyNumberFormat="0" applyBorder="0" applyAlignment="0" applyProtection="0">
      <alignment vertical="center"/>
    </xf>
    <xf numFmtId="0" fontId="58" fillId="27" borderId="0" applyNumberFormat="0" applyBorder="0" applyAlignment="0" applyProtection="0">
      <alignment vertical="center"/>
    </xf>
    <xf numFmtId="0" fontId="57" fillId="28" borderId="0" applyNumberFormat="0" applyBorder="0" applyAlignment="0" applyProtection="0">
      <alignment vertical="center"/>
    </xf>
    <xf numFmtId="0" fontId="57" fillId="29" borderId="0" applyNumberFormat="0" applyBorder="0" applyAlignment="0" applyProtection="0">
      <alignment vertical="center"/>
    </xf>
    <xf numFmtId="0" fontId="58" fillId="30" borderId="0" applyNumberFormat="0" applyBorder="0" applyAlignment="0" applyProtection="0">
      <alignment vertical="center"/>
    </xf>
    <xf numFmtId="0" fontId="58" fillId="31" borderId="0" applyNumberFormat="0" applyBorder="0" applyAlignment="0" applyProtection="0">
      <alignment vertical="center"/>
    </xf>
    <xf numFmtId="0" fontId="57" fillId="32" borderId="0" applyNumberFormat="0" applyBorder="0" applyAlignment="0" applyProtection="0">
      <alignment vertical="center"/>
    </xf>
    <xf numFmtId="0" fontId="57" fillId="33" borderId="0" applyNumberFormat="0" applyBorder="0" applyAlignment="0" applyProtection="0">
      <alignment vertical="center"/>
    </xf>
    <xf numFmtId="0" fontId="58" fillId="34" borderId="0" applyNumberFormat="0" applyBorder="0" applyAlignment="0" applyProtection="0">
      <alignment vertical="center"/>
    </xf>
    <xf numFmtId="0" fontId="58" fillId="35" borderId="0" applyNumberFormat="0" applyBorder="0" applyAlignment="0" applyProtection="0">
      <alignment vertical="center"/>
    </xf>
    <xf numFmtId="0" fontId="57" fillId="36" borderId="0" applyNumberFormat="0" applyBorder="0" applyAlignment="0" applyProtection="0">
      <alignment vertical="center"/>
    </xf>
    <xf numFmtId="0" fontId="57" fillId="37" borderId="0" applyNumberFormat="0" applyBorder="0" applyAlignment="0" applyProtection="0">
      <alignment vertical="center"/>
    </xf>
    <xf numFmtId="0" fontId="58" fillId="38" borderId="0" applyNumberFormat="0" applyBorder="0" applyAlignment="0" applyProtection="0">
      <alignment vertical="center"/>
    </xf>
    <xf numFmtId="0" fontId="58" fillId="39" borderId="0" applyNumberFormat="0" applyBorder="0" applyAlignment="0" applyProtection="0">
      <alignment vertical="center"/>
    </xf>
    <xf numFmtId="0" fontId="57" fillId="40" borderId="0" applyNumberFormat="0" applyBorder="0" applyAlignment="0" applyProtection="0">
      <alignment vertical="center"/>
    </xf>
  </cellStyleXfs>
  <cellXfs count="116">
    <xf numFmtId="0" fontId="0" fillId="0" borderId="0" xfId="0"/>
    <xf numFmtId="0" fontId="1" fillId="0" borderId="0" xfId="0" applyFont="1" applyAlignment="1">
      <alignment horizontal="center"/>
    </xf>
    <xf numFmtId="0" fontId="0" fillId="0" borderId="0" xfId="0" applyAlignment="1">
      <alignment horizontal="left"/>
    </xf>
    <xf numFmtId="0" fontId="2" fillId="0" borderId="0" xfId="0" applyFont="1" applyAlignment="1">
      <alignment horizontal="left" vertical="center"/>
    </xf>
    <xf numFmtId="0" fontId="3" fillId="0" borderId="0" xfId="0" applyFont="1" applyAlignment="1">
      <alignment horizontal="left" wrapText="1"/>
    </xf>
    <xf numFmtId="0" fontId="0" fillId="0" borderId="1" xfId="0" applyBorder="1"/>
    <xf numFmtId="0" fontId="3" fillId="0" borderId="1" xfId="0" applyFont="1" applyBorder="1" applyAlignment="1">
      <alignment horizontal="left" wrapText="1"/>
    </xf>
    <xf numFmtId="0" fontId="0" fillId="0" borderId="2" xfId="0" applyBorder="1"/>
    <xf numFmtId="0" fontId="4" fillId="0" borderId="1" xfId="6" applyFont="1" applyBorder="1" applyAlignment="1" applyProtection="1">
      <alignment wrapText="1"/>
    </xf>
    <xf numFmtId="0" fontId="3" fillId="0" borderId="2" xfId="0" applyFont="1" applyBorder="1" applyAlignment="1">
      <alignment horizontal="left" wrapText="1"/>
    </xf>
    <xf numFmtId="0" fontId="5" fillId="0" borderId="2" xfId="0" applyFont="1" applyBorder="1" applyAlignment="1">
      <alignment horizontal="left" wrapText="1"/>
    </xf>
    <xf numFmtId="0" fontId="6" fillId="0" borderId="2" xfId="6" applyFont="1" applyBorder="1" applyAlignment="1" applyProtection="1">
      <alignment horizontal="left" wrapText="1"/>
    </xf>
    <xf numFmtId="0" fontId="3" fillId="0" borderId="2" xfId="0" applyFont="1" applyBorder="1" applyAlignment="1">
      <alignment horizontal="left"/>
    </xf>
    <xf numFmtId="0" fontId="0" fillId="0" borderId="0" xfId="0" applyAlignment="1">
      <alignment vertical="center"/>
    </xf>
    <xf numFmtId="0" fontId="7" fillId="0" borderId="0" xfId="0" applyFont="1" applyAlignment="1">
      <alignment horizontal="left" vertical="center"/>
    </xf>
    <xf numFmtId="0" fontId="4" fillId="0" borderId="0" xfId="6" applyFont="1" applyAlignment="1" applyProtection="1"/>
    <xf numFmtId="0" fontId="8" fillId="0" borderId="0" xfId="0" applyFont="1" applyAlignment="1">
      <alignment horizontal="right"/>
    </xf>
    <xf numFmtId="0" fontId="9" fillId="0" borderId="0" xfId="0" applyFont="1"/>
    <xf numFmtId="0" fontId="10" fillId="0" borderId="0" xfId="0" applyFont="1"/>
    <xf numFmtId="0" fontId="11" fillId="0" borderId="0" xfId="0" applyFont="1" applyAlignment="1">
      <alignment horizontal="left" wrapText="1"/>
    </xf>
    <xf numFmtId="0" fontId="11" fillId="0" borderId="0" xfId="0" applyFont="1" applyAlignment="1">
      <alignment wrapText="1"/>
    </xf>
    <xf numFmtId="0" fontId="9" fillId="0" borderId="0" xfId="0" applyFont="1" applyAlignment="1">
      <alignment horizontal="left"/>
    </xf>
    <xf numFmtId="0" fontId="12" fillId="0" borderId="0" xfId="0" applyFont="1" applyAlignment="1">
      <alignment vertical="center"/>
    </xf>
    <xf numFmtId="0" fontId="11" fillId="0" borderId="0" xfId="0" applyFont="1" applyAlignment="1">
      <alignment vertical="center" wrapText="1"/>
    </xf>
    <xf numFmtId="0" fontId="0" fillId="2" borderId="0" xfId="0" applyFill="1" applyAlignment="1">
      <alignment horizontal="center" vertical="center"/>
    </xf>
    <xf numFmtId="0" fontId="12" fillId="0" borderId="0" xfId="0" applyFont="1"/>
    <xf numFmtId="0" fontId="0" fillId="3" borderId="0" xfId="0" applyFill="1" applyAlignment="1">
      <alignment horizontal="center" vertical="center"/>
    </xf>
    <xf numFmtId="0" fontId="13" fillId="0" borderId="0" xfId="0" applyFont="1" applyAlignment="1">
      <alignment vertical="center" wrapText="1"/>
    </xf>
    <xf numFmtId="0" fontId="14" fillId="0" borderId="0" xfId="0" applyFont="1"/>
    <xf numFmtId="0" fontId="15" fillId="0" borderId="0" xfId="0" applyFont="1"/>
    <xf numFmtId="0" fontId="4" fillId="0" borderId="0" xfId="6" applyFont="1" applyFill="1" applyBorder="1" applyAlignment="1" applyProtection="1">
      <alignment vertical="center"/>
    </xf>
    <xf numFmtId="0" fontId="8" fillId="0" borderId="0" xfId="0" applyFont="1" applyAlignment="1">
      <alignment wrapText="1"/>
    </xf>
    <xf numFmtId="0" fontId="16" fillId="0" borderId="0" xfId="0" applyFont="1" applyAlignment="1">
      <alignment horizontal="right"/>
    </xf>
    <xf numFmtId="0" fontId="11" fillId="0" borderId="0" xfId="0" applyFont="1"/>
    <xf numFmtId="0" fontId="0" fillId="0" borderId="0" xfId="0" applyAlignment="1">
      <alignment horizontal="left" wrapText="1" indent="1"/>
    </xf>
    <xf numFmtId="0" fontId="15" fillId="0" borderId="0" xfId="0" applyFont="1" applyAlignment="1">
      <alignment horizontal="right"/>
    </xf>
    <xf numFmtId="0" fontId="17" fillId="0" borderId="0" xfId="0" applyFont="1" applyAlignment="1">
      <alignment vertical="center" wrapText="1"/>
    </xf>
    <xf numFmtId="0" fontId="11" fillId="0" borderId="0" xfId="0" applyFont="1" applyAlignment="1">
      <alignment horizontal="left" vertical="center" wrapText="1"/>
    </xf>
    <xf numFmtId="0" fontId="11" fillId="0" borderId="0" xfId="0" applyFont="1" applyAlignment="1">
      <alignment horizontal="left" indent="1"/>
    </xf>
    <xf numFmtId="0" fontId="17" fillId="0" borderId="0" xfId="0" applyFont="1"/>
    <xf numFmtId="0" fontId="16" fillId="0" borderId="0" xfId="0" applyFont="1" applyAlignment="1">
      <alignment horizontal="left" wrapText="1"/>
    </xf>
    <xf numFmtId="0" fontId="18" fillId="0" borderId="0" xfId="0" applyFont="1" applyAlignment="1">
      <alignment horizontal="left" indent="1"/>
    </xf>
    <xf numFmtId="0" fontId="11" fillId="0" borderId="0" xfId="0" applyFont="1" applyAlignment="1">
      <alignment horizontal="left" wrapText="1" indent="1"/>
    </xf>
    <xf numFmtId="0" fontId="8" fillId="0" borderId="0" xfId="0" applyFont="1" applyAlignment="1">
      <alignment horizontal="left" vertical="center"/>
    </xf>
    <xf numFmtId="0" fontId="2" fillId="0" borderId="0" xfId="0" applyFont="1" applyAlignment="1">
      <alignment vertical="center"/>
    </xf>
    <xf numFmtId="0" fontId="19" fillId="0" borderId="0" xfId="6" applyFont="1" applyAlignment="1" applyProtection="1"/>
    <xf numFmtId="0" fontId="20" fillId="0" borderId="0" xfId="0" applyFont="1"/>
    <xf numFmtId="0" fontId="18" fillId="0" borderId="0" xfId="0" applyFont="1"/>
    <xf numFmtId="0" fontId="21" fillId="4" borderId="3" xfId="0" applyFont="1" applyFill="1" applyBorder="1" applyAlignment="1">
      <alignment vertical="center"/>
    </xf>
    <xf numFmtId="0" fontId="21" fillId="0" borderId="3" xfId="0" applyFont="1" applyBorder="1" applyAlignment="1">
      <alignment vertical="center"/>
    </xf>
    <xf numFmtId="0" fontId="22" fillId="0" borderId="0" xfId="0" applyFont="1" applyAlignment="1" applyProtection="1">
      <alignment vertical="center"/>
      <protection locked="0"/>
    </xf>
    <xf numFmtId="0" fontId="23" fillId="0" borderId="0" xfId="0" applyFont="1" applyAlignment="1" applyProtection="1">
      <alignment vertical="center"/>
      <protection locked="0"/>
    </xf>
    <xf numFmtId="0" fontId="0" fillId="0" borderId="0" xfId="0" applyAlignment="1">
      <alignment horizontal="right" vertical="center"/>
    </xf>
    <xf numFmtId="0" fontId="24" fillId="0" borderId="0" xfId="6" applyFont="1" applyBorder="1" applyAlignment="1" applyProtection="1">
      <alignment horizontal="left" vertical="center"/>
    </xf>
    <xf numFmtId="0" fontId="25" fillId="0" borderId="0" xfId="0" applyFont="1" applyAlignment="1" applyProtection="1">
      <alignment vertical="center"/>
      <protection locked="0"/>
    </xf>
    <xf numFmtId="0" fontId="26" fillId="0" borderId="0" xfId="0" applyFont="1" applyProtection="1">
      <protection locked="0"/>
    </xf>
    <xf numFmtId="0" fontId="27" fillId="5" borderId="0" xfId="6" applyNumberFormat="1" applyFont="1" applyFill="1" applyAlignment="1" applyProtection="1">
      <alignment horizontal="right"/>
      <protection locked="0"/>
    </xf>
    <xf numFmtId="0" fontId="28" fillId="0" borderId="0" xfId="0" applyFont="1" applyProtection="1">
      <protection locked="0"/>
    </xf>
    <xf numFmtId="0" fontId="0" fillId="5" borderId="0" xfId="0" applyFill="1"/>
    <xf numFmtId="0" fontId="29" fillId="0" borderId="0" xfId="6" applyAlignment="1" applyProtection="1">
      <alignment horizontal="left"/>
    </xf>
    <xf numFmtId="0" fontId="30" fillId="0" borderId="0" xfId="0" applyFont="1"/>
    <xf numFmtId="0" fontId="30" fillId="0" borderId="0" xfId="0" applyFont="1" applyAlignment="1">
      <alignment horizontal="right" vertical="center"/>
    </xf>
    <xf numFmtId="178" fontId="31" fillId="0" borderId="4" xfId="0" applyNumberFormat="1" applyFont="1" applyBorder="1" applyAlignment="1" applyProtection="1">
      <alignment horizontal="center" vertical="center" shrinkToFit="1"/>
      <protection locked="0"/>
    </xf>
    <xf numFmtId="0" fontId="31" fillId="0" borderId="4" xfId="0" applyFont="1" applyBorder="1" applyAlignment="1" applyProtection="1">
      <alignment horizontal="center" vertical="center"/>
      <protection locked="0"/>
    </xf>
    <xf numFmtId="0" fontId="32" fillId="0" borderId="5" xfId="0" applyFont="1" applyBorder="1" applyAlignment="1">
      <alignment horizontal="center" vertical="center"/>
    </xf>
    <xf numFmtId="0" fontId="32" fillId="0" borderId="6" xfId="0" applyFont="1" applyBorder="1" applyAlignment="1">
      <alignment horizontal="center" vertical="center"/>
    </xf>
    <xf numFmtId="0" fontId="32" fillId="0" borderId="7" xfId="0" applyFont="1" applyBorder="1" applyAlignment="1">
      <alignment horizontal="center" vertical="center"/>
    </xf>
    <xf numFmtId="178" fontId="31" fillId="0" borderId="8" xfId="0" applyNumberFormat="1" applyFont="1" applyBorder="1" applyAlignment="1" applyProtection="1">
      <alignment horizontal="center" vertical="center" shrinkToFit="1"/>
      <protection locked="0"/>
    </xf>
    <xf numFmtId="179" fontId="31" fillId="0" borderId="5" xfId="0" applyNumberFormat="1" applyFont="1" applyBorder="1" applyAlignment="1">
      <alignment horizontal="center" vertical="center"/>
    </xf>
    <xf numFmtId="179" fontId="31" fillId="0" borderId="6" xfId="0" applyNumberFormat="1" applyFont="1" applyBorder="1" applyAlignment="1">
      <alignment horizontal="center" vertical="center"/>
    </xf>
    <xf numFmtId="179" fontId="31" fillId="0" borderId="7" xfId="0" applyNumberFormat="1" applyFont="1" applyBorder="1" applyAlignment="1">
      <alignment horizontal="center" vertical="center"/>
    </xf>
    <xf numFmtId="180" fontId="8" fillId="0" borderId="5" xfId="0" applyNumberFormat="1" applyFont="1" applyBorder="1" applyAlignment="1">
      <alignment horizontal="center" vertical="center" shrinkToFit="1"/>
    </xf>
    <xf numFmtId="180" fontId="8" fillId="0" borderId="6" xfId="0" applyNumberFormat="1" applyFont="1" applyBorder="1" applyAlignment="1">
      <alignment horizontal="center" vertical="center" shrinkToFit="1"/>
    </xf>
    <xf numFmtId="180" fontId="8" fillId="0" borderId="7" xfId="0" applyNumberFormat="1" applyFont="1" applyBorder="1" applyAlignment="1">
      <alignment horizontal="center" vertical="center" shrinkToFit="1"/>
    </xf>
    <xf numFmtId="0" fontId="33" fillId="0" borderId="9" xfId="0" applyFont="1" applyBorder="1" applyAlignment="1">
      <alignment horizontal="left" vertical="center"/>
    </xf>
    <xf numFmtId="0" fontId="33" fillId="0" borderId="9" xfId="0" applyFont="1" applyBorder="1" applyAlignment="1">
      <alignment horizontal="center" vertical="center" wrapText="1"/>
    </xf>
    <xf numFmtId="0" fontId="34" fillId="0" borderId="9" xfId="0" applyFont="1" applyBorder="1" applyAlignment="1">
      <alignment horizontal="center" vertical="center" wrapText="1"/>
    </xf>
    <xf numFmtId="0" fontId="33" fillId="0" borderId="9" xfId="0" applyFont="1" applyBorder="1" applyAlignment="1">
      <alignment horizontal="center" vertical="center"/>
    </xf>
    <xf numFmtId="0" fontId="21" fillId="0" borderId="10" xfId="0" applyFont="1" applyBorder="1" applyAlignment="1">
      <alignment horizontal="center" vertical="center" shrinkToFit="1"/>
    </xf>
    <xf numFmtId="0" fontId="21" fillId="0" borderId="11" xfId="0" applyFont="1" applyBorder="1" applyAlignment="1">
      <alignment horizontal="center" vertical="center" shrinkToFit="1"/>
    </xf>
    <xf numFmtId="0" fontId="21" fillId="0" borderId="12" xfId="0" applyFont="1" applyBorder="1" applyAlignment="1">
      <alignment horizontal="center" vertical="center" shrinkToFit="1"/>
    </xf>
    <xf numFmtId="0" fontId="35" fillId="4" borderId="13" xfId="0" applyFont="1" applyFill="1" applyBorder="1" applyAlignment="1">
      <alignment horizontal="left" vertical="center"/>
    </xf>
    <xf numFmtId="0" fontId="35" fillId="4" borderId="13" xfId="0" applyFont="1" applyFill="1" applyBorder="1" applyAlignment="1">
      <alignment vertical="center"/>
    </xf>
    <xf numFmtId="0" fontId="21" fillId="4" borderId="13" xfId="0" applyFont="1" applyFill="1" applyBorder="1" applyAlignment="1">
      <alignment vertical="center"/>
    </xf>
    <xf numFmtId="0" fontId="21" fillId="4" borderId="13" xfId="0" applyFont="1" applyFill="1" applyBorder="1" applyAlignment="1">
      <alignment horizontal="center" vertical="center"/>
    </xf>
    <xf numFmtId="181" fontId="21" fillId="4" borderId="13" xfId="0" applyNumberFormat="1" applyFont="1" applyFill="1" applyBorder="1" applyAlignment="1">
      <alignment horizontal="right" vertical="center"/>
    </xf>
    <xf numFmtId="181" fontId="21" fillId="4" borderId="13" xfId="0" applyNumberFormat="1" applyFont="1" applyFill="1" applyBorder="1" applyAlignment="1">
      <alignment horizontal="center" vertical="center"/>
    </xf>
    <xf numFmtId="1" fontId="21" fillId="4" borderId="13" xfId="3" applyNumberFormat="1" applyFont="1" applyFill="1" applyBorder="1" applyAlignment="1" applyProtection="1">
      <alignment horizontal="center" vertical="center"/>
    </xf>
    <xf numFmtId="9" fontId="21" fillId="4" borderId="13" xfId="3" applyFont="1" applyFill="1" applyBorder="1" applyAlignment="1" applyProtection="1">
      <alignment horizontal="center" vertical="center"/>
    </xf>
    <xf numFmtId="1" fontId="21" fillId="4" borderId="13" xfId="0" applyNumberFormat="1" applyFont="1" applyFill="1" applyBorder="1" applyAlignment="1">
      <alignment horizontal="center" vertical="center"/>
    </xf>
    <xf numFmtId="1" fontId="36" fillId="4" borderId="13" xfId="0" applyNumberFormat="1" applyFont="1" applyFill="1" applyBorder="1" applyAlignment="1">
      <alignment horizontal="center" vertical="center"/>
    </xf>
    <xf numFmtId="0" fontId="21" fillId="4" borderId="13" xfId="0" applyFont="1" applyFill="1" applyBorder="1" applyAlignment="1">
      <alignment horizontal="left" vertical="center"/>
    </xf>
    <xf numFmtId="0" fontId="21" fillId="0" borderId="3" xfId="0" applyFont="1" applyBorder="1" applyAlignment="1">
      <alignment horizontal="left" vertical="center"/>
    </xf>
    <xf numFmtId="0" fontId="21" fillId="6" borderId="3" xfId="0" applyFont="1" applyFill="1" applyBorder="1" applyAlignment="1">
      <alignment vertical="center" wrapText="1"/>
    </xf>
    <xf numFmtId="0" fontId="37" fillId="0" borderId="14" xfId="0" applyFont="1" applyBorder="1" applyAlignment="1">
      <alignment horizontal="center" vertical="center"/>
    </xf>
    <xf numFmtId="182" fontId="37" fillId="7" borderId="14" xfId="0" applyNumberFormat="1" applyFont="1" applyFill="1" applyBorder="1" applyAlignment="1">
      <alignment horizontal="center" vertical="center"/>
    </xf>
    <xf numFmtId="182" fontId="37" fillId="0" borderId="14" xfId="0" applyNumberFormat="1" applyFont="1" applyBorder="1" applyAlignment="1">
      <alignment horizontal="center" vertical="center"/>
    </xf>
    <xf numFmtId="1" fontId="37" fillId="3" borderId="14" xfId="0" applyNumberFormat="1" applyFont="1" applyFill="1" applyBorder="1" applyAlignment="1">
      <alignment horizontal="center" vertical="center"/>
    </xf>
    <xf numFmtId="9" fontId="37" fillId="3" borderId="14" xfId="3" applyFont="1" applyFill="1" applyBorder="1" applyAlignment="1" applyProtection="1">
      <alignment horizontal="center" vertical="center"/>
    </xf>
    <xf numFmtId="1" fontId="37" fillId="0" borderId="14" xfId="0" applyNumberFormat="1" applyFont="1" applyBorder="1" applyAlignment="1">
      <alignment horizontal="center" vertical="center"/>
    </xf>
    <xf numFmtId="1" fontId="38" fillId="0" borderId="14" xfId="0" applyNumberFormat="1" applyFont="1" applyBorder="1" applyAlignment="1">
      <alignment horizontal="center" vertical="center"/>
    </xf>
    <xf numFmtId="0" fontId="21" fillId="8" borderId="3" xfId="0" applyFont="1" applyFill="1" applyBorder="1" applyAlignment="1">
      <alignment vertical="center" wrapText="1"/>
    </xf>
    <xf numFmtId="9" fontId="37" fillId="3" borderId="14" xfId="3" applyNumberFormat="1" applyFont="1" applyFill="1" applyBorder="1" applyAlignment="1" applyProtection="1">
      <alignment horizontal="center" vertical="center"/>
    </xf>
    <xf numFmtId="49" fontId="30" fillId="9" borderId="0" xfId="0" applyNumberFormat="1" applyFont="1" applyFill="1" applyAlignment="1">
      <alignment horizontal="left" vertical="center" wrapText="1"/>
    </xf>
    <xf numFmtId="0" fontId="21" fillId="0" borderId="13" xfId="0" applyFont="1" applyBorder="1" applyAlignment="1">
      <alignment vertical="center" wrapText="1"/>
    </xf>
    <xf numFmtId="0" fontId="21" fillId="0" borderId="3" xfId="0" applyFont="1" applyBorder="1" applyAlignment="1">
      <alignment vertical="center" wrapText="1"/>
    </xf>
    <xf numFmtId="0" fontId="35" fillId="4" borderId="3" xfId="0" applyFont="1" applyFill="1" applyBorder="1" applyAlignment="1">
      <alignment horizontal="left" vertical="center"/>
    </xf>
    <xf numFmtId="0" fontId="35" fillId="4" borderId="3" xfId="0" applyFont="1" applyFill="1" applyBorder="1" applyAlignment="1">
      <alignment vertical="center"/>
    </xf>
    <xf numFmtId="0" fontId="21" fillId="4" borderId="3" xfId="0" applyFont="1" applyFill="1" applyBorder="1" applyAlignment="1">
      <alignment horizontal="center" vertical="center"/>
    </xf>
    <xf numFmtId="182" fontId="21" fillId="4" borderId="3" xfId="0" applyNumberFormat="1" applyFont="1" applyFill="1" applyBorder="1" applyAlignment="1">
      <alignment horizontal="center" vertical="center"/>
    </xf>
    <xf numFmtId="1" fontId="21" fillId="4" borderId="3" xfId="3" applyNumberFormat="1" applyFont="1" applyFill="1" applyBorder="1" applyAlignment="1" applyProtection="1">
      <alignment horizontal="center" vertical="center"/>
    </xf>
    <xf numFmtId="9" fontId="21" fillId="4" borderId="3" xfId="3" applyFont="1" applyFill="1" applyBorder="1" applyAlignment="1" applyProtection="1">
      <alignment horizontal="center" vertical="center"/>
    </xf>
    <xf numFmtId="1" fontId="21" fillId="4" borderId="3" xfId="0" applyNumberFormat="1" applyFont="1" applyFill="1" applyBorder="1" applyAlignment="1">
      <alignment horizontal="center" vertical="center"/>
    </xf>
    <xf numFmtId="1" fontId="36" fillId="4" borderId="3" xfId="0" applyNumberFormat="1" applyFont="1" applyFill="1" applyBorder="1" applyAlignment="1">
      <alignment horizontal="center" vertical="center"/>
    </xf>
    <xf numFmtId="0" fontId="21" fillId="4" borderId="3" xfId="0" applyFont="1" applyFill="1" applyBorder="1" applyAlignment="1">
      <alignment horizontal="left" vertical="center"/>
    </xf>
    <xf numFmtId="0" fontId="39" fillId="0" borderId="0" xfId="0" applyFont="1" applyAlignment="1">
      <alignment vertical="center" wrapText="1"/>
    </xf>
    <xf numFmtId="0" fontId="11" fillId="0" borderId="0" xfId="0" applyFont="1" applyAlignment="1" quotePrefix="1">
      <alignment horizontal="left" wrapText="1" indent="1"/>
    </xf>
    <xf numFmtId="0" fontId="11" fillId="0" borderId="0" xfId="0" applyFont="1" applyAlignment="1" quotePrefix="1">
      <alignment wrapText="1"/>
    </xf>
    <xf numFmtId="0" fontId="0" fillId="0" borderId="0" xfId="0"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
    <dxf>
      <font>
        <color theme="0"/>
      </font>
      <fill>
        <patternFill patternType="solid">
          <bgColor theme="5"/>
        </patternFill>
      </fill>
    </dxf>
    <dxf>
      <border>
        <left style="thin">
          <color rgb="FFC00000"/>
        </left>
        <right style="thin">
          <color rgb="FFC00000"/>
        </right>
      </border>
    </dxf>
    <dxf>
      <fill>
        <patternFill patternType="solid">
          <bgColor theme="0" tint="-0.499984740745262"/>
        </patternFill>
      </fill>
    </dxf>
    <dxf>
      <fill>
        <patternFill patternType="solid">
          <bgColor rgb="FF0070C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00FFCCCC"/>
      <color rgb="00FF9900"/>
      <color rgb="0091D0FF"/>
      <color rgb="00CC00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Scroll" dx="22" fmlaLink="$H$4" horiz="1" max="100" min="1" val="1"/>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2</xdr:col>
      <xdr:colOff>504825</xdr:colOff>
      <xdr:row>5</xdr:row>
      <xdr:rowOff>142875</xdr:rowOff>
    </xdr:from>
    <xdr:to>
      <xdr:col>7</xdr:col>
      <xdr:colOff>95250</xdr:colOff>
      <xdr:row>10</xdr:row>
      <xdr:rowOff>80433</xdr:rowOff>
    </xdr:to>
    <xdr:sp>
      <xdr:nvSpPr>
        <xdr:cNvPr id="8236" name="Text Box 44" hidden="1"/>
        <xdr:cNvSpPr txBox="1">
          <a:spLocks noChangeArrowheads="1"/>
        </xdr:cNvSpPr>
      </xdr:nvSpPr>
      <xdr:spPr>
        <a:xfrm>
          <a:off x="4953000" y="1371600"/>
          <a:ext cx="3419475" cy="1099185"/>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xdr:nvSpPr>
            <xdr:cNvPr id="8238" name="Scroll Bar 46" hidden="1">
              <a:extLst>
                <a:ext uri="{63B3BB69-23CF-44E3-9099-C40C66FF867C}">
                  <a14:compatExt spid="_x0000_s8238"/>
                </a:ext>
              </a:extLst>
            </xdr:cNvPr>
            <xdr:cNvSpPr/>
          </xdr:nvSpPr>
          <xdr:spPr>
            <a:xfrm>
              <a:off x="9248775" y="504825"/>
              <a:ext cx="2886075" cy="219075"/>
            </a:xfrm>
            <a:prstGeom prst="rect">
              <a:avLst/>
            </a:prstGeom>
          </xdr:spPr>
        </xdr:sp>
        <xdr:clientData fPrintsWithSheet="0"/>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493395" y="672465"/>
          <a:ext cx="2019300"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xmlns:a14="http://schemas.microsoft.com/office/drawing/2010/main" val="000000" mc:Ignorable="a14" a14:legacySpreadsheetColorIndex="64"/>
              </a:solidFill>
            </a14:hiddenFill>
          </a:ext>
          <a:ext uri="{91240B29-F687-4F45-9708-019B960494DF}">
            <a14:hiddenLine xmlns:a14="http://schemas.microsoft.com/office/drawing/2010/main" w="1">
              <a:solidFill>
                <a:srgbClr xmlns:mc="http://schemas.openxmlformats.org/markup-compatibility/2006" xmlns:a14="http://schemas.microsoft.com/office/drawing/2010/main"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867275" y="0"/>
          <a:ext cx="1504950" cy="33845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142740" y="0"/>
          <a:ext cx="1609725" cy="361950"/>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ctrlProp" Target="../ctrlProps/ctrlProp1.xm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6" Type="http://schemas.openxmlformats.org/officeDocument/2006/relationships/hyperlink" Target="https://excel.uservoice.com/forums/304921-excel-for-windows-desktop-application/suggestions/19676413-make-paste-and-merge-conditional-formatting-the" TargetMode="External"/><Relationship Id="rId5" Type="http://schemas.openxmlformats.org/officeDocument/2006/relationships/hyperlink" Target="https://www.vertex42.com/ExcelTemplates/excel-gantt-chart.html" TargetMode="External"/><Relationship Id="rId4" Type="http://schemas.openxmlformats.org/officeDocument/2006/relationships/hyperlink" Target="https://www.vertex42.com/Links/go.php?urlid=GanttChartPro" TargetMode="External"/><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hyperlink" Target="https://www.vertex42.com/licensing/EULA_privateuse.html" TargetMode="External"/><Relationship Id="rId2" Type="http://schemas.openxmlformats.org/officeDocument/2006/relationships/hyperlink" Target="https://www.vertex42.com/ExcelTemplates/excel-gantt-chart.html" TargetMode="Externa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BN117"/>
  <sheetViews>
    <sheetView showGridLines="0" tabSelected="1" workbookViewId="0">
      <pane ySplit="7" topLeftCell="A22" activePane="bottomLeft" state="frozen"/>
      <selection/>
      <selection pane="bottomLeft" activeCell="H24" sqref="H24"/>
    </sheetView>
  </sheetViews>
  <sheetFormatPr defaultColWidth="9.14285714285714" defaultRowHeight="12.75"/>
  <cols>
    <col min="1" max="1" width="6.85714285714286" customWidth="1"/>
    <col min="2" max="2" width="59.8571428571429" customWidth="1"/>
    <col min="3" max="3" width="13.4285714285714" customWidth="1"/>
    <col min="4" max="4" width="14" customWidth="1"/>
    <col min="5" max="6" width="12" customWidth="1"/>
    <col min="7" max="7" width="6" customWidth="1"/>
    <col min="8" max="8" width="6.71428571428571" customWidth="1"/>
    <col min="9" max="9" width="6.42857142857143" customWidth="1"/>
    <col min="10" max="10" width="1.85714285714286" customWidth="1"/>
    <col min="11" max="66" width="2.42857142857143" customWidth="1"/>
  </cols>
  <sheetData>
    <row r="1" ht="30" customHeight="1" spans="1:66">
      <c r="A1" s="50" t="s">
        <v>0</v>
      </c>
      <c r="B1" s="51"/>
      <c r="C1" s="51"/>
      <c r="D1" s="51"/>
      <c r="E1" s="51"/>
      <c r="F1" s="51"/>
      <c r="I1" s="52"/>
      <c r="K1" s="53"/>
      <c r="L1" s="53"/>
      <c r="M1" s="53"/>
      <c r="N1" s="53"/>
      <c r="O1" s="53"/>
      <c r="P1" s="53"/>
      <c r="Q1" s="53"/>
      <c r="R1" s="53"/>
      <c r="S1" s="53"/>
      <c r="T1" s="53"/>
      <c r="U1" s="53"/>
      <c r="V1" s="53"/>
      <c r="W1" s="53"/>
      <c r="X1" s="53"/>
      <c r="Y1" s="53"/>
      <c r="Z1" s="53"/>
      <c r="AA1" s="53"/>
      <c r="AB1" s="53"/>
      <c r="AC1" s="53"/>
      <c r="AD1" s="53"/>
      <c r="AE1" s="53"/>
    </row>
    <row r="2" ht="18" customHeight="1" spans="1:66">
      <c r="A2" s="54"/>
      <c r="B2" s="55"/>
      <c r="C2" s="55"/>
      <c r="D2" s="56"/>
      <c r="E2" s="57"/>
      <c r="F2" s="57"/>
      <c r="H2" s="58"/>
    </row>
    <row r="3" ht="14.25" spans="1:66">
      <c r="A3" s="54"/>
      <c r="H3" s="58"/>
      <c r="K3" s="59"/>
      <c r="L3" s="59"/>
      <c r="M3" s="59"/>
      <c r="N3" s="59"/>
      <c r="O3" s="59"/>
      <c r="P3" s="59"/>
      <c r="Q3" s="59"/>
      <c r="R3" s="59"/>
      <c r="S3" s="59"/>
      <c r="T3" s="59"/>
      <c r="U3" s="59"/>
      <c r="V3" s="59"/>
      <c r="W3" s="59"/>
      <c r="X3" s="59"/>
      <c r="Y3" s="59"/>
      <c r="Z3" s="59"/>
      <c r="AA3" s="59"/>
    </row>
    <row r="4" ht="17.25" customHeight="1" spans="1:66">
      <c r="A4" s="60"/>
      <c r="B4" s="61" t="s">
        <v>1</v>
      </c>
      <c r="C4" s="62">
        <v>45986</v>
      </c>
      <c r="D4" s="62"/>
      <c r="E4" s="62"/>
      <c r="F4" s="60"/>
      <c r="G4" s="61" t="s">
        <v>2</v>
      </c>
      <c r="H4" s="63">
        <v>1</v>
      </c>
      <c r="J4" s="60"/>
      <c r="K4" s="64" t="str">
        <f>"Week "&amp;(K6-($C$4-WEEKDAY($C$4,1)+2))/7+1</f>
        <v>Week 1</v>
      </c>
      <c r="L4" s="65"/>
      <c r="M4" s="65"/>
      <c r="N4" s="65"/>
      <c r="O4" s="65"/>
      <c r="P4" s="65"/>
      <c r="Q4" s="66"/>
      <c r="R4" s="64" t="str">
        <f>"Week "&amp;(R6-($C$4-WEEKDAY($C$4,1)+2))/7+1</f>
        <v>Week 2</v>
      </c>
      <c r="S4" s="65"/>
      <c r="T4" s="65"/>
      <c r="U4" s="65"/>
      <c r="V4" s="65"/>
      <c r="W4" s="65"/>
      <c r="X4" s="66"/>
      <c r="Y4" s="64" t="str">
        <f>"Week "&amp;(Y6-($C$4-WEEKDAY($C$4,1)+2))/7+1</f>
        <v>Week 3</v>
      </c>
      <c r="Z4" s="65"/>
      <c r="AA4" s="65"/>
      <c r="AB4" s="65"/>
      <c r="AC4" s="65"/>
      <c r="AD4" s="65"/>
      <c r="AE4" s="66"/>
      <c r="AF4" s="64" t="str">
        <f>"Week "&amp;(AF6-($C$4-WEEKDAY($C$4,1)+2))/7+1</f>
        <v>Week 4</v>
      </c>
      <c r="AG4" s="65"/>
      <c r="AH4" s="65"/>
      <c r="AI4" s="65"/>
      <c r="AJ4" s="65"/>
      <c r="AK4" s="65"/>
      <c r="AL4" s="66"/>
      <c r="AM4" s="64" t="str">
        <f>"Week "&amp;(AM6-($C$4-WEEKDAY($C$4,1)+2))/7+1</f>
        <v>Week 5</v>
      </c>
      <c r="AN4" s="65"/>
      <c r="AO4" s="65"/>
      <c r="AP4" s="65"/>
      <c r="AQ4" s="65"/>
      <c r="AR4" s="65"/>
      <c r="AS4" s="66"/>
      <c r="AT4" s="64" t="str">
        <f>"Week "&amp;(AT6-($C$4-WEEKDAY($C$4,1)+2))/7+1</f>
        <v>Week 6</v>
      </c>
      <c r="AU4" s="65"/>
      <c r="AV4" s="65"/>
      <c r="AW4" s="65"/>
      <c r="AX4" s="65"/>
      <c r="AY4" s="65"/>
      <c r="AZ4" s="66"/>
      <c r="BA4" s="64" t="str">
        <f>"Week "&amp;(BA6-($C$4-WEEKDAY($C$4,1)+2))/7+1</f>
        <v>Week 7</v>
      </c>
      <c r="BB4" s="65"/>
      <c r="BC4" s="65"/>
      <c r="BD4" s="65"/>
      <c r="BE4" s="65"/>
      <c r="BF4" s="65"/>
      <c r="BG4" s="66"/>
      <c r="BH4" s="64" t="str">
        <f>"Week "&amp;(BH6-($C$4-WEEKDAY($C$4,1)+2))/7+1</f>
        <v>Week 8</v>
      </c>
      <c r="BI4" s="65"/>
      <c r="BJ4" s="65"/>
      <c r="BK4" s="65"/>
      <c r="BL4" s="65"/>
      <c r="BM4" s="65"/>
      <c r="BN4" s="66"/>
    </row>
    <row r="5" ht="17.25" customHeight="1" spans="1:66">
      <c r="A5" s="60"/>
      <c r="B5" s="61" t="s">
        <v>3</v>
      </c>
      <c r="C5" s="67" t="s">
        <v>4</v>
      </c>
      <c r="D5" s="67"/>
      <c r="E5" s="67"/>
      <c r="F5" s="60"/>
      <c r="G5" s="60"/>
      <c r="H5" s="60"/>
      <c r="I5" s="60"/>
      <c r="J5" s="60"/>
      <c r="K5" s="68">
        <f>K6</f>
        <v>45985</v>
      </c>
      <c r="L5" s="69"/>
      <c r="M5" s="69"/>
      <c r="N5" s="69"/>
      <c r="O5" s="69"/>
      <c r="P5" s="69"/>
      <c r="Q5" s="70"/>
      <c r="R5" s="68">
        <f>R6</f>
        <v>45992</v>
      </c>
      <c r="S5" s="69"/>
      <c r="T5" s="69"/>
      <c r="U5" s="69"/>
      <c r="V5" s="69"/>
      <c r="W5" s="69"/>
      <c r="X5" s="70"/>
      <c r="Y5" s="68">
        <f>Y6</f>
        <v>45999</v>
      </c>
      <c r="Z5" s="69"/>
      <c r="AA5" s="69"/>
      <c r="AB5" s="69"/>
      <c r="AC5" s="69"/>
      <c r="AD5" s="69"/>
      <c r="AE5" s="70"/>
      <c r="AF5" s="68">
        <f>AF6</f>
        <v>46006</v>
      </c>
      <c r="AG5" s="69"/>
      <c r="AH5" s="69"/>
      <c r="AI5" s="69"/>
      <c r="AJ5" s="69"/>
      <c r="AK5" s="69"/>
      <c r="AL5" s="70"/>
      <c r="AM5" s="68">
        <f>AM6</f>
        <v>46013</v>
      </c>
      <c r="AN5" s="69"/>
      <c r="AO5" s="69"/>
      <c r="AP5" s="69"/>
      <c r="AQ5" s="69"/>
      <c r="AR5" s="69"/>
      <c r="AS5" s="70"/>
      <c r="AT5" s="68">
        <f>AT6</f>
        <v>46020</v>
      </c>
      <c r="AU5" s="69"/>
      <c r="AV5" s="69"/>
      <c r="AW5" s="69"/>
      <c r="AX5" s="69"/>
      <c r="AY5" s="69"/>
      <c r="AZ5" s="70"/>
      <c r="BA5" s="68">
        <f>BA6</f>
        <v>46027</v>
      </c>
      <c r="BB5" s="69"/>
      <c r="BC5" s="69"/>
      <c r="BD5" s="69"/>
      <c r="BE5" s="69"/>
      <c r="BF5" s="69"/>
      <c r="BG5" s="70"/>
      <c r="BH5" s="68">
        <f>BH6</f>
        <v>46034</v>
      </c>
      <c r="BI5" s="69"/>
      <c r="BJ5" s="69"/>
      <c r="BK5" s="69"/>
      <c r="BL5" s="69"/>
      <c r="BM5" s="69"/>
      <c r="BN5" s="70"/>
    </row>
    <row r="6" spans="1:66">
      <c r="A6" s="60"/>
      <c r="B6" s="60"/>
      <c r="C6" s="60"/>
      <c r="D6" s="60"/>
      <c r="E6" s="60"/>
      <c r="F6" s="60"/>
      <c r="G6" s="60"/>
      <c r="H6" s="60"/>
      <c r="I6" s="60"/>
      <c r="J6" s="60"/>
      <c r="K6" s="71">
        <f>C4-WEEKDAY(C4,1)+2+7*(H4-1)</f>
        <v>45985</v>
      </c>
      <c r="L6" s="72">
        <f t="shared" ref="L6:AQ6" si="0">K6+1</f>
        <v>45986</v>
      </c>
      <c r="M6" s="72">
        <f t="shared" si="0"/>
        <v>45987</v>
      </c>
      <c r="N6" s="72">
        <f t="shared" si="0"/>
        <v>45988</v>
      </c>
      <c r="O6" s="72">
        <f t="shared" si="0"/>
        <v>45989</v>
      </c>
      <c r="P6" s="72">
        <f t="shared" si="0"/>
        <v>45990</v>
      </c>
      <c r="Q6" s="73">
        <f t="shared" si="0"/>
        <v>45991</v>
      </c>
      <c r="R6" s="71">
        <f t="shared" si="0"/>
        <v>45992</v>
      </c>
      <c r="S6" s="72">
        <f t="shared" si="0"/>
        <v>45993</v>
      </c>
      <c r="T6" s="72">
        <f t="shared" si="0"/>
        <v>45994</v>
      </c>
      <c r="U6" s="72">
        <f t="shared" si="0"/>
        <v>45995</v>
      </c>
      <c r="V6" s="72">
        <f t="shared" si="0"/>
        <v>45996</v>
      </c>
      <c r="W6" s="72">
        <f t="shared" si="0"/>
        <v>45997</v>
      </c>
      <c r="X6" s="73">
        <f t="shared" si="0"/>
        <v>45998</v>
      </c>
      <c r="Y6" s="71">
        <f t="shared" si="0"/>
        <v>45999</v>
      </c>
      <c r="Z6" s="72">
        <f t="shared" si="0"/>
        <v>46000</v>
      </c>
      <c r="AA6" s="72">
        <f t="shared" si="0"/>
        <v>46001</v>
      </c>
      <c r="AB6" s="72">
        <f t="shared" si="0"/>
        <v>46002</v>
      </c>
      <c r="AC6" s="72">
        <f t="shared" si="0"/>
        <v>46003</v>
      </c>
      <c r="AD6" s="72">
        <f t="shared" si="0"/>
        <v>46004</v>
      </c>
      <c r="AE6" s="73">
        <f t="shared" si="0"/>
        <v>46005</v>
      </c>
      <c r="AF6" s="71">
        <f t="shared" si="0"/>
        <v>46006</v>
      </c>
      <c r="AG6" s="72">
        <f t="shared" si="0"/>
        <v>46007</v>
      </c>
      <c r="AH6" s="72">
        <f t="shared" si="0"/>
        <v>46008</v>
      </c>
      <c r="AI6" s="72">
        <f t="shared" si="0"/>
        <v>46009</v>
      </c>
      <c r="AJ6" s="72">
        <f t="shared" si="0"/>
        <v>46010</v>
      </c>
      <c r="AK6" s="72">
        <f t="shared" si="0"/>
        <v>46011</v>
      </c>
      <c r="AL6" s="73">
        <f t="shared" si="0"/>
        <v>46012</v>
      </c>
      <c r="AM6" s="71">
        <f t="shared" si="0"/>
        <v>46013</v>
      </c>
      <c r="AN6" s="72">
        <f t="shared" si="0"/>
        <v>46014</v>
      </c>
      <c r="AO6" s="72">
        <f t="shared" si="0"/>
        <v>46015</v>
      </c>
      <c r="AP6" s="72">
        <f t="shared" si="0"/>
        <v>46016</v>
      </c>
      <c r="AQ6" s="72">
        <f t="shared" si="0"/>
        <v>46017</v>
      </c>
      <c r="AR6" s="72">
        <f t="shared" ref="AR6:BN6" si="1">AQ6+1</f>
        <v>46018</v>
      </c>
      <c r="AS6" s="73">
        <f t="shared" si="1"/>
        <v>46019</v>
      </c>
      <c r="AT6" s="71">
        <f t="shared" si="1"/>
        <v>46020</v>
      </c>
      <c r="AU6" s="72">
        <f t="shared" si="1"/>
        <v>46021</v>
      </c>
      <c r="AV6" s="72">
        <f t="shared" si="1"/>
        <v>46022</v>
      </c>
      <c r="AW6" s="72">
        <f t="shared" si="1"/>
        <v>46023</v>
      </c>
      <c r="AX6" s="72">
        <f t="shared" si="1"/>
        <v>46024</v>
      </c>
      <c r="AY6" s="72">
        <f t="shared" si="1"/>
        <v>46025</v>
      </c>
      <c r="AZ6" s="73">
        <f t="shared" si="1"/>
        <v>46026</v>
      </c>
      <c r="BA6" s="71">
        <f t="shared" si="1"/>
        <v>46027</v>
      </c>
      <c r="BB6" s="72">
        <f t="shared" si="1"/>
        <v>46028</v>
      </c>
      <c r="BC6" s="72">
        <f t="shared" si="1"/>
        <v>46029</v>
      </c>
      <c r="BD6" s="72">
        <f t="shared" si="1"/>
        <v>46030</v>
      </c>
      <c r="BE6" s="72">
        <f t="shared" si="1"/>
        <v>46031</v>
      </c>
      <c r="BF6" s="72">
        <f t="shared" si="1"/>
        <v>46032</v>
      </c>
      <c r="BG6" s="73">
        <f t="shared" si="1"/>
        <v>46033</v>
      </c>
      <c r="BH6" s="71">
        <f t="shared" si="1"/>
        <v>46034</v>
      </c>
      <c r="BI6" s="72">
        <f t="shared" si="1"/>
        <v>46035</v>
      </c>
      <c r="BJ6" s="72">
        <f t="shared" si="1"/>
        <v>46036</v>
      </c>
      <c r="BK6" s="72">
        <f t="shared" si="1"/>
        <v>46037</v>
      </c>
      <c r="BL6" s="72">
        <f t="shared" si="1"/>
        <v>46038</v>
      </c>
      <c r="BM6" s="72">
        <f t="shared" si="1"/>
        <v>46039</v>
      </c>
      <c r="BN6" s="73">
        <f t="shared" si="1"/>
        <v>46040</v>
      </c>
    </row>
    <row r="7" ht="24.75" spans="1:66">
      <c r="A7" s="74" t="s">
        <v>5</v>
      </c>
      <c r="B7" s="74" t="s">
        <v>6</v>
      </c>
      <c r="C7" s="75" t="s">
        <v>7</v>
      </c>
      <c r="D7" s="76" t="s">
        <v>8</v>
      </c>
      <c r="E7" s="77" t="s">
        <v>9</v>
      </c>
      <c r="F7" s="77" t="s">
        <v>10</v>
      </c>
      <c r="G7" s="75" t="s">
        <v>11</v>
      </c>
      <c r="H7" s="75" t="s">
        <v>12</v>
      </c>
      <c r="I7" s="75" t="s">
        <v>13</v>
      </c>
      <c r="J7" s="75"/>
      <c r="K7" s="78" t="str">
        <f t="shared" ref="K7:AP7" si="2">CHOOSE(WEEKDAY(K6,1),"S","M","T","W","T","F","S")</f>
        <v>M</v>
      </c>
      <c r="L7" s="79" t="str">
        <f t="shared" si="2"/>
        <v>T</v>
      </c>
      <c r="M7" s="79" t="str">
        <f t="shared" si="2"/>
        <v>W</v>
      </c>
      <c r="N7" s="79" t="str">
        <f t="shared" si="2"/>
        <v>T</v>
      </c>
      <c r="O7" s="79" t="str">
        <f t="shared" si="2"/>
        <v>F</v>
      </c>
      <c r="P7" s="79" t="str">
        <f t="shared" si="2"/>
        <v>S</v>
      </c>
      <c r="Q7" s="80" t="str">
        <f t="shared" si="2"/>
        <v>S</v>
      </c>
      <c r="R7" s="78" t="str">
        <f t="shared" si="2"/>
        <v>M</v>
      </c>
      <c r="S7" s="79" t="str">
        <f t="shared" si="2"/>
        <v>T</v>
      </c>
      <c r="T7" s="79" t="str">
        <f t="shared" si="2"/>
        <v>W</v>
      </c>
      <c r="U7" s="79" t="str">
        <f t="shared" si="2"/>
        <v>T</v>
      </c>
      <c r="V7" s="79" t="str">
        <f t="shared" si="2"/>
        <v>F</v>
      </c>
      <c r="W7" s="79" t="str">
        <f t="shared" si="2"/>
        <v>S</v>
      </c>
      <c r="X7" s="80" t="str">
        <f t="shared" si="2"/>
        <v>S</v>
      </c>
      <c r="Y7" s="78" t="str">
        <f t="shared" si="2"/>
        <v>M</v>
      </c>
      <c r="Z7" s="79" t="str">
        <f t="shared" si="2"/>
        <v>T</v>
      </c>
      <c r="AA7" s="79" t="str">
        <f t="shared" si="2"/>
        <v>W</v>
      </c>
      <c r="AB7" s="79" t="str">
        <f t="shared" si="2"/>
        <v>T</v>
      </c>
      <c r="AC7" s="79" t="str">
        <f t="shared" si="2"/>
        <v>F</v>
      </c>
      <c r="AD7" s="79" t="str">
        <f t="shared" si="2"/>
        <v>S</v>
      </c>
      <c r="AE7" s="80" t="str">
        <f t="shared" si="2"/>
        <v>S</v>
      </c>
      <c r="AF7" s="78" t="str">
        <f t="shared" si="2"/>
        <v>M</v>
      </c>
      <c r="AG7" s="79" t="str">
        <f t="shared" si="2"/>
        <v>T</v>
      </c>
      <c r="AH7" s="79" t="str">
        <f t="shared" si="2"/>
        <v>W</v>
      </c>
      <c r="AI7" s="79" t="str">
        <f t="shared" si="2"/>
        <v>T</v>
      </c>
      <c r="AJ7" s="79" t="str">
        <f t="shared" si="2"/>
        <v>F</v>
      </c>
      <c r="AK7" s="79" t="str">
        <f t="shared" si="2"/>
        <v>S</v>
      </c>
      <c r="AL7" s="80" t="str">
        <f t="shared" si="2"/>
        <v>S</v>
      </c>
      <c r="AM7" s="78" t="str">
        <f t="shared" si="2"/>
        <v>M</v>
      </c>
      <c r="AN7" s="79" t="str">
        <f t="shared" si="2"/>
        <v>T</v>
      </c>
      <c r="AO7" s="79" t="str">
        <f t="shared" si="2"/>
        <v>W</v>
      </c>
      <c r="AP7" s="79" t="str">
        <f t="shared" si="2"/>
        <v>T</v>
      </c>
      <c r="AQ7" s="79" t="str">
        <f t="shared" ref="AQ7:BN7" si="3">CHOOSE(WEEKDAY(AQ6,1),"S","M","T","W","T","F","S")</f>
        <v>F</v>
      </c>
      <c r="AR7" s="79" t="str">
        <f t="shared" si="3"/>
        <v>S</v>
      </c>
      <c r="AS7" s="80" t="str">
        <f t="shared" si="3"/>
        <v>S</v>
      </c>
      <c r="AT7" s="78" t="str">
        <f t="shared" si="3"/>
        <v>M</v>
      </c>
      <c r="AU7" s="79" t="str">
        <f t="shared" si="3"/>
        <v>T</v>
      </c>
      <c r="AV7" s="79" t="str">
        <f t="shared" si="3"/>
        <v>W</v>
      </c>
      <c r="AW7" s="79" t="str">
        <f t="shared" si="3"/>
        <v>T</v>
      </c>
      <c r="AX7" s="79" t="str">
        <f t="shared" si="3"/>
        <v>F</v>
      </c>
      <c r="AY7" s="79" t="str">
        <f t="shared" si="3"/>
        <v>S</v>
      </c>
      <c r="AZ7" s="80" t="str">
        <f t="shared" si="3"/>
        <v>S</v>
      </c>
      <c r="BA7" s="78" t="str">
        <f t="shared" si="3"/>
        <v>M</v>
      </c>
      <c r="BB7" s="79" t="str">
        <f t="shared" si="3"/>
        <v>T</v>
      </c>
      <c r="BC7" s="79" t="str">
        <f t="shared" si="3"/>
        <v>W</v>
      </c>
      <c r="BD7" s="79" t="str">
        <f t="shared" si="3"/>
        <v>T</v>
      </c>
      <c r="BE7" s="79" t="str">
        <f t="shared" si="3"/>
        <v>F</v>
      </c>
      <c r="BF7" s="79" t="str">
        <f t="shared" si="3"/>
        <v>S</v>
      </c>
      <c r="BG7" s="80" t="str">
        <f t="shared" si="3"/>
        <v>S</v>
      </c>
      <c r="BH7" s="78" t="str">
        <f t="shared" si="3"/>
        <v>M</v>
      </c>
      <c r="BI7" s="79" t="str">
        <f t="shared" si="3"/>
        <v>T</v>
      </c>
      <c r="BJ7" s="79" t="str">
        <f t="shared" si="3"/>
        <v>W</v>
      </c>
      <c r="BK7" s="79" t="str">
        <f t="shared" si="3"/>
        <v>T</v>
      </c>
      <c r="BL7" s="79" t="str">
        <f t="shared" si="3"/>
        <v>F</v>
      </c>
      <c r="BM7" s="79" t="str">
        <f t="shared" si="3"/>
        <v>S</v>
      </c>
      <c r="BN7" s="80" t="str">
        <f t="shared" si="3"/>
        <v>S</v>
      </c>
    </row>
    <row r="8" s="48" customFormat="1" ht="18" spans="1:66">
      <c r="A8" s="81" t="str">
        <f>IF(ISERROR(VALUE(SUBSTITUTE(prevWBS,".",""))),"1",IF(ISERROR(FIND("`",SUBSTITUTE(prevWBS,".","`",1))),TEXT(VALUE(prevWBS)+1,"#"),TEXT(VALUE(LEFT(prevWBS,FIND("`",SUBSTITUTE(prevWBS,".","`",1))-1))+1,"#")))</f>
        <v>1</v>
      </c>
      <c r="B8" s="82" t="s">
        <v>14</v>
      </c>
      <c r="C8" s="83"/>
      <c r="D8" s="84"/>
      <c r="E8" s="85"/>
      <c r="F8" s="86" t="str">
        <f t="shared" ref="F8:F16" si="4">IF(ISBLANK(E8)," - ",IF(G8=0,E8,E8+G8-1))</f>
        <v> - </v>
      </c>
      <c r="G8" s="87"/>
      <c r="H8" s="88"/>
      <c r="I8" s="89" t="str">
        <f>IF(OR(F8=0,E8=0)," - ",NETWORKDAYS(E8,F8))</f>
        <v> - </v>
      </c>
      <c r="J8" s="90"/>
      <c r="K8" s="91"/>
      <c r="L8" s="91"/>
      <c r="M8" s="91"/>
      <c r="N8" s="91"/>
      <c r="O8" s="91"/>
      <c r="P8" s="91"/>
      <c r="Q8" s="91"/>
      <c r="R8" s="91"/>
      <c r="S8" s="91"/>
      <c r="T8" s="91"/>
      <c r="U8" s="91"/>
      <c r="V8" s="91"/>
      <c r="W8" s="91"/>
      <c r="X8" s="91"/>
      <c r="Y8" s="91"/>
      <c r="Z8" s="91"/>
      <c r="AA8" s="91"/>
      <c r="AB8" s="91"/>
      <c r="AC8" s="91"/>
      <c r="AD8" s="91"/>
      <c r="AE8" s="91"/>
      <c r="AF8" s="91"/>
      <c r="AG8" s="91"/>
      <c r="AH8" s="91"/>
      <c r="AI8" s="91"/>
      <c r="AJ8" s="91"/>
      <c r="AK8" s="91"/>
      <c r="AL8" s="91"/>
      <c r="AM8" s="91"/>
      <c r="AN8" s="91"/>
      <c r="AO8" s="91"/>
      <c r="AP8" s="91"/>
      <c r="AQ8" s="91"/>
      <c r="AR8" s="91"/>
      <c r="AS8" s="91"/>
      <c r="AT8" s="91"/>
      <c r="AU8" s="91"/>
      <c r="AV8" s="91"/>
      <c r="AW8" s="91"/>
      <c r="AX8" s="91"/>
      <c r="AY8" s="91"/>
      <c r="AZ8" s="91"/>
      <c r="BA8" s="91"/>
      <c r="BB8" s="91"/>
      <c r="BC8" s="91"/>
      <c r="BD8" s="91"/>
      <c r="BE8" s="91"/>
      <c r="BF8" s="91"/>
      <c r="BG8" s="91"/>
      <c r="BH8" s="91"/>
      <c r="BI8" s="91"/>
      <c r="BJ8" s="91"/>
      <c r="BK8" s="91"/>
      <c r="BL8" s="91"/>
      <c r="BM8" s="91"/>
      <c r="BN8" s="91"/>
    </row>
    <row r="9" s="49" customFormat="1" ht="18" spans="1:66">
      <c r="A9" s="92" t="str">
        <f t="shared" ref="A9:A19"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93" t="s">
        <v>15</v>
      </c>
      <c r="C9" s="49" t="s">
        <v>16</v>
      </c>
      <c r="D9" s="94"/>
      <c r="E9" s="95">
        <v>45987</v>
      </c>
      <c r="F9" s="96">
        <f t="shared" si="4"/>
        <v>45987</v>
      </c>
      <c r="G9" s="97">
        <v>1</v>
      </c>
      <c r="H9" s="98">
        <v>1</v>
      </c>
      <c r="I9" s="99">
        <f>IF(OR(F9=0,E9=0)," - ",NETWORKDAYS(E9,F9))</f>
        <v>1</v>
      </c>
      <c r="J9" s="100"/>
      <c r="K9" s="92"/>
      <c r="L9" s="92"/>
      <c r="M9" s="92"/>
      <c r="N9" s="92"/>
      <c r="O9" s="92"/>
      <c r="P9" s="92"/>
      <c r="Q9" s="92"/>
      <c r="R9" s="92"/>
      <c r="S9" s="92"/>
      <c r="T9" s="92"/>
      <c r="U9" s="92"/>
      <c r="V9" s="92"/>
      <c r="W9" s="92"/>
      <c r="X9" s="92"/>
      <c r="Y9" s="92"/>
      <c r="Z9" s="92"/>
      <c r="AA9" s="92"/>
      <c r="AB9" s="92"/>
      <c r="AC9" s="92"/>
      <c r="AD9" s="92"/>
      <c r="AE9" s="92"/>
      <c r="AF9" s="92"/>
      <c r="AG9" s="92"/>
      <c r="AH9" s="92"/>
      <c r="AI9" s="92"/>
      <c r="AJ9" s="92"/>
      <c r="AK9" s="92"/>
      <c r="AL9" s="92"/>
      <c r="AM9" s="92"/>
      <c r="AN9" s="92"/>
      <c r="AO9" s="92"/>
      <c r="AP9" s="92"/>
      <c r="AQ9" s="92"/>
      <c r="AR9" s="92"/>
      <c r="AS9" s="92"/>
      <c r="AT9" s="92"/>
      <c r="AU9" s="92"/>
      <c r="AV9" s="92"/>
      <c r="AW9" s="92"/>
      <c r="AX9" s="92"/>
      <c r="AY9" s="92"/>
      <c r="AZ9" s="92"/>
      <c r="BA9" s="92"/>
      <c r="BB9" s="92"/>
      <c r="BC9" s="92"/>
      <c r="BD9" s="92"/>
      <c r="BE9" s="92"/>
      <c r="BF9" s="92"/>
      <c r="BG9" s="92"/>
      <c r="BH9" s="92"/>
      <c r="BI9" s="92"/>
      <c r="BJ9" s="92"/>
      <c r="BK9" s="92"/>
      <c r="BL9" s="92"/>
      <c r="BM9" s="92"/>
      <c r="BN9" s="92"/>
    </row>
    <row r="10" s="49" customFormat="1" ht="18" spans="1:66">
      <c r="A10" s="92" t="str">
        <f t="shared" si="5"/>
        <v>1.2</v>
      </c>
      <c r="B10" s="93" t="s">
        <v>17</v>
      </c>
      <c r="C10" s="49" t="s">
        <v>16</v>
      </c>
      <c r="D10" s="94"/>
      <c r="E10" s="95">
        <v>45988</v>
      </c>
      <c r="F10" s="96">
        <f t="shared" si="4"/>
        <v>46054</v>
      </c>
      <c r="G10" s="97">
        <v>67</v>
      </c>
      <c r="H10" s="98">
        <v>0.4</v>
      </c>
      <c r="I10" s="99">
        <f>IF(OR(F10=0,E10=0)," - ",NETWORKDAYS(E10,F10))</f>
        <v>47</v>
      </c>
      <c r="J10" s="100"/>
      <c r="K10" s="92"/>
      <c r="L10" s="92"/>
      <c r="M10" s="92"/>
      <c r="N10" s="92"/>
      <c r="O10" s="92"/>
      <c r="P10" s="92"/>
      <c r="Q10" s="92"/>
      <c r="R10" s="92"/>
      <c r="S10" s="92"/>
      <c r="T10" s="92"/>
      <c r="U10" s="92"/>
      <c r="V10" s="92"/>
      <c r="W10" s="92"/>
      <c r="X10" s="92"/>
      <c r="Y10" s="92"/>
      <c r="Z10" s="92"/>
      <c r="AA10" s="92"/>
      <c r="AB10" s="92"/>
      <c r="AC10" s="92"/>
      <c r="AD10" s="92"/>
      <c r="AE10" s="92"/>
      <c r="AF10" s="92"/>
      <c r="AG10" s="92"/>
      <c r="AH10" s="92"/>
      <c r="AI10" s="92"/>
      <c r="AJ10" s="92"/>
      <c r="AK10" s="92"/>
      <c r="AL10" s="92"/>
      <c r="AM10" s="92"/>
      <c r="AN10" s="92"/>
      <c r="AO10" s="92"/>
      <c r="AP10" s="92"/>
      <c r="AQ10" s="92"/>
      <c r="AR10" s="92"/>
      <c r="AS10" s="92"/>
      <c r="AT10" s="92"/>
      <c r="AU10" s="92"/>
      <c r="AV10" s="92"/>
      <c r="AW10" s="92"/>
      <c r="AX10" s="92"/>
      <c r="AY10" s="92"/>
      <c r="AZ10" s="92"/>
      <c r="BA10" s="92"/>
      <c r="BB10" s="92"/>
      <c r="BC10" s="92"/>
      <c r="BD10" s="92"/>
      <c r="BE10" s="92"/>
      <c r="BF10" s="92"/>
      <c r="BG10" s="92"/>
      <c r="BH10" s="92"/>
      <c r="BI10" s="92"/>
      <c r="BJ10" s="92"/>
      <c r="BK10" s="92"/>
      <c r="BL10" s="92"/>
      <c r="BM10" s="92"/>
      <c r="BN10" s="92"/>
    </row>
    <row r="11" s="49" customFormat="1" ht="18" spans="1:66">
      <c r="A11" s="92" t="str">
        <f t="shared" si="5"/>
        <v>1.3</v>
      </c>
      <c r="B11" s="93" t="s">
        <v>18</v>
      </c>
      <c r="C11" s="49" t="s">
        <v>16</v>
      </c>
      <c r="D11" s="94"/>
      <c r="E11" s="95">
        <v>45995</v>
      </c>
      <c r="F11" s="96">
        <f t="shared" si="4"/>
        <v>46001</v>
      </c>
      <c r="G11" s="97">
        <v>7</v>
      </c>
      <c r="H11" s="98">
        <v>1</v>
      </c>
      <c r="I11" s="99">
        <f>IF(OR(F11=0,E11=0)," - ",NETWORKDAYS(E11,F11))</f>
        <v>5</v>
      </c>
      <c r="J11" s="100"/>
      <c r="K11" s="92"/>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92"/>
      <c r="AK11" s="92"/>
      <c r="AL11" s="92"/>
      <c r="AM11" s="92"/>
      <c r="AN11" s="92"/>
      <c r="AO11" s="92"/>
      <c r="AP11" s="92"/>
      <c r="AQ11" s="92"/>
      <c r="AR11" s="92"/>
      <c r="AS11" s="92"/>
      <c r="AT11" s="92"/>
      <c r="AU11" s="92"/>
      <c r="AV11" s="92"/>
      <c r="AW11" s="92"/>
      <c r="AX11" s="92"/>
      <c r="AY11" s="92"/>
      <c r="AZ11" s="92"/>
      <c r="BA11" s="92"/>
      <c r="BB11" s="92"/>
      <c r="BC11" s="92"/>
      <c r="BD11" s="92"/>
      <c r="BE11" s="92"/>
      <c r="BF11" s="92"/>
      <c r="BG11" s="92"/>
      <c r="BH11" s="92"/>
      <c r="BI11" s="92"/>
      <c r="BJ11" s="92"/>
      <c r="BK11" s="92"/>
      <c r="BL11" s="92"/>
      <c r="BM11" s="92"/>
      <c r="BN11" s="92"/>
    </row>
    <row r="12" s="49" customFormat="1" ht="18" spans="1:66">
      <c r="A12" s="92" t="str">
        <f t="shared" si="5"/>
        <v>1.4</v>
      </c>
      <c r="B12" s="93" t="s">
        <v>19</v>
      </c>
      <c r="C12" s="49" t="s">
        <v>20</v>
      </c>
      <c r="D12" s="94"/>
      <c r="E12" s="95">
        <v>46009</v>
      </c>
      <c r="F12" s="96">
        <f t="shared" si="4"/>
        <v>46014</v>
      </c>
      <c r="G12" s="97">
        <v>6</v>
      </c>
      <c r="H12" s="98">
        <v>1</v>
      </c>
      <c r="I12" s="99">
        <f>IF(OR(F12=0,E12=0)," - ",NETWORKDAYS(E12,F12))</f>
        <v>4</v>
      </c>
      <c r="J12" s="100"/>
      <c r="K12" s="92"/>
      <c r="L12" s="92"/>
      <c r="M12" s="92"/>
      <c r="N12" s="92"/>
      <c r="O12" s="92"/>
      <c r="P12" s="92"/>
      <c r="Q12" s="92"/>
      <c r="R12" s="92"/>
      <c r="S12" s="92"/>
      <c r="T12" s="92"/>
      <c r="U12" s="92"/>
      <c r="V12" s="92"/>
      <c r="W12" s="92"/>
      <c r="X12" s="92"/>
      <c r="Y12" s="92"/>
      <c r="Z12" s="92"/>
      <c r="AA12" s="92"/>
      <c r="AB12" s="92"/>
      <c r="AC12" s="92"/>
      <c r="AD12" s="92"/>
      <c r="AE12" s="92"/>
      <c r="AF12" s="92"/>
      <c r="AG12" s="92"/>
      <c r="AH12" s="92"/>
      <c r="AI12" s="92"/>
      <c r="AJ12" s="92"/>
      <c r="AK12" s="92"/>
      <c r="AL12" s="92"/>
      <c r="AM12" s="92"/>
      <c r="AN12" s="92"/>
      <c r="AO12" s="92"/>
      <c r="AP12" s="92"/>
      <c r="AQ12" s="92"/>
      <c r="AR12" s="92"/>
      <c r="AS12" s="92"/>
      <c r="AT12" s="92"/>
      <c r="AU12" s="92"/>
      <c r="AV12" s="92"/>
      <c r="AW12" s="92"/>
      <c r="AX12" s="92"/>
      <c r="AY12" s="92"/>
      <c r="AZ12" s="92"/>
      <c r="BA12" s="92"/>
      <c r="BB12" s="92"/>
      <c r="BC12" s="92"/>
      <c r="BD12" s="92"/>
      <c r="BE12" s="92"/>
      <c r="BF12" s="92"/>
      <c r="BG12" s="92"/>
      <c r="BH12" s="92"/>
      <c r="BI12" s="92"/>
      <c r="BJ12" s="92"/>
      <c r="BK12" s="92"/>
      <c r="BL12" s="92"/>
      <c r="BM12" s="92"/>
      <c r="BN12" s="92"/>
    </row>
    <row r="13" s="49" customFormat="1" ht="18" spans="1:66">
      <c r="A13" s="92" t="str">
        <f t="shared" si="5"/>
        <v>1.5</v>
      </c>
      <c r="B13" s="93" t="s">
        <v>21</v>
      </c>
      <c r="C13" s="49" t="s">
        <v>16</v>
      </c>
      <c r="D13" s="94"/>
      <c r="E13" s="95">
        <v>46021</v>
      </c>
      <c r="F13" s="96">
        <f t="shared" ref="F13" si="6">IF(ISBLANK(E13)," - ",IF(G13=0,E13,E13+G13-1))</f>
        <v>46021</v>
      </c>
      <c r="G13" s="97">
        <v>1</v>
      </c>
      <c r="H13" s="98">
        <v>1</v>
      </c>
      <c r="I13" s="99">
        <f t="shared" ref="I13" si="7">IF(OR(F13=0,E13=0)," - ",NETWORKDAYS(E13,F13))</f>
        <v>1</v>
      </c>
      <c r="J13" s="100"/>
      <c r="K13" s="92"/>
      <c r="L13" s="92"/>
      <c r="M13" s="92"/>
      <c r="N13" s="92"/>
      <c r="O13" s="92"/>
      <c r="P13" s="92"/>
      <c r="Q13" s="92"/>
      <c r="R13" s="92"/>
      <c r="S13" s="92"/>
      <c r="T13" s="92"/>
      <c r="U13" s="92"/>
      <c r="V13" s="92"/>
      <c r="W13" s="92"/>
      <c r="X13" s="92"/>
      <c r="Y13" s="92"/>
      <c r="Z13" s="92"/>
      <c r="AA13" s="92"/>
      <c r="AB13" s="92"/>
      <c r="AC13" s="92"/>
      <c r="AD13" s="92"/>
      <c r="AE13" s="92"/>
      <c r="AF13" s="92"/>
      <c r="AG13" s="92"/>
      <c r="AH13" s="92"/>
      <c r="AI13" s="92"/>
      <c r="AJ13" s="92"/>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row>
    <row r="14" s="49" customFormat="1" ht="18" spans="1:66">
      <c r="A14" s="92" t="str">
        <f t="shared" si="5"/>
        <v>1.6</v>
      </c>
      <c r="B14" s="93" t="s">
        <v>22</v>
      </c>
      <c r="C14" s="49" t="s">
        <v>20</v>
      </c>
      <c r="D14" s="94"/>
      <c r="E14" s="95">
        <v>46021</v>
      </c>
      <c r="F14" s="96">
        <f t="shared" ref="F14" si="8">IF(ISBLANK(E14)," - ",IF(G14=0,E14,E14+G14-1))</f>
        <v>46030</v>
      </c>
      <c r="G14" s="97">
        <v>10</v>
      </c>
      <c r="H14" s="98">
        <v>1</v>
      </c>
      <c r="I14" s="99">
        <f t="shared" ref="I14" si="9">IF(OR(F14=0,E14=0)," - ",NETWORKDAYS(E14,F14))</f>
        <v>8</v>
      </c>
      <c r="J14" s="100"/>
      <c r="K14" s="92"/>
      <c r="L14" s="92"/>
      <c r="M14" s="92"/>
      <c r="N14" s="92"/>
      <c r="O14" s="92"/>
      <c r="P14" s="92"/>
      <c r="Q14" s="92"/>
      <c r="R14" s="92"/>
      <c r="S14" s="92"/>
      <c r="T14" s="92"/>
      <c r="U14" s="92"/>
      <c r="V14" s="92"/>
      <c r="W14" s="92"/>
      <c r="X14" s="92"/>
      <c r="Y14" s="92"/>
      <c r="Z14" s="92"/>
      <c r="AA14" s="92"/>
      <c r="AB14" s="92"/>
      <c r="AC14" s="92"/>
      <c r="AD14" s="92"/>
      <c r="AE14" s="92"/>
      <c r="AF14" s="92"/>
      <c r="AG14" s="92"/>
      <c r="AH14" s="92"/>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92"/>
      <c r="BM14" s="92"/>
      <c r="BN14" s="92"/>
    </row>
    <row r="15" s="49" customFormat="1" ht="18" spans="1:66">
      <c r="A15" s="92" t="str">
        <f t="shared" si="5"/>
        <v>1.7</v>
      </c>
      <c r="B15" s="93" t="s">
        <v>23</v>
      </c>
      <c r="C15" s="49" t="s">
        <v>16</v>
      </c>
      <c r="D15" s="94"/>
      <c r="E15" s="95">
        <v>46028</v>
      </c>
      <c r="F15" s="96">
        <f t="shared" ref="F15" si="10">IF(ISBLANK(E15)," - ",IF(G15=0,E15,E15+G15-1))</f>
        <v>46030</v>
      </c>
      <c r="G15" s="97">
        <v>3</v>
      </c>
      <c r="H15" s="98">
        <v>1</v>
      </c>
      <c r="I15" s="99">
        <f t="shared" ref="I15:I16" si="11">IF(OR(F15=0,E15=0)," - ",NETWORKDAYS(E15,F15))</f>
        <v>3</v>
      </c>
      <c r="J15" s="100"/>
      <c r="K15" s="92"/>
      <c r="L15" s="92"/>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92"/>
      <c r="AP15" s="92"/>
      <c r="AQ15" s="92"/>
      <c r="AR15" s="92"/>
      <c r="AS15" s="92"/>
      <c r="AT15" s="92"/>
      <c r="AU15" s="92"/>
      <c r="AV15" s="92"/>
      <c r="AW15" s="92"/>
      <c r="AX15" s="92"/>
      <c r="AY15" s="92"/>
      <c r="AZ15" s="92"/>
      <c r="BA15" s="92"/>
      <c r="BB15" s="92"/>
      <c r="BC15" s="92"/>
      <c r="BD15" s="92"/>
      <c r="BE15" s="92"/>
      <c r="BF15" s="92"/>
      <c r="BG15" s="92"/>
      <c r="BH15" s="92"/>
      <c r="BI15" s="92"/>
      <c r="BJ15" s="92"/>
      <c r="BK15" s="92"/>
      <c r="BL15" s="92"/>
      <c r="BM15" s="92"/>
      <c r="BN15" s="92"/>
    </row>
    <row r="16" s="49" customFormat="1" ht="18" spans="1:66">
      <c r="A16" s="92" t="str">
        <f t="shared" si="5"/>
        <v>1.8</v>
      </c>
      <c r="B16" s="93" t="s">
        <v>24</v>
      </c>
      <c r="C16" s="49" t="s">
        <v>20</v>
      </c>
      <c r="D16" s="94"/>
      <c r="E16" s="95">
        <v>46031</v>
      </c>
      <c r="F16" s="96">
        <f t="shared" si="4"/>
        <v>46040</v>
      </c>
      <c r="G16" s="97">
        <v>10</v>
      </c>
      <c r="H16" s="98">
        <v>0</v>
      </c>
      <c r="I16" s="99">
        <f t="shared" si="11"/>
        <v>6</v>
      </c>
      <c r="J16" s="100"/>
      <c r="K16" s="92"/>
      <c r="L16" s="92"/>
      <c r="M16" s="92"/>
      <c r="N16" s="92"/>
      <c r="O16" s="92"/>
      <c r="P16" s="92"/>
      <c r="Q16" s="92"/>
      <c r="R16" s="92"/>
      <c r="S16" s="92"/>
      <c r="T16" s="92"/>
      <c r="U16" s="92"/>
      <c r="V16" s="92"/>
      <c r="W16" s="92"/>
      <c r="X16" s="92"/>
      <c r="Y16" s="92"/>
      <c r="Z16" s="92"/>
      <c r="AA16" s="92"/>
      <c r="AB16" s="92"/>
      <c r="AC16" s="92"/>
      <c r="AD16" s="92"/>
      <c r="AE16" s="92"/>
      <c r="AF16" s="92"/>
      <c r="AG16" s="92"/>
      <c r="AH16" s="92"/>
      <c r="AI16" s="92"/>
      <c r="AJ16" s="92"/>
      <c r="AK16" s="92"/>
      <c r="AL16" s="92"/>
      <c r="AM16" s="92"/>
      <c r="AN16" s="92"/>
      <c r="AO16" s="92"/>
      <c r="AP16" s="92"/>
      <c r="AQ16" s="92"/>
      <c r="AR16" s="92"/>
      <c r="AS16" s="92"/>
      <c r="AT16" s="92"/>
      <c r="AU16" s="92"/>
      <c r="AV16" s="92"/>
      <c r="AW16" s="92"/>
      <c r="AX16" s="92"/>
      <c r="AY16" s="92"/>
      <c r="AZ16" s="92"/>
      <c r="BA16" s="92"/>
      <c r="BB16" s="92"/>
      <c r="BC16" s="92"/>
      <c r="BD16" s="92"/>
      <c r="BE16" s="92"/>
      <c r="BF16" s="92"/>
      <c r="BG16" s="92"/>
      <c r="BH16" s="92"/>
      <c r="BI16" s="92"/>
      <c r="BJ16" s="92"/>
      <c r="BK16" s="92"/>
      <c r="BL16" s="92"/>
      <c r="BM16" s="92"/>
      <c r="BN16" s="92"/>
    </row>
    <row r="17" s="49" customFormat="1" ht="18" spans="1:66">
      <c r="A17" s="92" t="str">
        <f t="shared" si="5"/>
        <v>1.9</v>
      </c>
      <c r="B17" s="93" t="s">
        <v>25</v>
      </c>
      <c r="C17" s="49" t="s">
        <v>16</v>
      </c>
      <c r="D17" s="94"/>
      <c r="E17" s="95">
        <v>46030</v>
      </c>
      <c r="F17" s="96">
        <f t="shared" ref="F17:F19" si="12">IF(ISBLANK(E17)," - ",IF(G17=0,E17,E17+G17-1))</f>
        <v>46030</v>
      </c>
      <c r="G17" s="97">
        <v>1</v>
      </c>
      <c r="H17" s="98">
        <v>1</v>
      </c>
      <c r="I17" s="99">
        <f t="shared" ref="I17:I19" si="13">IF(OR(F17=0,E17=0)," - ",NETWORKDAYS(E17,F17))</f>
        <v>1</v>
      </c>
      <c r="J17" s="100"/>
      <c r="K17" s="92"/>
      <c r="L17" s="92"/>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2"/>
      <c r="AR17" s="92"/>
      <c r="AS17" s="92"/>
      <c r="AT17" s="92"/>
      <c r="AU17" s="92"/>
      <c r="AV17" s="92"/>
      <c r="AW17" s="92"/>
      <c r="AX17" s="92"/>
      <c r="AY17" s="92"/>
      <c r="AZ17" s="92"/>
      <c r="BA17" s="92"/>
      <c r="BB17" s="92"/>
      <c r="BC17" s="92"/>
      <c r="BD17" s="92"/>
      <c r="BE17" s="92"/>
      <c r="BF17" s="92"/>
      <c r="BG17" s="92"/>
      <c r="BH17" s="92"/>
      <c r="BI17" s="92"/>
      <c r="BJ17" s="92"/>
      <c r="BK17" s="92"/>
      <c r="BL17" s="92"/>
      <c r="BM17" s="92"/>
      <c r="BN17" s="92"/>
    </row>
    <row r="18" s="49" customFormat="1" ht="18" spans="1:66">
      <c r="A18" s="92" t="str">
        <f t="shared" si="5"/>
        <v>1.10</v>
      </c>
      <c r="B18" s="93" t="s">
        <v>26</v>
      </c>
      <c r="C18" s="49" t="s">
        <v>20</v>
      </c>
      <c r="D18" s="94"/>
      <c r="E18" s="95">
        <v>46037</v>
      </c>
      <c r="F18" s="96">
        <f t="shared" si="12"/>
        <v>46038</v>
      </c>
      <c r="G18" s="97">
        <v>2</v>
      </c>
      <c r="H18" s="98">
        <v>1</v>
      </c>
      <c r="I18" s="99">
        <f t="shared" si="13"/>
        <v>2</v>
      </c>
      <c r="J18" s="100"/>
      <c r="K18" s="92"/>
      <c r="L18" s="92"/>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2"/>
      <c r="AL18" s="92"/>
      <c r="AM18" s="92"/>
      <c r="AN18" s="92"/>
      <c r="AO18" s="92"/>
      <c r="AP18" s="92"/>
      <c r="AQ18" s="92"/>
      <c r="AR18" s="92"/>
      <c r="AS18" s="92"/>
      <c r="AT18" s="92"/>
      <c r="AU18" s="92"/>
      <c r="AV18" s="92"/>
      <c r="AW18" s="92"/>
      <c r="AX18" s="92"/>
      <c r="AY18" s="92"/>
      <c r="AZ18" s="92"/>
      <c r="BA18" s="92"/>
      <c r="BB18" s="92"/>
      <c r="BC18" s="92"/>
      <c r="BD18" s="92"/>
      <c r="BE18" s="92"/>
      <c r="BF18" s="92"/>
      <c r="BG18" s="92"/>
      <c r="BH18" s="92"/>
      <c r="BI18" s="92"/>
      <c r="BJ18" s="92"/>
      <c r="BK18" s="92"/>
      <c r="BL18" s="92"/>
      <c r="BM18" s="92"/>
      <c r="BN18" s="92"/>
    </row>
    <row r="19" s="49" customFormat="1" ht="18" spans="1:66">
      <c r="A19" s="92" t="str">
        <f t="shared" si="5"/>
        <v>1.11</v>
      </c>
      <c r="B19" s="93" t="s">
        <v>27</v>
      </c>
      <c r="C19" s="49" t="s">
        <v>28</v>
      </c>
      <c r="D19" s="94"/>
      <c r="E19" s="95">
        <v>46037</v>
      </c>
      <c r="F19" s="96">
        <f t="shared" si="12"/>
        <v>46038</v>
      </c>
      <c r="G19" s="97">
        <v>2</v>
      </c>
      <c r="H19" s="98">
        <v>1</v>
      </c>
      <c r="I19" s="99">
        <f t="shared" si="13"/>
        <v>2</v>
      </c>
      <c r="J19" s="100"/>
      <c r="K19" s="92"/>
      <c r="L19" s="92"/>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92"/>
      <c r="AQ19" s="92"/>
      <c r="AR19" s="92"/>
      <c r="AS19" s="92"/>
      <c r="AT19" s="92"/>
      <c r="AU19" s="92"/>
      <c r="AV19" s="92"/>
      <c r="AW19" s="92"/>
      <c r="AX19" s="92"/>
      <c r="AY19" s="92"/>
      <c r="AZ19" s="92"/>
      <c r="BA19" s="92"/>
      <c r="BB19" s="92"/>
      <c r="BC19" s="92"/>
      <c r="BD19" s="92"/>
      <c r="BE19" s="92"/>
      <c r="BF19" s="92"/>
      <c r="BG19" s="92"/>
      <c r="BH19" s="92"/>
      <c r="BI19" s="92"/>
      <c r="BJ19" s="92"/>
      <c r="BK19" s="92"/>
      <c r="BL19" s="92"/>
      <c r="BM19" s="92"/>
      <c r="BN19" s="92"/>
    </row>
    <row r="20" s="49" customFormat="1" ht="21" customHeight="1" spans="1:66">
      <c r="A20" s="92" t="str">
        <f t="shared" ref="A20:A58" si="14">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1.12</v>
      </c>
      <c r="B20" s="93" t="s">
        <v>29</v>
      </c>
      <c r="C20" s="49" t="s">
        <v>20</v>
      </c>
      <c r="D20" s="94"/>
      <c r="E20" s="95">
        <v>46032</v>
      </c>
      <c r="F20" s="96">
        <f t="shared" ref="F20" si="15">IF(ISBLANK(E20)," - ",IF(G20=0,E20,E20+G20-1))</f>
        <v>46043</v>
      </c>
      <c r="G20" s="97">
        <v>12</v>
      </c>
      <c r="H20" s="98">
        <v>0.9</v>
      </c>
      <c r="I20" s="99">
        <f t="shared" ref="I20" si="16">IF(OR(F20=0,E20=0)," - ",NETWORKDAYS(E20,F20))</f>
        <v>8</v>
      </c>
      <c r="J20" s="100"/>
      <c r="K20" s="92"/>
      <c r="L20" s="92"/>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2"/>
      <c r="AL20" s="92"/>
      <c r="AM20" s="92"/>
      <c r="AN20" s="92"/>
      <c r="AO20" s="92"/>
      <c r="AP20" s="92"/>
      <c r="AQ20" s="92"/>
      <c r="AR20" s="92"/>
      <c r="AS20" s="92"/>
      <c r="AT20" s="92"/>
      <c r="AU20" s="92"/>
      <c r="AV20" s="92"/>
      <c r="AW20" s="92"/>
      <c r="AX20" s="92"/>
      <c r="AY20" s="92"/>
      <c r="AZ20" s="92"/>
      <c r="BA20" s="92"/>
      <c r="BB20" s="92"/>
      <c r="BC20" s="92"/>
      <c r="BD20" s="92"/>
      <c r="BE20" s="92"/>
      <c r="BF20" s="92"/>
      <c r="BG20" s="92"/>
      <c r="BH20" s="92"/>
      <c r="BI20" s="92"/>
      <c r="BJ20" s="92"/>
      <c r="BK20" s="92"/>
      <c r="BL20" s="92"/>
      <c r="BM20" s="92"/>
      <c r="BN20" s="92"/>
    </row>
    <row r="21" s="49" customFormat="1" ht="18" spans="1:66">
      <c r="A21" s="92" t="str">
        <f t="shared" si="14"/>
        <v>1.13</v>
      </c>
      <c r="B21" s="93" t="s">
        <v>30</v>
      </c>
      <c r="C21" s="49" t="s">
        <v>28</v>
      </c>
      <c r="D21" s="94"/>
      <c r="E21" s="95">
        <v>46032</v>
      </c>
      <c r="F21" s="96">
        <f t="shared" ref="F21" si="17">IF(ISBLANK(E21)," - ",IF(G21=0,E21,E21+G21-1))</f>
        <v>46043</v>
      </c>
      <c r="G21" s="97">
        <v>12</v>
      </c>
      <c r="H21" s="98">
        <v>0.75</v>
      </c>
      <c r="I21" s="99">
        <f t="shared" ref="I21:I36" si="18">IF(OR(F21=0,E21=0)," - ",NETWORKDAYS(E21,F21))</f>
        <v>8</v>
      </c>
      <c r="J21" s="100"/>
      <c r="K21" s="92"/>
      <c r="L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2"/>
      <c r="AR21" s="92"/>
      <c r="AS21" s="92"/>
      <c r="AT21" s="92"/>
      <c r="AU21" s="92"/>
      <c r="AV21" s="92"/>
      <c r="AW21" s="92"/>
      <c r="AX21" s="92"/>
      <c r="AY21" s="92"/>
      <c r="AZ21" s="92"/>
      <c r="BA21" s="92"/>
      <c r="BB21" s="92"/>
      <c r="BC21" s="92"/>
      <c r="BD21" s="92"/>
      <c r="BE21" s="92"/>
      <c r="BF21" s="92"/>
      <c r="BG21" s="92"/>
      <c r="BH21" s="92"/>
      <c r="BI21" s="92"/>
      <c r="BJ21" s="92"/>
      <c r="BK21" s="92"/>
      <c r="BL21" s="92"/>
      <c r="BM21" s="92"/>
      <c r="BN21" s="92"/>
    </row>
    <row r="22" s="49" customFormat="1" ht="18" spans="1:66">
      <c r="A22" s="92" t="str">
        <f t="shared" si="14"/>
        <v>1.14</v>
      </c>
      <c r="B22" s="101" t="s">
        <v>31</v>
      </c>
      <c r="C22" s="49" t="s">
        <v>20</v>
      </c>
      <c r="D22" s="94"/>
      <c r="E22" s="95">
        <v>46056</v>
      </c>
      <c r="F22" s="96">
        <f t="shared" ref="F22" si="19">IF(ISBLANK(E22)," - ",IF(G22=0,E22,E22+G22-1))</f>
        <v>46057</v>
      </c>
      <c r="G22" s="97">
        <v>2</v>
      </c>
      <c r="H22" s="98">
        <v>1</v>
      </c>
      <c r="I22" s="99">
        <f t="shared" ref="I22" si="20">IF(OR(F22=0,E22=0)," - ",NETWORKDAYS(E22,F22))</f>
        <v>2</v>
      </c>
      <c r="J22" s="100"/>
      <c r="K22" s="92"/>
      <c r="L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92"/>
      <c r="AQ22" s="92"/>
      <c r="AR22" s="92"/>
      <c r="AS22" s="92"/>
      <c r="AT22" s="92"/>
      <c r="AU22" s="92"/>
      <c r="AV22" s="92"/>
      <c r="AW22" s="92"/>
      <c r="AX22" s="92"/>
      <c r="AY22" s="92"/>
      <c r="AZ22" s="92"/>
      <c r="BA22" s="92"/>
      <c r="BB22" s="92"/>
      <c r="BC22" s="92"/>
      <c r="BD22" s="92"/>
      <c r="BE22" s="92"/>
      <c r="BF22" s="92"/>
      <c r="BG22" s="92"/>
      <c r="BH22" s="92"/>
      <c r="BI22" s="92"/>
      <c r="BJ22" s="92"/>
      <c r="BK22" s="92"/>
      <c r="BL22" s="92"/>
      <c r="BM22" s="92"/>
      <c r="BN22" s="92"/>
    </row>
    <row r="23" s="49" customFormat="1" ht="18" spans="1:66">
      <c r="A23" s="92" t="str">
        <f t="shared" si="14"/>
        <v>1.15</v>
      </c>
      <c r="B23" s="93" t="s">
        <v>32</v>
      </c>
      <c r="C23" s="49" t="s">
        <v>28</v>
      </c>
      <c r="D23" s="94"/>
      <c r="E23" s="95">
        <v>46056</v>
      </c>
      <c r="F23" s="96">
        <f t="shared" ref="F23:F30" si="21">IF(ISBLANK(E23)," - ",IF(G23=0,E23,E23+G23-1))</f>
        <v>46057</v>
      </c>
      <c r="G23" s="97">
        <v>2</v>
      </c>
      <c r="H23" s="98">
        <v>1</v>
      </c>
      <c r="I23" s="99">
        <f t="shared" ref="I23:I30" si="22">IF(OR(F23=0,E23=0)," - ",NETWORKDAYS(E23,F23))</f>
        <v>2</v>
      </c>
      <c r="J23" s="100"/>
      <c r="K23" s="92"/>
      <c r="L23" s="92"/>
      <c r="M23" s="92"/>
      <c r="N23" s="92"/>
      <c r="O23" s="92"/>
      <c r="P23" s="92"/>
      <c r="Q23" s="92"/>
      <c r="R23" s="92"/>
      <c r="S23" s="92"/>
      <c r="T23" s="92"/>
      <c r="U23" s="92"/>
      <c r="V23" s="92"/>
      <c r="W23" s="92"/>
      <c r="X23" s="92"/>
      <c r="Y23" s="92"/>
      <c r="Z23" s="92"/>
      <c r="AA23" s="92"/>
      <c r="AB23" s="92"/>
      <c r="AC23" s="92"/>
      <c r="AD23" s="92"/>
      <c r="AE23" s="92"/>
      <c r="AF23" s="92"/>
      <c r="AG23" s="92"/>
      <c r="AH23" s="92"/>
      <c r="AI23" s="92"/>
      <c r="AJ23" s="92"/>
      <c r="AK23" s="92"/>
      <c r="AL23" s="92"/>
      <c r="AM23" s="92"/>
      <c r="AN23" s="92"/>
      <c r="AO23" s="92"/>
      <c r="AP23" s="92"/>
      <c r="AQ23" s="92"/>
      <c r="AR23" s="92"/>
      <c r="AS23" s="92"/>
      <c r="AT23" s="92"/>
      <c r="AU23" s="92"/>
      <c r="AV23" s="92"/>
      <c r="AW23" s="92"/>
      <c r="AX23" s="92"/>
      <c r="AY23" s="92"/>
      <c r="AZ23" s="92"/>
      <c r="BA23" s="92"/>
      <c r="BB23" s="92"/>
      <c r="BC23" s="92"/>
      <c r="BD23" s="92"/>
      <c r="BE23" s="92"/>
      <c r="BF23" s="92"/>
      <c r="BG23" s="92"/>
      <c r="BH23" s="92"/>
      <c r="BI23" s="92"/>
      <c r="BJ23" s="92"/>
      <c r="BK23" s="92"/>
      <c r="BL23" s="92"/>
      <c r="BM23" s="92"/>
      <c r="BN23" s="92"/>
    </row>
    <row r="24" s="49" customFormat="1" ht="18" spans="1:66">
      <c r="A24" s="92" t="str">
        <f t="shared" si="14"/>
        <v>1.16</v>
      </c>
      <c r="B24" s="93" t="s">
        <v>33</v>
      </c>
      <c r="C24" s="49" t="s">
        <v>28</v>
      </c>
      <c r="D24" s="94"/>
      <c r="E24" s="95">
        <f>F22+1</f>
        <v>46058</v>
      </c>
      <c r="F24" s="96">
        <f t="shared" si="21"/>
        <v>46059</v>
      </c>
      <c r="G24" s="97">
        <v>2</v>
      </c>
      <c r="H24" s="98">
        <v>0</v>
      </c>
      <c r="I24" s="99">
        <f t="shared" si="22"/>
        <v>2</v>
      </c>
      <c r="J24" s="100"/>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2"/>
      <c r="AR24" s="92"/>
      <c r="AS24" s="92"/>
      <c r="AT24" s="92"/>
      <c r="AU24" s="92"/>
      <c r="AV24" s="92"/>
      <c r="AW24" s="92"/>
      <c r="AX24" s="92"/>
      <c r="AY24" s="92"/>
      <c r="AZ24" s="92"/>
      <c r="BA24" s="92"/>
      <c r="BB24" s="92"/>
      <c r="BC24" s="92"/>
      <c r="BD24" s="92"/>
      <c r="BE24" s="92"/>
      <c r="BF24" s="92"/>
      <c r="BG24" s="92"/>
      <c r="BH24" s="92"/>
      <c r="BI24" s="92"/>
      <c r="BJ24" s="92"/>
      <c r="BK24" s="92"/>
      <c r="BL24" s="92"/>
      <c r="BM24" s="92"/>
      <c r="BN24" s="92"/>
    </row>
    <row r="25" s="49" customFormat="1" ht="18" spans="1:66">
      <c r="A25" s="92" t="str">
        <f t="shared" si="14"/>
        <v>1.17</v>
      </c>
      <c r="B25" s="93" t="s">
        <v>34</v>
      </c>
      <c r="C25" s="49" t="s">
        <v>20</v>
      </c>
      <c r="D25" s="94"/>
      <c r="E25" s="95">
        <f>F22+1</f>
        <v>46058</v>
      </c>
      <c r="F25" s="96">
        <f t="shared" si="21"/>
        <v>46059</v>
      </c>
      <c r="G25" s="97">
        <v>2</v>
      </c>
      <c r="H25" s="98">
        <v>1</v>
      </c>
      <c r="I25" s="99">
        <f t="shared" si="22"/>
        <v>2</v>
      </c>
      <c r="J25" s="100"/>
      <c r="K25" s="92"/>
      <c r="L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c r="AM25" s="92"/>
      <c r="AN25" s="92"/>
      <c r="AO25" s="92"/>
      <c r="AP25" s="92"/>
      <c r="AQ25" s="92"/>
      <c r="AR25" s="92"/>
      <c r="AS25" s="92"/>
      <c r="AT25" s="92"/>
      <c r="AU25" s="92"/>
      <c r="AV25" s="92"/>
      <c r="AW25" s="92"/>
      <c r="AX25" s="92"/>
      <c r="AY25" s="92"/>
      <c r="AZ25" s="92"/>
      <c r="BA25" s="92"/>
      <c r="BB25" s="92"/>
      <c r="BC25" s="92"/>
      <c r="BD25" s="92"/>
      <c r="BE25" s="92"/>
      <c r="BF25" s="92"/>
      <c r="BG25" s="92"/>
      <c r="BH25" s="92"/>
      <c r="BI25" s="92"/>
      <c r="BJ25" s="92"/>
      <c r="BK25" s="92"/>
      <c r="BL25" s="92"/>
      <c r="BM25" s="92"/>
      <c r="BN25" s="92"/>
    </row>
    <row r="26" s="49" customFormat="1" ht="18" spans="1:66">
      <c r="A26" s="92" t="str">
        <f t="shared" si="14"/>
        <v>1.18</v>
      </c>
      <c r="B26" s="93" t="s">
        <v>35</v>
      </c>
      <c r="C26" s="49" t="s">
        <v>28</v>
      </c>
      <c r="D26" s="94"/>
      <c r="E26" s="95">
        <f>E23+1</f>
        <v>46057</v>
      </c>
      <c r="F26" s="96">
        <f t="shared" si="21"/>
        <v>46058</v>
      </c>
      <c r="G26" s="97">
        <v>2</v>
      </c>
      <c r="H26" s="102">
        <v>1</v>
      </c>
      <c r="I26" s="99">
        <f t="shared" si="22"/>
        <v>2</v>
      </c>
      <c r="J26" s="100"/>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92"/>
      <c r="BL26" s="92"/>
      <c r="BM26" s="92"/>
      <c r="BN26" s="92"/>
    </row>
    <row r="27" s="49" customFormat="1" ht="18" spans="1:66">
      <c r="A27" s="92" t="str">
        <f t="shared" si="14"/>
        <v>1.19</v>
      </c>
      <c r="B27" s="93" t="s">
        <v>36</v>
      </c>
      <c r="C27" s="49" t="s">
        <v>20</v>
      </c>
      <c r="D27" s="94"/>
      <c r="E27" s="95">
        <f>F23+1</f>
        <v>46058</v>
      </c>
      <c r="F27" s="96">
        <f t="shared" si="21"/>
        <v>46059</v>
      </c>
      <c r="G27" s="97">
        <v>2</v>
      </c>
      <c r="H27" s="98">
        <v>1</v>
      </c>
      <c r="I27" s="99">
        <f t="shared" si="22"/>
        <v>2</v>
      </c>
      <c r="J27" s="100"/>
      <c r="K27" s="9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2"/>
      <c r="AR27" s="92"/>
      <c r="AS27" s="92"/>
      <c r="AT27" s="92"/>
      <c r="AU27" s="92"/>
      <c r="AV27" s="92"/>
      <c r="AW27" s="92"/>
      <c r="AX27" s="92"/>
      <c r="AY27" s="92"/>
      <c r="AZ27" s="92"/>
      <c r="BA27" s="92"/>
      <c r="BB27" s="92"/>
      <c r="BC27" s="92"/>
      <c r="BD27" s="92"/>
      <c r="BE27" s="92"/>
      <c r="BF27" s="92"/>
      <c r="BG27" s="92"/>
      <c r="BH27" s="92"/>
      <c r="BI27" s="92"/>
      <c r="BJ27" s="92"/>
      <c r="BK27" s="92"/>
      <c r="BL27" s="92"/>
      <c r="BM27" s="92"/>
      <c r="BN27" s="92"/>
    </row>
    <row r="28" s="49" customFormat="1" ht="18" spans="1:66">
      <c r="A28" s="92" t="str">
        <f t="shared" si="14"/>
        <v>1.20</v>
      </c>
      <c r="B28" s="93" t="s">
        <v>37</v>
      </c>
      <c r="C28" s="49" t="s">
        <v>28</v>
      </c>
      <c r="D28" s="94"/>
      <c r="E28" s="95">
        <f>F24+1</f>
        <v>46060</v>
      </c>
      <c r="F28" s="96">
        <f t="shared" si="21"/>
        <v>46061</v>
      </c>
      <c r="G28" s="97">
        <v>2</v>
      </c>
      <c r="H28" s="98">
        <v>0</v>
      </c>
      <c r="I28" s="99">
        <f t="shared" si="22"/>
        <v>0</v>
      </c>
      <c r="J28" s="100"/>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2"/>
      <c r="AR28" s="92"/>
      <c r="AS28" s="92"/>
      <c r="AT28" s="92"/>
      <c r="AU28" s="92"/>
      <c r="AV28" s="92"/>
      <c r="AW28" s="92"/>
      <c r="AX28" s="92"/>
      <c r="AY28" s="92"/>
      <c r="AZ28" s="92"/>
      <c r="BA28" s="92"/>
      <c r="BB28" s="92"/>
      <c r="BC28" s="92"/>
      <c r="BD28" s="92"/>
      <c r="BE28" s="92"/>
      <c r="BF28" s="92"/>
      <c r="BG28" s="92"/>
      <c r="BH28" s="92"/>
      <c r="BI28" s="92"/>
      <c r="BJ28" s="92"/>
      <c r="BK28" s="92"/>
      <c r="BL28" s="92"/>
      <c r="BM28" s="92"/>
      <c r="BN28" s="92"/>
    </row>
    <row r="29" s="49" customFormat="1" ht="18" spans="1:66">
      <c r="A29" s="92" t="str">
        <f t="shared" si="14"/>
        <v>1.21</v>
      </c>
      <c r="B29" s="93" t="s">
        <v>38</v>
      </c>
      <c r="C29" s="49" t="s">
        <v>20</v>
      </c>
      <c r="D29" s="94"/>
      <c r="E29" s="95">
        <f>F24+1</f>
        <v>46060</v>
      </c>
      <c r="F29" s="96">
        <f t="shared" si="21"/>
        <v>46061</v>
      </c>
      <c r="G29" s="97">
        <v>2</v>
      </c>
      <c r="H29" s="98">
        <v>1</v>
      </c>
      <c r="I29" s="99">
        <f t="shared" si="22"/>
        <v>0</v>
      </c>
      <c r="J29" s="100"/>
      <c r="K29" s="92"/>
      <c r="L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92"/>
      <c r="AQ29" s="92"/>
      <c r="AR29" s="92"/>
      <c r="AS29" s="92"/>
      <c r="AT29" s="92"/>
      <c r="AU29" s="92"/>
      <c r="AV29" s="92"/>
      <c r="AW29" s="92"/>
      <c r="AX29" s="92"/>
      <c r="AY29" s="92"/>
      <c r="AZ29" s="92"/>
      <c r="BA29" s="92"/>
      <c r="BB29" s="92"/>
      <c r="BC29" s="92"/>
      <c r="BD29" s="92"/>
      <c r="BE29" s="92"/>
      <c r="BF29" s="92"/>
      <c r="BG29" s="92"/>
      <c r="BH29" s="92"/>
      <c r="BI29" s="92"/>
      <c r="BJ29" s="92"/>
      <c r="BK29" s="92"/>
      <c r="BL29" s="92"/>
      <c r="BM29" s="92"/>
      <c r="BN29" s="92"/>
    </row>
    <row r="30" s="49" customFormat="1" ht="18" spans="1:66">
      <c r="A30" s="92" t="str">
        <f t="shared" si="14"/>
        <v>1.22</v>
      </c>
      <c r="B30" s="93" t="s">
        <v>39</v>
      </c>
      <c r="C30" s="49" t="s">
        <v>28</v>
      </c>
      <c r="D30" s="94"/>
      <c r="E30" s="95">
        <f>F28+1</f>
        <v>46062</v>
      </c>
      <c r="F30" s="96">
        <f t="shared" si="21"/>
        <v>46063</v>
      </c>
      <c r="G30" s="97">
        <v>2</v>
      </c>
      <c r="H30" s="102">
        <v>1</v>
      </c>
      <c r="I30" s="99">
        <f t="shared" si="22"/>
        <v>2</v>
      </c>
      <c r="J30" s="100"/>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2"/>
      <c r="AR30" s="92"/>
      <c r="AS30" s="92"/>
      <c r="AT30" s="92"/>
      <c r="AU30" s="92"/>
      <c r="AV30" s="92"/>
      <c r="AW30" s="92"/>
      <c r="AX30" s="92"/>
      <c r="AY30" s="92"/>
      <c r="AZ30" s="92"/>
      <c r="BA30" s="92"/>
      <c r="BB30" s="92"/>
      <c r="BC30" s="92"/>
      <c r="BD30" s="92"/>
      <c r="BE30" s="92"/>
      <c r="BF30" s="92"/>
      <c r="BG30" s="92"/>
      <c r="BH30" s="92"/>
      <c r="BI30" s="92"/>
      <c r="BJ30" s="92"/>
      <c r="BK30" s="92"/>
      <c r="BL30" s="92"/>
      <c r="BM30" s="92"/>
      <c r="BN30" s="92"/>
    </row>
    <row r="31" s="49" customFormat="1" ht="18" spans="1:66">
      <c r="A31" s="92" t="str">
        <f t="shared" si="14"/>
        <v>1.23</v>
      </c>
      <c r="B31" s="93" t="s">
        <v>40</v>
      </c>
      <c r="C31" s="49" t="s">
        <v>20</v>
      </c>
      <c r="D31" s="94"/>
      <c r="E31" s="95">
        <f>F29+1</f>
        <v>46062</v>
      </c>
      <c r="F31" s="96">
        <f t="shared" ref="F31:F36" si="23">IF(ISBLANK(E31)," - ",IF(G31=0,E31,E31+G31-1))</f>
        <v>46063</v>
      </c>
      <c r="G31" s="97">
        <v>2</v>
      </c>
      <c r="H31" s="98">
        <v>0</v>
      </c>
      <c r="I31" s="99">
        <f t="shared" ref="I31" si="24">IF(OR(F31=0,E31=0)," - ",NETWORKDAYS(E31,F31))</f>
        <v>2</v>
      </c>
      <c r="J31" s="100"/>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2"/>
      <c r="AR31" s="92"/>
      <c r="AS31" s="92"/>
      <c r="AT31" s="92"/>
      <c r="AU31" s="92"/>
      <c r="AV31" s="92"/>
      <c r="AW31" s="92"/>
      <c r="AX31" s="92"/>
      <c r="AY31" s="92"/>
      <c r="AZ31" s="92"/>
      <c r="BA31" s="92"/>
      <c r="BB31" s="92"/>
      <c r="BC31" s="92"/>
      <c r="BD31" s="92"/>
      <c r="BE31" s="92"/>
      <c r="BF31" s="92"/>
      <c r="BG31" s="92"/>
      <c r="BH31" s="92"/>
      <c r="BI31" s="92"/>
      <c r="BJ31" s="92"/>
      <c r="BK31" s="92"/>
      <c r="BL31" s="92"/>
      <c r="BM31" s="92"/>
      <c r="BN31" s="92"/>
    </row>
    <row r="32" s="49" customFormat="1" ht="18" spans="1:66">
      <c r="A32" s="92" t="str">
        <f t="shared" si="14"/>
        <v>1.24</v>
      </c>
      <c r="B32" s="103" t="s">
        <v>41</v>
      </c>
      <c r="C32" s="49" t="s">
        <v>28</v>
      </c>
      <c r="D32" s="94"/>
      <c r="E32" s="95">
        <f>F30+1</f>
        <v>46064</v>
      </c>
      <c r="F32" s="96">
        <f t="shared" si="23"/>
        <v>46065</v>
      </c>
      <c r="G32" s="97">
        <v>2</v>
      </c>
      <c r="H32" s="98">
        <v>0</v>
      </c>
      <c r="I32" s="99">
        <f t="shared" si="18"/>
        <v>2</v>
      </c>
      <c r="J32" s="100"/>
      <c r="K32" s="9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2"/>
      <c r="AR32" s="92"/>
      <c r="AS32" s="92"/>
      <c r="AT32" s="92"/>
      <c r="AU32" s="92"/>
      <c r="AV32" s="92"/>
      <c r="AW32" s="92"/>
      <c r="AX32" s="92"/>
      <c r="AY32" s="92"/>
      <c r="AZ32" s="92"/>
      <c r="BA32" s="92"/>
      <c r="BB32" s="92"/>
      <c r="BC32" s="92"/>
      <c r="BD32" s="92"/>
      <c r="BE32" s="92"/>
      <c r="BF32" s="92"/>
      <c r="BG32" s="92"/>
      <c r="BH32" s="92"/>
      <c r="BI32" s="92"/>
      <c r="BJ32" s="92"/>
      <c r="BK32" s="92"/>
      <c r="BL32" s="92"/>
      <c r="BM32" s="92"/>
      <c r="BN32" s="92"/>
    </row>
    <row r="33" s="49" customFormat="1" ht="18" spans="1:66">
      <c r="A33" s="92" t="str">
        <f t="shared" si="14"/>
        <v>1.25</v>
      </c>
      <c r="B33" s="104" t="s">
        <v>42</v>
      </c>
      <c r="C33" s="49" t="s">
        <v>20</v>
      </c>
      <c r="D33" s="94"/>
      <c r="E33" s="95">
        <f>F31+1</f>
        <v>46064</v>
      </c>
      <c r="F33" s="96">
        <f t="shared" si="23"/>
        <v>46065</v>
      </c>
      <c r="G33" s="97">
        <v>2</v>
      </c>
      <c r="H33" s="98">
        <v>0</v>
      </c>
      <c r="I33" s="99">
        <f t="shared" si="18"/>
        <v>2</v>
      </c>
      <c r="J33" s="100"/>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2"/>
      <c r="AR33" s="92"/>
      <c r="AS33" s="92"/>
      <c r="AT33" s="92"/>
      <c r="AU33" s="92"/>
      <c r="AV33" s="92"/>
      <c r="AW33" s="92"/>
      <c r="AX33" s="92"/>
      <c r="AY33" s="92"/>
      <c r="AZ33" s="92"/>
      <c r="BA33" s="92"/>
      <c r="BB33" s="92"/>
      <c r="BC33" s="92"/>
      <c r="BD33" s="92"/>
      <c r="BE33" s="92"/>
      <c r="BF33" s="92"/>
      <c r="BG33" s="92"/>
      <c r="BH33" s="92"/>
      <c r="BI33" s="92"/>
      <c r="BJ33" s="92"/>
      <c r="BK33" s="92"/>
      <c r="BL33" s="92"/>
      <c r="BM33" s="92"/>
      <c r="BN33" s="92"/>
    </row>
    <row r="34" s="49" customFormat="1" ht="18" spans="1:66">
      <c r="A34" s="92" t="str">
        <f t="shared" si="14"/>
        <v>1.26</v>
      </c>
      <c r="B34" s="105" t="s">
        <v>43</v>
      </c>
      <c r="C34" s="49" t="s">
        <v>28</v>
      </c>
      <c r="D34" s="94"/>
      <c r="E34" s="95">
        <f t="shared" ref="E34:E58" si="25">F32+1</f>
        <v>46066</v>
      </c>
      <c r="F34" s="96">
        <f t="shared" si="23"/>
        <v>46069</v>
      </c>
      <c r="G34" s="97">
        <v>4</v>
      </c>
      <c r="H34" s="98">
        <v>0</v>
      </c>
      <c r="I34" s="99">
        <f t="shared" si="18"/>
        <v>2</v>
      </c>
      <c r="J34" s="100"/>
      <c r="K34" s="9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2"/>
      <c r="AR34" s="92"/>
      <c r="AS34" s="92"/>
      <c r="AT34" s="92"/>
      <c r="AU34" s="92"/>
      <c r="AV34" s="92"/>
      <c r="AW34" s="92"/>
      <c r="AX34" s="92"/>
      <c r="AY34" s="92"/>
      <c r="AZ34" s="92"/>
      <c r="BA34" s="92"/>
      <c r="BB34" s="92"/>
      <c r="BC34" s="92"/>
      <c r="BD34" s="92"/>
      <c r="BE34" s="92"/>
      <c r="BF34" s="92"/>
      <c r="BG34" s="92"/>
      <c r="BH34" s="92"/>
      <c r="BI34" s="92"/>
      <c r="BJ34" s="92"/>
      <c r="BK34" s="92"/>
      <c r="BL34" s="92"/>
      <c r="BM34" s="92"/>
      <c r="BN34" s="92"/>
    </row>
    <row r="35" s="49" customFormat="1" ht="18" spans="1:66">
      <c r="A35" s="92" t="str">
        <f t="shared" si="14"/>
        <v>1.27</v>
      </c>
      <c r="B35" s="105" t="s">
        <v>44</v>
      </c>
      <c r="C35" s="49" t="s">
        <v>20</v>
      </c>
      <c r="D35" s="94"/>
      <c r="E35" s="95">
        <f t="shared" si="25"/>
        <v>46066</v>
      </c>
      <c r="F35" s="96">
        <f t="shared" si="23"/>
        <v>46069</v>
      </c>
      <c r="G35" s="97">
        <v>4</v>
      </c>
      <c r="H35" s="98">
        <v>0</v>
      </c>
      <c r="I35" s="99">
        <f t="shared" si="18"/>
        <v>2</v>
      </c>
      <c r="J35" s="100"/>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2"/>
      <c r="AR35" s="92"/>
      <c r="AS35" s="92"/>
      <c r="AT35" s="92"/>
      <c r="AU35" s="92"/>
      <c r="AV35" s="92"/>
      <c r="AW35" s="92"/>
      <c r="AX35" s="92"/>
      <c r="AY35" s="92"/>
      <c r="AZ35" s="92"/>
      <c r="BA35" s="92"/>
      <c r="BB35" s="92"/>
      <c r="BC35" s="92"/>
      <c r="BD35" s="92"/>
      <c r="BE35" s="92"/>
      <c r="BF35" s="92"/>
      <c r="BG35" s="92"/>
      <c r="BH35" s="92"/>
      <c r="BI35" s="92"/>
      <c r="BJ35" s="92"/>
      <c r="BK35" s="92"/>
      <c r="BL35" s="92"/>
      <c r="BM35" s="92"/>
      <c r="BN35" s="92"/>
    </row>
    <row r="36" s="49" customFormat="1" ht="18" spans="1:66">
      <c r="A36" s="92" t="str">
        <f t="shared" si="14"/>
        <v>1.28</v>
      </c>
      <c r="B36" s="105" t="s">
        <v>45</v>
      </c>
      <c r="C36" s="49" t="s">
        <v>28</v>
      </c>
      <c r="D36" s="94"/>
      <c r="E36" s="95">
        <f t="shared" si="25"/>
        <v>46070</v>
      </c>
      <c r="F36" s="96">
        <f t="shared" si="23"/>
        <v>46071</v>
      </c>
      <c r="G36" s="97">
        <v>2</v>
      </c>
      <c r="H36" s="98">
        <v>0</v>
      </c>
      <c r="I36" s="99">
        <f t="shared" si="18"/>
        <v>2</v>
      </c>
      <c r="J36" s="100"/>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92"/>
      <c r="AQ36" s="92"/>
      <c r="AR36" s="92"/>
      <c r="AS36" s="92"/>
      <c r="AT36" s="92"/>
      <c r="AU36" s="92"/>
      <c r="AV36" s="92"/>
      <c r="AW36" s="92"/>
      <c r="AX36" s="92"/>
      <c r="AY36" s="92"/>
      <c r="AZ36" s="92"/>
      <c r="BA36" s="92"/>
      <c r="BB36" s="92"/>
      <c r="BC36" s="92"/>
      <c r="BD36" s="92"/>
      <c r="BE36" s="92"/>
      <c r="BF36" s="92"/>
      <c r="BG36" s="92"/>
      <c r="BH36" s="92"/>
      <c r="BI36" s="92"/>
      <c r="BJ36" s="92"/>
      <c r="BK36" s="92"/>
      <c r="BL36" s="92"/>
      <c r="BM36" s="92"/>
      <c r="BN36" s="92"/>
    </row>
    <row r="37" s="49" customFormat="1" ht="18" spans="1:66">
      <c r="A37" s="92" t="str">
        <f t="shared" si="14"/>
        <v>1.29</v>
      </c>
      <c r="B37" s="105" t="s">
        <v>46</v>
      </c>
      <c r="C37" s="49" t="s">
        <v>20</v>
      </c>
      <c r="D37" s="94"/>
      <c r="E37" s="95">
        <f t="shared" si="25"/>
        <v>46070</v>
      </c>
      <c r="F37" s="96">
        <f t="shared" ref="F37" si="26">IF(ISBLANK(E37)," - ",IF(G37=0,E37,E37+G37-1))</f>
        <v>46071</v>
      </c>
      <c r="G37" s="97">
        <v>2</v>
      </c>
      <c r="H37" s="98">
        <v>0</v>
      </c>
      <c r="I37" s="99">
        <f t="shared" ref="I37" si="27">IF(OR(F37=0,E37=0)," - ",NETWORKDAYS(E37,F37))</f>
        <v>2</v>
      </c>
      <c r="J37" s="100"/>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92"/>
      <c r="AQ37" s="92"/>
      <c r="AR37" s="92"/>
      <c r="AS37" s="92"/>
      <c r="AT37" s="92"/>
      <c r="AU37" s="92"/>
      <c r="AV37" s="92"/>
      <c r="AW37" s="92"/>
      <c r="AX37" s="92"/>
      <c r="AY37" s="92"/>
      <c r="AZ37" s="92"/>
      <c r="BA37" s="92"/>
      <c r="BB37" s="92"/>
      <c r="BC37" s="92"/>
      <c r="BD37" s="92"/>
      <c r="BE37" s="92"/>
      <c r="BF37" s="92"/>
      <c r="BG37" s="92"/>
      <c r="BH37" s="92"/>
      <c r="BI37" s="92"/>
      <c r="BJ37" s="92"/>
      <c r="BK37" s="92"/>
      <c r="BL37" s="92"/>
      <c r="BM37" s="92"/>
      <c r="BN37" s="92"/>
    </row>
    <row r="38" s="49" customFormat="1" ht="18" spans="1:66">
      <c r="A38" s="92" t="str">
        <f t="shared" si="14"/>
        <v>1.30</v>
      </c>
      <c r="B38" s="105" t="s">
        <v>47</v>
      </c>
      <c r="C38" s="49" t="s">
        <v>28</v>
      </c>
      <c r="D38" s="94"/>
      <c r="E38" s="95">
        <f t="shared" si="25"/>
        <v>46072</v>
      </c>
      <c r="F38" s="96">
        <f t="shared" ref="F38" si="28">IF(ISBLANK(E38)," - ",IF(G38=0,E38,E38+G38-1))</f>
        <v>46073</v>
      </c>
      <c r="G38" s="97">
        <v>2</v>
      </c>
      <c r="H38" s="98">
        <v>0</v>
      </c>
      <c r="I38" s="99">
        <f t="shared" ref="I38" si="29">IF(OR(F38=0,E38=0)," - ",NETWORKDAYS(E38,F38))</f>
        <v>2</v>
      </c>
      <c r="J38" s="100"/>
      <c r="K38" s="92"/>
      <c r="L38" s="92"/>
      <c r="M38" s="92"/>
      <c r="N38" s="92"/>
      <c r="O38" s="92"/>
      <c r="P38" s="92"/>
      <c r="Q38" s="92"/>
      <c r="R38" s="92"/>
      <c r="S38" s="92"/>
      <c r="T38" s="92"/>
      <c r="U38" s="92"/>
      <c r="V38" s="92"/>
      <c r="W38" s="92"/>
      <c r="X38" s="92"/>
      <c r="Y38" s="92"/>
      <c r="Z38" s="92"/>
      <c r="AA38" s="92"/>
      <c r="AB38" s="92"/>
      <c r="AC38" s="92"/>
      <c r="AD38" s="92"/>
      <c r="AE38" s="92"/>
      <c r="AF38" s="92"/>
      <c r="AG38" s="92"/>
      <c r="AH38" s="92"/>
      <c r="AI38" s="92"/>
      <c r="AJ38" s="92"/>
      <c r="AK38" s="92"/>
      <c r="AL38" s="92"/>
      <c r="AM38" s="92"/>
      <c r="AN38" s="92"/>
      <c r="AO38" s="92"/>
      <c r="AP38" s="92"/>
      <c r="AQ38" s="92"/>
      <c r="AR38" s="92"/>
      <c r="AS38" s="92"/>
      <c r="AT38" s="92"/>
      <c r="AU38" s="92"/>
      <c r="AV38" s="92"/>
      <c r="AW38" s="92"/>
      <c r="AX38" s="92"/>
      <c r="AY38" s="92"/>
      <c r="AZ38" s="92"/>
      <c r="BA38" s="92"/>
      <c r="BB38" s="92"/>
      <c r="BC38" s="92"/>
      <c r="BD38" s="92"/>
      <c r="BE38" s="92"/>
      <c r="BF38" s="92"/>
      <c r="BG38" s="92"/>
      <c r="BH38" s="92"/>
      <c r="BI38" s="92"/>
      <c r="BJ38" s="92"/>
      <c r="BK38" s="92"/>
      <c r="BL38" s="92"/>
      <c r="BM38" s="92"/>
      <c r="BN38" s="92"/>
    </row>
    <row r="39" s="49" customFormat="1" ht="18" spans="1:66">
      <c r="A39" s="92" t="str">
        <f t="shared" si="14"/>
        <v>1.31</v>
      </c>
      <c r="B39" s="105" t="s">
        <v>48</v>
      </c>
      <c r="C39" s="49" t="s">
        <v>20</v>
      </c>
      <c r="D39" s="94"/>
      <c r="E39" s="95">
        <f t="shared" si="25"/>
        <v>46072</v>
      </c>
      <c r="F39" s="96">
        <f t="shared" ref="F39:F58" si="30">IF(ISBLANK(E39)," - ",IF(G39=0,E39,E39+G39-1))</f>
        <v>46073</v>
      </c>
      <c r="G39" s="97">
        <v>2</v>
      </c>
      <c r="H39" s="98">
        <v>0</v>
      </c>
      <c r="I39" s="99">
        <f t="shared" ref="I39:I58" si="31">IF(OR(F39=0,E39=0)," - ",NETWORKDAYS(E39,F39))</f>
        <v>2</v>
      </c>
      <c r="J39" s="100"/>
      <c r="K39" s="92"/>
      <c r="L39" s="92"/>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2"/>
      <c r="AL39" s="92"/>
      <c r="AM39" s="92"/>
      <c r="AN39" s="92"/>
      <c r="AO39" s="92"/>
      <c r="AP39" s="92"/>
      <c r="AQ39" s="92"/>
      <c r="AR39" s="92"/>
      <c r="AS39" s="92"/>
      <c r="AT39" s="92"/>
      <c r="AU39" s="92"/>
      <c r="AV39" s="92"/>
      <c r="AW39" s="92"/>
      <c r="AX39" s="92"/>
      <c r="AY39" s="92"/>
      <c r="AZ39" s="92"/>
      <c r="BA39" s="92"/>
      <c r="BB39" s="92"/>
      <c r="BC39" s="92"/>
      <c r="BD39" s="92"/>
      <c r="BE39" s="92"/>
      <c r="BF39" s="92"/>
      <c r="BG39" s="92"/>
      <c r="BH39" s="92"/>
      <c r="BI39" s="92"/>
      <c r="BJ39" s="92"/>
      <c r="BK39" s="92"/>
      <c r="BL39" s="92"/>
      <c r="BM39" s="92"/>
      <c r="BN39" s="92"/>
    </row>
    <row r="40" s="49" customFormat="1" ht="18" spans="1:66">
      <c r="A40" s="92" t="str">
        <f t="shared" si="14"/>
        <v>1.32</v>
      </c>
      <c r="B40" s="105" t="s">
        <v>49</v>
      </c>
      <c r="C40" s="49" t="s">
        <v>28</v>
      </c>
      <c r="D40" s="94"/>
      <c r="E40" s="95">
        <f t="shared" si="25"/>
        <v>46074</v>
      </c>
      <c r="F40" s="96">
        <f t="shared" si="30"/>
        <v>46075</v>
      </c>
      <c r="G40" s="97">
        <v>2</v>
      </c>
      <c r="H40" s="98">
        <v>0</v>
      </c>
      <c r="I40" s="99">
        <f t="shared" si="31"/>
        <v>0</v>
      </c>
      <c r="J40" s="100"/>
      <c r="K40" s="92"/>
      <c r="L40" s="92"/>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2"/>
      <c r="AL40" s="92"/>
      <c r="AM40" s="92"/>
      <c r="AN40" s="92"/>
      <c r="AO40" s="92"/>
      <c r="AP40" s="92"/>
      <c r="AQ40" s="92"/>
      <c r="AR40" s="92"/>
      <c r="AS40" s="92"/>
      <c r="AT40" s="92"/>
      <c r="AU40" s="92"/>
      <c r="AV40" s="92"/>
      <c r="AW40" s="92"/>
      <c r="AX40" s="92"/>
      <c r="AY40" s="92"/>
      <c r="AZ40" s="92"/>
      <c r="BA40" s="92"/>
      <c r="BB40" s="92"/>
      <c r="BC40" s="92"/>
      <c r="BD40" s="92"/>
      <c r="BE40" s="92"/>
      <c r="BF40" s="92"/>
      <c r="BG40" s="92"/>
      <c r="BH40" s="92"/>
      <c r="BI40" s="92"/>
      <c r="BJ40" s="92"/>
      <c r="BK40" s="92"/>
      <c r="BL40" s="92"/>
      <c r="BM40" s="92"/>
      <c r="BN40" s="92"/>
    </row>
    <row r="41" s="49" customFormat="1" ht="18" spans="1:66">
      <c r="A41" s="92" t="str">
        <f t="shared" si="14"/>
        <v>1.33</v>
      </c>
      <c r="B41" s="105" t="s">
        <v>50</v>
      </c>
      <c r="C41" s="49" t="s">
        <v>20</v>
      </c>
      <c r="D41" s="94"/>
      <c r="E41" s="95">
        <f t="shared" si="25"/>
        <v>46074</v>
      </c>
      <c r="F41" s="96">
        <f t="shared" si="30"/>
        <v>46075</v>
      </c>
      <c r="G41" s="97">
        <v>2</v>
      </c>
      <c r="H41" s="98">
        <v>0</v>
      </c>
      <c r="I41" s="99">
        <f t="shared" si="31"/>
        <v>0</v>
      </c>
      <c r="J41" s="100"/>
      <c r="K41" s="92"/>
      <c r="L41" s="92"/>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2"/>
      <c r="AL41" s="92"/>
      <c r="AM41" s="92"/>
      <c r="AN41" s="92"/>
      <c r="AO41" s="92"/>
      <c r="AP41" s="92"/>
      <c r="AQ41" s="92"/>
      <c r="AR41" s="92"/>
      <c r="AS41" s="92"/>
      <c r="AT41" s="92"/>
      <c r="AU41" s="92"/>
      <c r="AV41" s="92"/>
      <c r="AW41" s="92"/>
      <c r="AX41" s="92"/>
      <c r="AY41" s="92"/>
      <c r="AZ41" s="92"/>
      <c r="BA41" s="92"/>
      <c r="BB41" s="92"/>
      <c r="BC41" s="92"/>
      <c r="BD41" s="92"/>
      <c r="BE41" s="92"/>
      <c r="BF41" s="92"/>
      <c r="BG41" s="92"/>
      <c r="BH41" s="92"/>
      <c r="BI41" s="92"/>
      <c r="BJ41" s="92"/>
      <c r="BK41" s="92"/>
      <c r="BL41" s="92"/>
      <c r="BM41" s="92"/>
      <c r="BN41" s="92"/>
    </row>
    <row r="42" s="49" customFormat="1" ht="18" spans="1:66">
      <c r="A42" s="92" t="str">
        <f t="shared" si="14"/>
        <v>1.34</v>
      </c>
      <c r="B42" s="105" t="s">
        <v>51</v>
      </c>
      <c r="C42" s="49" t="s">
        <v>28</v>
      </c>
      <c r="D42" s="94"/>
      <c r="E42" s="95">
        <f t="shared" si="25"/>
        <v>46076</v>
      </c>
      <c r="F42" s="96">
        <f t="shared" si="30"/>
        <v>46077</v>
      </c>
      <c r="G42" s="97">
        <v>2</v>
      </c>
      <c r="H42" s="98">
        <v>0</v>
      </c>
      <c r="I42" s="99">
        <f t="shared" si="31"/>
        <v>2</v>
      </c>
      <c r="J42" s="100"/>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92"/>
      <c r="AQ42" s="92"/>
      <c r="AR42" s="92"/>
      <c r="AS42" s="92"/>
      <c r="AT42" s="92"/>
      <c r="AU42" s="92"/>
      <c r="AV42" s="92"/>
      <c r="AW42" s="92"/>
      <c r="AX42" s="92"/>
      <c r="AY42" s="92"/>
      <c r="AZ42" s="92"/>
      <c r="BA42" s="92"/>
      <c r="BB42" s="92"/>
      <c r="BC42" s="92"/>
      <c r="BD42" s="92"/>
      <c r="BE42" s="92"/>
      <c r="BF42" s="92"/>
      <c r="BG42" s="92"/>
      <c r="BH42" s="92"/>
      <c r="BI42" s="92"/>
      <c r="BJ42" s="92"/>
      <c r="BK42" s="92"/>
      <c r="BL42" s="92"/>
      <c r="BM42" s="92"/>
      <c r="BN42" s="92"/>
    </row>
    <row r="43" s="49" customFormat="1" ht="18" spans="1:66">
      <c r="A43" s="92" t="str">
        <f t="shared" si="14"/>
        <v>1.35</v>
      </c>
      <c r="B43" s="105" t="s">
        <v>52</v>
      </c>
      <c r="C43" s="49" t="s">
        <v>20</v>
      </c>
      <c r="D43" s="94"/>
      <c r="E43" s="95">
        <f t="shared" si="25"/>
        <v>46076</v>
      </c>
      <c r="F43" s="96">
        <f t="shared" si="30"/>
        <v>46077</v>
      </c>
      <c r="G43" s="97">
        <v>2</v>
      </c>
      <c r="H43" s="98">
        <v>0</v>
      </c>
      <c r="I43" s="99">
        <f t="shared" si="31"/>
        <v>2</v>
      </c>
      <c r="J43" s="100"/>
      <c r="K43" s="92"/>
      <c r="L43" s="92"/>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2"/>
      <c r="AL43" s="92"/>
      <c r="AM43" s="92"/>
      <c r="AN43" s="92"/>
      <c r="AO43" s="92"/>
      <c r="AP43" s="92"/>
      <c r="AQ43" s="92"/>
      <c r="AR43" s="92"/>
      <c r="AS43" s="92"/>
      <c r="AT43" s="92"/>
      <c r="AU43" s="92"/>
      <c r="AV43" s="92"/>
      <c r="AW43" s="92"/>
      <c r="AX43" s="92"/>
      <c r="AY43" s="92"/>
      <c r="AZ43" s="92"/>
      <c r="BA43" s="92"/>
      <c r="BB43" s="92"/>
      <c r="BC43" s="92"/>
      <c r="BD43" s="92"/>
      <c r="BE43" s="92"/>
      <c r="BF43" s="92"/>
      <c r="BG43" s="92"/>
      <c r="BH43" s="92"/>
      <c r="BI43" s="92"/>
      <c r="BJ43" s="92"/>
      <c r="BK43" s="92"/>
      <c r="BL43" s="92"/>
      <c r="BM43" s="92"/>
      <c r="BN43" s="92"/>
    </row>
    <row r="44" s="49" customFormat="1" ht="18" spans="1:66">
      <c r="A44" s="92" t="str">
        <f t="shared" si="14"/>
        <v>1.36</v>
      </c>
      <c r="B44" s="105" t="s">
        <v>53</v>
      </c>
      <c r="C44" s="49" t="s">
        <v>28</v>
      </c>
      <c r="D44" s="94"/>
      <c r="E44" s="95">
        <f t="shared" si="25"/>
        <v>46078</v>
      </c>
      <c r="F44" s="96">
        <f t="shared" si="30"/>
        <v>46079</v>
      </c>
      <c r="G44" s="97">
        <v>2</v>
      </c>
      <c r="H44" s="98">
        <v>0</v>
      </c>
      <c r="I44" s="99">
        <f t="shared" si="31"/>
        <v>2</v>
      </c>
      <c r="J44" s="100"/>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92"/>
      <c r="AM44" s="92"/>
      <c r="AN44" s="92"/>
      <c r="AO44" s="92"/>
      <c r="AP44" s="92"/>
      <c r="AQ44" s="92"/>
      <c r="AR44" s="92"/>
      <c r="AS44" s="92"/>
      <c r="AT44" s="92"/>
      <c r="AU44" s="92"/>
      <c r="AV44" s="92"/>
      <c r="AW44" s="92"/>
      <c r="AX44" s="92"/>
      <c r="AY44" s="92"/>
      <c r="AZ44" s="92"/>
      <c r="BA44" s="92"/>
      <c r="BB44" s="92"/>
      <c r="BC44" s="92"/>
      <c r="BD44" s="92"/>
      <c r="BE44" s="92"/>
      <c r="BF44" s="92"/>
      <c r="BG44" s="92"/>
      <c r="BH44" s="92"/>
      <c r="BI44" s="92"/>
      <c r="BJ44" s="92"/>
      <c r="BK44" s="92"/>
      <c r="BL44" s="92"/>
      <c r="BM44" s="92"/>
      <c r="BN44" s="92"/>
    </row>
    <row r="45" s="49" customFormat="1" ht="18" spans="1:66">
      <c r="A45" s="92" t="str">
        <f t="shared" si="14"/>
        <v>1.37</v>
      </c>
      <c r="B45" s="105" t="s">
        <v>54</v>
      </c>
      <c r="C45" s="49" t="s">
        <v>20</v>
      </c>
      <c r="D45" s="94"/>
      <c r="E45" s="95">
        <f t="shared" si="25"/>
        <v>46078</v>
      </c>
      <c r="F45" s="96">
        <f t="shared" si="30"/>
        <v>46079</v>
      </c>
      <c r="G45" s="97">
        <v>2</v>
      </c>
      <c r="H45" s="98">
        <v>0</v>
      </c>
      <c r="I45" s="99">
        <f t="shared" si="31"/>
        <v>2</v>
      </c>
      <c r="J45" s="100"/>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c r="AN45" s="92"/>
      <c r="AO45" s="92"/>
      <c r="AP45" s="92"/>
      <c r="AQ45" s="92"/>
      <c r="AR45" s="92"/>
      <c r="AS45" s="92"/>
      <c r="AT45" s="92"/>
      <c r="AU45" s="92"/>
      <c r="AV45" s="92"/>
      <c r="AW45" s="92"/>
      <c r="AX45" s="92"/>
      <c r="AY45" s="92"/>
      <c r="AZ45" s="92"/>
      <c r="BA45" s="92"/>
      <c r="BB45" s="92"/>
      <c r="BC45" s="92"/>
      <c r="BD45" s="92"/>
      <c r="BE45" s="92"/>
      <c r="BF45" s="92"/>
      <c r="BG45" s="92"/>
      <c r="BH45" s="92"/>
      <c r="BI45" s="92"/>
      <c r="BJ45" s="92"/>
      <c r="BK45" s="92"/>
      <c r="BL45" s="92"/>
      <c r="BM45" s="92"/>
      <c r="BN45" s="92"/>
    </row>
    <row r="46" s="49" customFormat="1" ht="18" spans="1:66">
      <c r="A46" s="92" t="str">
        <f t="shared" si="14"/>
        <v>1.38</v>
      </c>
      <c r="B46" s="105" t="s">
        <v>55</v>
      </c>
      <c r="C46" s="49" t="s">
        <v>28</v>
      </c>
      <c r="D46" s="94"/>
      <c r="E46" s="95">
        <f t="shared" si="25"/>
        <v>46080</v>
      </c>
      <c r="F46" s="96">
        <f t="shared" si="30"/>
        <v>46083</v>
      </c>
      <c r="G46" s="97">
        <v>4</v>
      </c>
      <c r="H46" s="98">
        <v>0</v>
      </c>
      <c r="I46" s="99">
        <f t="shared" si="31"/>
        <v>2</v>
      </c>
      <c r="J46" s="100"/>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2"/>
      <c r="AL46" s="92"/>
      <c r="AM46" s="92"/>
      <c r="AN46" s="92"/>
      <c r="AO46" s="92"/>
      <c r="AP46" s="92"/>
      <c r="AQ46" s="92"/>
      <c r="AR46" s="92"/>
      <c r="AS46" s="92"/>
      <c r="AT46" s="92"/>
      <c r="AU46" s="92"/>
      <c r="AV46" s="92"/>
      <c r="AW46" s="92"/>
      <c r="AX46" s="92"/>
      <c r="AY46" s="92"/>
      <c r="AZ46" s="92"/>
      <c r="BA46" s="92"/>
      <c r="BB46" s="92"/>
      <c r="BC46" s="92"/>
      <c r="BD46" s="92"/>
      <c r="BE46" s="92"/>
      <c r="BF46" s="92"/>
      <c r="BG46" s="92"/>
      <c r="BH46" s="92"/>
      <c r="BI46" s="92"/>
      <c r="BJ46" s="92"/>
      <c r="BK46" s="92"/>
      <c r="BL46" s="92"/>
      <c r="BM46" s="92"/>
      <c r="BN46" s="92"/>
    </row>
    <row r="47" s="49" customFormat="1" ht="18" spans="1:66">
      <c r="A47" s="92" t="str">
        <f t="shared" si="14"/>
        <v>1.39</v>
      </c>
      <c r="B47" s="105" t="s">
        <v>56</v>
      </c>
      <c r="C47" s="49" t="s">
        <v>20</v>
      </c>
      <c r="D47" s="94"/>
      <c r="E47" s="95">
        <f t="shared" si="25"/>
        <v>46080</v>
      </c>
      <c r="F47" s="96">
        <f t="shared" si="30"/>
        <v>46083</v>
      </c>
      <c r="G47" s="97">
        <v>4</v>
      </c>
      <c r="H47" s="98">
        <v>0</v>
      </c>
      <c r="I47" s="99">
        <f t="shared" si="31"/>
        <v>2</v>
      </c>
      <c r="J47" s="100"/>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92"/>
      <c r="AQ47" s="92"/>
      <c r="AR47" s="92"/>
      <c r="AS47" s="92"/>
      <c r="AT47" s="92"/>
      <c r="AU47" s="92"/>
      <c r="AV47" s="92"/>
      <c r="AW47" s="92"/>
      <c r="AX47" s="92"/>
      <c r="AY47" s="92"/>
      <c r="AZ47" s="92"/>
      <c r="BA47" s="92"/>
      <c r="BB47" s="92"/>
      <c r="BC47" s="92"/>
      <c r="BD47" s="92"/>
      <c r="BE47" s="92"/>
      <c r="BF47" s="92"/>
      <c r="BG47" s="92"/>
      <c r="BH47" s="92"/>
      <c r="BI47" s="92"/>
      <c r="BJ47" s="92"/>
      <c r="BK47" s="92"/>
      <c r="BL47" s="92"/>
      <c r="BM47" s="92"/>
      <c r="BN47" s="92"/>
    </row>
    <row r="48" s="49" customFormat="1" ht="18" spans="1:66">
      <c r="A48" s="92" t="str">
        <f t="shared" si="14"/>
        <v>1.40</v>
      </c>
      <c r="B48" s="105" t="s">
        <v>57</v>
      </c>
      <c r="C48" s="49" t="s">
        <v>28</v>
      </c>
      <c r="D48" s="94"/>
      <c r="E48" s="95">
        <f t="shared" si="25"/>
        <v>46084</v>
      </c>
      <c r="F48" s="96">
        <f t="shared" si="30"/>
        <v>46085</v>
      </c>
      <c r="G48" s="97">
        <v>2</v>
      </c>
      <c r="H48" s="98">
        <v>0</v>
      </c>
      <c r="I48" s="99">
        <f t="shared" si="31"/>
        <v>2</v>
      </c>
      <c r="J48" s="100"/>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92"/>
      <c r="AQ48" s="92"/>
      <c r="AR48" s="92"/>
      <c r="AS48" s="92"/>
      <c r="AT48" s="92"/>
      <c r="AU48" s="92"/>
      <c r="AV48" s="92"/>
      <c r="AW48" s="92"/>
      <c r="AX48" s="92"/>
      <c r="AY48" s="92"/>
      <c r="AZ48" s="92"/>
      <c r="BA48" s="92"/>
      <c r="BB48" s="92"/>
      <c r="BC48" s="92"/>
      <c r="BD48" s="92"/>
      <c r="BE48" s="92"/>
      <c r="BF48" s="92"/>
      <c r="BG48" s="92"/>
      <c r="BH48" s="92"/>
      <c r="BI48" s="92"/>
      <c r="BJ48" s="92"/>
      <c r="BK48" s="92"/>
      <c r="BL48" s="92"/>
      <c r="BM48" s="92"/>
      <c r="BN48" s="92"/>
    </row>
    <row r="49" s="49" customFormat="1" ht="18" spans="1:66">
      <c r="A49" s="92" t="str">
        <f t="shared" si="14"/>
        <v>1.41</v>
      </c>
      <c r="B49" s="105" t="s">
        <v>58</v>
      </c>
      <c r="C49" s="49" t="s">
        <v>20</v>
      </c>
      <c r="D49" s="94"/>
      <c r="E49" s="95">
        <f t="shared" si="25"/>
        <v>46084</v>
      </c>
      <c r="F49" s="96">
        <f t="shared" si="30"/>
        <v>46085</v>
      </c>
      <c r="G49" s="97">
        <v>2</v>
      </c>
      <c r="H49" s="98">
        <v>0</v>
      </c>
      <c r="I49" s="99">
        <f t="shared" si="31"/>
        <v>2</v>
      </c>
      <c r="J49" s="100"/>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2"/>
      <c r="AR49" s="92"/>
      <c r="AS49" s="92"/>
      <c r="AT49" s="92"/>
      <c r="AU49" s="92"/>
      <c r="AV49" s="92"/>
      <c r="AW49" s="92"/>
      <c r="AX49" s="92"/>
      <c r="AY49" s="92"/>
      <c r="AZ49" s="92"/>
      <c r="BA49" s="92"/>
      <c r="BB49" s="92"/>
      <c r="BC49" s="92"/>
      <c r="BD49" s="92"/>
      <c r="BE49" s="92"/>
      <c r="BF49" s="92"/>
      <c r="BG49" s="92"/>
      <c r="BH49" s="92"/>
      <c r="BI49" s="92"/>
      <c r="BJ49" s="92"/>
      <c r="BK49" s="92"/>
      <c r="BL49" s="92"/>
      <c r="BM49" s="92"/>
      <c r="BN49" s="92"/>
    </row>
    <row r="50" s="49" customFormat="1" ht="18" spans="1:66">
      <c r="A50" s="92" t="str">
        <f t="shared" si="14"/>
        <v>1.42</v>
      </c>
      <c r="B50" s="105" t="s">
        <v>59</v>
      </c>
      <c r="C50" s="49" t="s">
        <v>28</v>
      </c>
      <c r="D50" s="94"/>
      <c r="E50" s="95">
        <f t="shared" si="25"/>
        <v>46086</v>
      </c>
      <c r="F50" s="96">
        <f t="shared" si="30"/>
        <v>46087</v>
      </c>
      <c r="G50" s="97">
        <v>2</v>
      </c>
      <c r="H50" s="98">
        <v>0</v>
      </c>
      <c r="I50" s="99">
        <f t="shared" si="31"/>
        <v>2</v>
      </c>
      <c r="J50" s="100"/>
      <c r="K50" s="92"/>
      <c r="L50" s="92"/>
      <c r="M50" s="92"/>
      <c r="N50" s="92"/>
      <c r="O50" s="92"/>
      <c r="P50" s="92"/>
      <c r="Q50" s="92"/>
      <c r="R50" s="92"/>
      <c r="S50" s="92"/>
      <c r="T50" s="92"/>
      <c r="U50" s="92"/>
      <c r="V50" s="92"/>
      <c r="W50" s="92"/>
      <c r="X50" s="92"/>
      <c r="Y50" s="92"/>
      <c r="Z50" s="92"/>
      <c r="AA50" s="92"/>
      <c r="AB50" s="92"/>
      <c r="AC50" s="92"/>
      <c r="AD50" s="92"/>
      <c r="AE50" s="92"/>
      <c r="AF50" s="92"/>
      <c r="AG50" s="92"/>
      <c r="AH50" s="92"/>
      <c r="AI50" s="92"/>
      <c r="AJ50" s="92"/>
      <c r="AK50" s="92"/>
      <c r="AL50" s="92"/>
      <c r="AM50" s="92"/>
      <c r="AN50" s="92"/>
      <c r="AO50" s="92"/>
      <c r="AP50" s="92"/>
      <c r="AQ50" s="92"/>
      <c r="AR50" s="92"/>
      <c r="AS50" s="92"/>
      <c r="AT50" s="92"/>
      <c r="AU50" s="92"/>
      <c r="AV50" s="92"/>
      <c r="AW50" s="92"/>
      <c r="AX50" s="92"/>
      <c r="AY50" s="92"/>
      <c r="AZ50" s="92"/>
      <c r="BA50" s="92"/>
      <c r="BB50" s="92"/>
      <c r="BC50" s="92"/>
      <c r="BD50" s="92"/>
      <c r="BE50" s="92"/>
      <c r="BF50" s="92"/>
      <c r="BG50" s="92"/>
      <c r="BH50" s="92"/>
      <c r="BI50" s="92"/>
      <c r="BJ50" s="92"/>
      <c r="BK50" s="92"/>
      <c r="BL50" s="92"/>
      <c r="BM50" s="92"/>
      <c r="BN50" s="92"/>
    </row>
    <row r="51" s="49" customFormat="1" ht="18" spans="1:66">
      <c r="A51" s="92" t="str">
        <f t="shared" si="14"/>
        <v>1.43</v>
      </c>
      <c r="B51" s="105" t="s">
        <v>60</v>
      </c>
      <c r="C51" s="49" t="s">
        <v>20</v>
      </c>
      <c r="D51" s="94"/>
      <c r="E51" s="95">
        <f t="shared" si="25"/>
        <v>46086</v>
      </c>
      <c r="F51" s="96">
        <f t="shared" si="30"/>
        <v>46087</v>
      </c>
      <c r="G51" s="97">
        <v>2</v>
      </c>
      <c r="H51" s="98">
        <v>0</v>
      </c>
      <c r="I51" s="99">
        <f t="shared" si="31"/>
        <v>2</v>
      </c>
      <c r="J51" s="100"/>
      <c r="K51" s="92"/>
      <c r="L51" s="92"/>
      <c r="M51" s="92"/>
      <c r="N51" s="92"/>
      <c r="O51" s="92"/>
      <c r="P51" s="92"/>
      <c r="Q51" s="92"/>
      <c r="R51" s="92"/>
      <c r="S51" s="92"/>
      <c r="T51" s="92"/>
      <c r="U51" s="92"/>
      <c r="V51" s="92"/>
      <c r="W51" s="92"/>
      <c r="X51" s="92"/>
      <c r="Y51" s="92"/>
      <c r="Z51" s="92"/>
      <c r="AA51" s="92"/>
      <c r="AB51" s="92"/>
      <c r="AC51" s="92"/>
      <c r="AD51" s="92"/>
      <c r="AE51" s="92"/>
      <c r="AF51" s="92"/>
      <c r="AG51" s="92"/>
      <c r="AH51" s="92"/>
      <c r="AI51" s="92"/>
      <c r="AJ51" s="92"/>
      <c r="AK51" s="92"/>
      <c r="AL51" s="92"/>
      <c r="AM51" s="92"/>
      <c r="AN51" s="92"/>
      <c r="AO51" s="92"/>
      <c r="AP51" s="92"/>
      <c r="AQ51" s="92"/>
      <c r="AR51" s="92"/>
      <c r="AS51" s="92"/>
      <c r="AT51" s="92"/>
      <c r="AU51" s="92"/>
      <c r="AV51" s="92"/>
      <c r="AW51" s="92"/>
      <c r="AX51" s="92"/>
      <c r="AY51" s="92"/>
      <c r="AZ51" s="92"/>
      <c r="BA51" s="92"/>
      <c r="BB51" s="92"/>
      <c r="BC51" s="92"/>
      <c r="BD51" s="92"/>
      <c r="BE51" s="92"/>
      <c r="BF51" s="92"/>
      <c r="BG51" s="92"/>
      <c r="BH51" s="92"/>
      <c r="BI51" s="92"/>
      <c r="BJ51" s="92"/>
      <c r="BK51" s="92"/>
      <c r="BL51" s="92"/>
      <c r="BM51" s="92"/>
      <c r="BN51" s="92"/>
    </row>
    <row r="52" s="49" customFormat="1" ht="18" spans="1:66">
      <c r="A52" s="92" t="str">
        <f t="shared" si="14"/>
        <v>1.44</v>
      </c>
      <c r="B52" s="105" t="s">
        <v>61</v>
      </c>
      <c r="C52" s="49" t="s">
        <v>28</v>
      </c>
      <c r="D52" s="94"/>
      <c r="E52" s="95">
        <f t="shared" si="25"/>
        <v>46088</v>
      </c>
      <c r="F52" s="96">
        <f t="shared" si="30"/>
        <v>46091</v>
      </c>
      <c r="G52" s="97">
        <v>4</v>
      </c>
      <c r="H52" s="98">
        <v>0</v>
      </c>
      <c r="I52" s="99">
        <f t="shared" si="31"/>
        <v>2</v>
      </c>
      <c r="J52" s="100"/>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2"/>
      <c r="AL52" s="92"/>
      <c r="AM52" s="92"/>
      <c r="AN52" s="92"/>
      <c r="AO52" s="92"/>
      <c r="AP52" s="92"/>
      <c r="AQ52" s="92"/>
      <c r="AR52" s="92"/>
      <c r="AS52" s="92"/>
      <c r="AT52" s="92"/>
      <c r="AU52" s="92"/>
      <c r="AV52" s="92"/>
      <c r="AW52" s="92"/>
      <c r="AX52" s="92"/>
      <c r="AY52" s="92"/>
      <c r="AZ52" s="92"/>
      <c r="BA52" s="92"/>
      <c r="BB52" s="92"/>
      <c r="BC52" s="92"/>
      <c r="BD52" s="92"/>
      <c r="BE52" s="92"/>
      <c r="BF52" s="92"/>
      <c r="BG52" s="92"/>
      <c r="BH52" s="92"/>
      <c r="BI52" s="92"/>
      <c r="BJ52" s="92"/>
      <c r="BK52" s="92"/>
      <c r="BL52" s="92"/>
      <c r="BM52" s="92"/>
      <c r="BN52" s="92"/>
    </row>
    <row r="53" s="49" customFormat="1" ht="18" spans="1:66">
      <c r="A53" s="92" t="str">
        <f t="shared" si="14"/>
        <v>1.45</v>
      </c>
      <c r="B53" s="105" t="s">
        <v>62</v>
      </c>
      <c r="C53" s="49" t="s">
        <v>20</v>
      </c>
      <c r="D53" s="94"/>
      <c r="E53" s="95">
        <f t="shared" si="25"/>
        <v>46088</v>
      </c>
      <c r="F53" s="96">
        <f t="shared" si="30"/>
        <v>46091</v>
      </c>
      <c r="G53" s="97">
        <v>4</v>
      </c>
      <c r="H53" s="98">
        <v>0</v>
      </c>
      <c r="I53" s="99">
        <f t="shared" si="31"/>
        <v>2</v>
      </c>
      <c r="J53" s="100"/>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2"/>
      <c r="AR53" s="92"/>
      <c r="AS53" s="92"/>
      <c r="AT53" s="92"/>
      <c r="AU53" s="92"/>
      <c r="AV53" s="92"/>
      <c r="AW53" s="92"/>
      <c r="AX53" s="92"/>
      <c r="AY53" s="92"/>
      <c r="AZ53" s="92"/>
      <c r="BA53" s="92"/>
      <c r="BB53" s="92"/>
      <c r="BC53" s="92"/>
      <c r="BD53" s="92"/>
      <c r="BE53" s="92"/>
      <c r="BF53" s="92"/>
      <c r="BG53" s="92"/>
      <c r="BH53" s="92"/>
      <c r="BI53" s="92"/>
      <c r="BJ53" s="92"/>
      <c r="BK53" s="92"/>
      <c r="BL53" s="92"/>
      <c r="BM53" s="92"/>
      <c r="BN53" s="92"/>
    </row>
    <row r="54" s="49" customFormat="1" ht="18" spans="1:66">
      <c r="A54" s="92" t="str">
        <f t="shared" si="14"/>
        <v>1.46</v>
      </c>
      <c r="B54" s="105" t="s">
        <v>63</v>
      </c>
      <c r="C54" s="49" t="s">
        <v>28</v>
      </c>
      <c r="D54" s="94"/>
      <c r="E54" s="95">
        <f t="shared" si="25"/>
        <v>46092</v>
      </c>
      <c r="F54" s="96">
        <f t="shared" si="30"/>
        <v>46093</v>
      </c>
      <c r="G54" s="97">
        <v>2</v>
      </c>
      <c r="H54" s="98">
        <v>0</v>
      </c>
      <c r="I54" s="99">
        <f t="shared" si="31"/>
        <v>2</v>
      </c>
      <c r="J54" s="100"/>
      <c r="K54" s="92"/>
      <c r="L54" s="92"/>
      <c r="M54" s="92"/>
      <c r="N54" s="92"/>
      <c r="O54" s="92"/>
      <c r="P54" s="92"/>
      <c r="Q54" s="92"/>
      <c r="R54" s="92"/>
      <c r="S54" s="92"/>
      <c r="T54" s="92"/>
      <c r="U54" s="92"/>
      <c r="V54" s="92"/>
      <c r="W54" s="92"/>
      <c r="X54" s="92"/>
      <c r="Y54" s="92"/>
      <c r="Z54" s="92"/>
      <c r="AA54" s="92"/>
      <c r="AB54" s="92"/>
      <c r="AC54" s="92"/>
      <c r="AD54" s="92"/>
      <c r="AE54" s="92"/>
      <c r="AF54" s="92"/>
      <c r="AG54" s="92"/>
      <c r="AH54" s="92"/>
      <c r="AI54" s="92"/>
      <c r="AJ54" s="92"/>
      <c r="AK54" s="92"/>
      <c r="AL54" s="92"/>
      <c r="AM54" s="92"/>
      <c r="AN54" s="92"/>
      <c r="AO54" s="92"/>
      <c r="AP54" s="92"/>
      <c r="AQ54" s="92"/>
      <c r="AR54" s="92"/>
      <c r="AS54" s="92"/>
      <c r="AT54" s="92"/>
      <c r="AU54" s="92"/>
      <c r="AV54" s="92"/>
      <c r="AW54" s="92"/>
      <c r="AX54" s="92"/>
      <c r="AY54" s="92"/>
      <c r="AZ54" s="92"/>
      <c r="BA54" s="92"/>
      <c r="BB54" s="92"/>
      <c r="BC54" s="92"/>
      <c r="BD54" s="92"/>
      <c r="BE54" s="92"/>
      <c r="BF54" s="92"/>
      <c r="BG54" s="92"/>
      <c r="BH54" s="92"/>
      <c r="BI54" s="92"/>
      <c r="BJ54" s="92"/>
      <c r="BK54" s="92"/>
      <c r="BL54" s="92"/>
      <c r="BM54" s="92"/>
      <c r="BN54" s="92"/>
    </row>
    <row r="55" s="49" customFormat="1" ht="18" spans="1:66">
      <c r="A55" s="92" t="str">
        <f t="shared" si="14"/>
        <v>1.47</v>
      </c>
      <c r="B55" s="105" t="s">
        <v>64</v>
      </c>
      <c r="C55" s="49" t="s">
        <v>20</v>
      </c>
      <c r="D55" s="94"/>
      <c r="E55" s="95">
        <f t="shared" si="25"/>
        <v>46092</v>
      </c>
      <c r="F55" s="96">
        <f t="shared" si="30"/>
        <v>46093</v>
      </c>
      <c r="G55" s="97">
        <v>2</v>
      </c>
      <c r="H55" s="98">
        <v>0</v>
      </c>
      <c r="I55" s="99">
        <f t="shared" si="31"/>
        <v>2</v>
      </c>
      <c r="J55" s="100"/>
      <c r="K55" s="92"/>
      <c r="L55" s="92"/>
      <c r="M55" s="92"/>
      <c r="N55" s="92"/>
      <c r="O55" s="92"/>
      <c r="P55" s="92"/>
      <c r="Q55" s="92"/>
      <c r="R55" s="92"/>
      <c r="S55" s="92"/>
      <c r="T55" s="92"/>
      <c r="U55" s="92"/>
      <c r="V55" s="92"/>
      <c r="W55" s="92"/>
      <c r="X55" s="92"/>
      <c r="Y55" s="92"/>
      <c r="Z55" s="92"/>
      <c r="AA55" s="92"/>
      <c r="AB55" s="92"/>
      <c r="AC55" s="92"/>
      <c r="AD55" s="92"/>
      <c r="AE55" s="92"/>
      <c r="AF55" s="92"/>
      <c r="AG55" s="92"/>
      <c r="AH55" s="92"/>
      <c r="AI55" s="92"/>
      <c r="AJ55" s="92"/>
      <c r="AK55" s="92"/>
      <c r="AL55" s="92"/>
      <c r="AM55" s="92"/>
      <c r="AN55" s="92"/>
      <c r="AO55" s="92"/>
      <c r="AP55" s="92"/>
      <c r="AQ55" s="92"/>
      <c r="AR55" s="92"/>
      <c r="AS55" s="92"/>
      <c r="AT55" s="92"/>
      <c r="AU55" s="92"/>
      <c r="AV55" s="92"/>
      <c r="AW55" s="92"/>
      <c r="AX55" s="92"/>
      <c r="AY55" s="92"/>
      <c r="AZ55" s="92"/>
      <c r="BA55" s="92"/>
      <c r="BB55" s="92"/>
      <c r="BC55" s="92"/>
      <c r="BD55" s="92"/>
      <c r="BE55" s="92"/>
      <c r="BF55" s="92"/>
      <c r="BG55" s="92"/>
      <c r="BH55" s="92"/>
      <c r="BI55" s="92"/>
      <c r="BJ55" s="92"/>
      <c r="BK55" s="92"/>
      <c r="BL55" s="92"/>
      <c r="BM55" s="92"/>
      <c r="BN55" s="92"/>
    </row>
    <row r="56" s="49" customFormat="1" ht="18" spans="1:66">
      <c r="A56" s="92" t="str">
        <f t="shared" si="14"/>
        <v>1.48</v>
      </c>
      <c r="B56" s="105" t="s">
        <v>65</v>
      </c>
      <c r="C56" s="49" t="s">
        <v>28</v>
      </c>
      <c r="D56" s="94"/>
      <c r="E56" s="95">
        <f t="shared" si="25"/>
        <v>46094</v>
      </c>
      <c r="F56" s="96">
        <f t="shared" si="30"/>
        <v>46097</v>
      </c>
      <c r="G56" s="97">
        <v>4</v>
      </c>
      <c r="H56" s="98">
        <v>0</v>
      </c>
      <c r="I56" s="99">
        <f t="shared" si="31"/>
        <v>2</v>
      </c>
      <c r="J56" s="100"/>
      <c r="K56" s="92"/>
      <c r="L56" s="92"/>
      <c r="M56" s="92"/>
      <c r="N56" s="92"/>
      <c r="O56" s="92"/>
      <c r="P56" s="92"/>
      <c r="Q56" s="92"/>
      <c r="R56" s="92"/>
      <c r="S56" s="92"/>
      <c r="T56" s="92"/>
      <c r="U56" s="92"/>
      <c r="V56" s="92"/>
      <c r="W56" s="92"/>
      <c r="X56" s="92"/>
      <c r="Y56" s="92"/>
      <c r="Z56" s="92"/>
      <c r="AA56" s="92"/>
      <c r="AB56" s="92"/>
      <c r="AC56" s="92"/>
      <c r="AD56" s="92"/>
      <c r="AE56" s="92"/>
      <c r="AF56" s="92"/>
      <c r="AG56" s="92"/>
      <c r="AH56" s="92"/>
      <c r="AI56" s="92"/>
      <c r="AJ56" s="92"/>
      <c r="AK56" s="92"/>
      <c r="AL56" s="92"/>
      <c r="AM56" s="92"/>
      <c r="AN56" s="92"/>
      <c r="AO56" s="92"/>
      <c r="AP56" s="92"/>
      <c r="AQ56" s="92"/>
      <c r="AR56" s="92"/>
      <c r="AS56" s="92"/>
      <c r="AT56" s="92"/>
      <c r="AU56" s="92"/>
      <c r="AV56" s="92"/>
      <c r="AW56" s="92"/>
      <c r="AX56" s="92"/>
      <c r="AY56" s="92"/>
      <c r="AZ56" s="92"/>
      <c r="BA56" s="92"/>
      <c r="BB56" s="92"/>
      <c r="BC56" s="92"/>
      <c r="BD56" s="92"/>
      <c r="BE56" s="92"/>
      <c r="BF56" s="92"/>
      <c r="BG56" s="92"/>
      <c r="BH56" s="92"/>
      <c r="BI56" s="92"/>
      <c r="BJ56" s="92"/>
      <c r="BK56" s="92"/>
      <c r="BL56" s="92"/>
      <c r="BM56" s="92"/>
      <c r="BN56" s="92"/>
    </row>
    <row r="57" s="49" customFormat="1" ht="18" spans="1:66">
      <c r="A57" s="92" t="str">
        <f t="shared" si="14"/>
        <v>1.49</v>
      </c>
      <c r="B57" s="105" t="s">
        <v>66</v>
      </c>
      <c r="C57" s="49" t="s">
        <v>20</v>
      </c>
      <c r="D57" s="94"/>
      <c r="E57" s="95">
        <f t="shared" si="25"/>
        <v>46094</v>
      </c>
      <c r="F57" s="96">
        <f t="shared" si="30"/>
        <v>46097</v>
      </c>
      <c r="G57" s="97">
        <v>4</v>
      </c>
      <c r="H57" s="98">
        <v>0</v>
      </c>
      <c r="I57" s="99">
        <f t="shared" si="31"/>
        <v>2</v>
      </c>
      <c r="J57" s="100"/>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2"/>
      <c r="AR57" s="92"/>
      <c r="AS57" s="92"/>
      <c r="AT57" s="92"/>
      <c r="AU57" s="92"/>
      <c r="AV57" s="92"/>
      <c r="AW57" s="92"/>
      <c r="AX57" s="92"/>
      <c r="AY57" s="92"/>
      <c r="AZ57" s="92"/>
      <c r="BA57" s="92"/>
      <c r="BB57" s="92"/>
      <c r="BC57" s="92"/>
      <c r="BD57" s="92"/>
      <c r="BE57" s="92"/>
      <c r="BF57" s="92"/>
      <c r="BG57" s="92"/>
      <c r="BH57" s="92"/>
      <c r="BI57" s="92"/>
      <c r="BJ57" s="92"/>
      <c r="BK57" s="92"/>
      <c r="BL57" s="92"/>
      <c r="BM57" s="92"/>
      <c r="BN57" s="92"/>
    </row>
    <row r="58" s="49" customFormat="1" ht="18" spans="1:66">
      <c r="A58" s="92" t="str">
        <f t="shared" si="14"/>
        <v>1.50</v>
      </c>
      <c r="B58" s="105" t="s">
        <v>67</v>
      </c>
      <c r="C58" s="49" t="s">
        <v>28</v>
      </c>
      <c r="D58" s="94"/>
      <c r="E58" s="95">
        <f t="shared" si="25"/>
        <v>46098</v>
      </c>
      <c r="F58" s="96">
        <f t="shared" si="30"/>
        <v>46099</v>
      </c>
      <c r="G58" s="97">
        <v>2</v>
      </c>
      <c r="H58" s="98">
        <v>0</v>
      </c>
      <c r="I58" s="99">
        <f t="shared" si="31"/>
        <v>2</v>
      </c>
      <c r="J58" s="100"/>
      <c r="K58" s="92"/>
      <c r="L58" s="92"/>
      <c r="M58" s="92"/>
      <c r="N58" s="92"/>
      <c r="O58" s="92"/>
      <c r="P58" s="92"/>
      <c r="Q58" s="92"/>
      <c r="R58" s="92"/>
      <c r="S58" s="92"/>
      <c r="T58" s="92"/>
      <c r="U58" s="92"/>
      <c r="V58" s="92"/>
      <c r="W58" s="92"/>
      <c r="X58" s="92"/>
      <c r="Y58" s="92"/>
      <c r="Z58" s="92"/>
      <c r="AA58" s="92"/>
      <c r="AB58" s="92"/>
      <c r="AC58" s="92"/>
      <c r="AD58" s="92"/>
      <c r="AE58" s="92"/>
      <c r="AF58" s="92"/>
      <c r="AG58" s="92"/>
      <c r="AH58" s="92"/>
      <c r="AI58" s="92"/>
      <c r="AJ58" s="92"/>
      <c r="AK58" s="92"/>
      <c r="AL58" s="92"/>
      <c r="AM58" s="92"/>
      <c r="AN58" s="92"/>
      <c r="AO58" s="92"/>
      <c r="AP58" s="92"/>
      <c r="AQ58" s="92"/>
      <c r="AR58" s="92"/>
      <c r="AS58" s="92"/>
      <c r="AT58" s="92"/>
      <c r="AU58" s="92"/>
      <c r="AV58" s="92"/>
      <c r="AW58" s="92"/>
      <c r="AX58" s="92"/>
      <c r="AY58" s="92"/>
      <c r="AZ58" s="92"/>
      <c r="BA58" s="92"/>
      <c r="BB58" s="92"/>
      <c r="BC58" s="92"/>
      <c r="BD58" s="92"/>
      <c r="BE58" s="92"/>
      <c r="BF58" s="92"/>
      <c r="BG58" s="92"/>
      <c r="BH58" s="92"/>
      <c r="BI58" s="92"/>
      <c r="BJ58" s="92"/>
      <c r="BK58" s="92"/>
      <c r="BL58" s="92"/>
      <c r="BM58" s="92"/>
      <c r="BN58" s="92"/>
    </row>
    <row r="59" s="49" customFormat="1" ht="18" spans="1:66">
      <c r="A59" s="92"/>
      <c r="B59" s="105"/>
      <c r="D59" s="94"/>
      <c r="E59" s="95"/>
      <c r="F59" s="96"/>
      <c r="G59" s="97"/>
      <c r="H59" s="98"/>
      <c r="I59" s="99"/>
      <c r="J59" s="100"/>
      <c r="K59" s="92"/>
      <c r="L59" s="92"/>
      <c r="M59" s="92"/>
      <c r="N59" s="92"/>
      <c r="O59" s="92"/>
      <c r="P59" s="92"/>
      <c r="Q59" s="92"/>
      <c r="R59" s="92"/>
      <c r="S59" s="92"/>
      <c r="T59" s="92"/>
      <c r="U59" s="92"/>
      <c r="V59" s="92"/>
      <c r="W59" s="92"/>
      <c r="X59" s="92"/>
      <c r="Y59" s="92"/>
      <c r="Z59" s="92"/>
      <c r="AA59" s="92"/>
      <c r="AB59" s="92"/>
      <c r="AC59" s="92"/>
      <c r="AD59" s="92"/>
      <c r="AE59" s="92"/>
      <c r="AF59" s="92"/>
      <c r="AG59" s="92"/>
      <c r="AH59" s="92"/>
      <c r="AI59" s="92"/>
      <c r="AJ59" s="92"/>
      <c r="AK59" s="92"/>
      <c r="AL59" s="92"/>
      <c r="AM59" s="92"/>
      <c r="AN59" s="92"/>
      <c r="AO59" s="92"/>
      <c r="AP59" s="92"/>
      <c r="AQ59" s="92"/>
      <c r="AR59" s="92"/>
      <c r="AS59" s="92"/>
      <c r="AT59" s="92"/>
      <c r="AU59" s="92"/>
      <c r="AV59" s="92"/>
      <c r="AW59" s="92"/>
      <c r="AX59" s="92"/>
      <c r="AY59" s="92"/>
      <c r="AZ59" s="92"/>
      <c r="BA59" s="92"/>
      <c r="BB59" s="92"/>
      <c r="BC59" s="92"/>
      <c r="BD59" s="92"/>
      <c r="BE59" s="92"/>
      <c r="BF59" s="92"/>
      <c r="BG59" s="92"/>
      <c r="BH59" s="92"/>
      <c r="BI59" s="92"/>
      <c r="BJ59" s="92"/>
      <c r="BK59" s="92"/>
      <c r="BL59" s="92"/>
      <c r="BM59" s="92"/>
      <c r="BN59" s="92"/>
    </row>
    <row r="60" s="49" customFormat="1" ht="18" spans="1:66">
      <c r="A60" s="92"/>
      <c r="B60" s="105"/>
      <c r="D60" s="94"/>
      <c r="E60" s="95"/>
      <c r="F60" s="96"/>
      <c r="G60" s="97"/>
      <c r="H60" s="98"/>
      <c r="I60" s="99"/>
      <c r="J60" s="100"/>
      <c r="K60" s="92"/>
      <c r="L60" s="92"/>
      <c r="M60" s="92"/>
      <c r="N60" s="92"/>
      <c r="O60" s="92"/>
      <c r="P60" s="92"/>
      <c r="Q60" s="92"/>
      <c r="R60" s="92"/>
      <c r="S60" s="92"/>
      <c r="T60" s="92"/>
      <c r="U60" s="92"/>
      <c r="V60" s="92"/>
      <c r="W60" s="92"/>
      <c r="X60" s="92"/>
      <c r="Y60" s="92"/>
      <c r="Z60" s="92"/>
      <c r="AA60" s="92"/>
      <c r="AB60" s="92"/>
      <c r="AC60" s="92"/>
      <c r="AD60" s="92"/>
      <c r="AE60" s="92"/>
      <c r="AF60" s="92"/>
      <c r="AG60" s="92"/>
      <c r="AH60" s="92"/>
      <c r="AI60" s="92"/>
      <c r="AJ60" s="92"/>
      <c r="AK60" s="92"/>
      <c r="AL60" s="92"/>
      <c r="AM60" s="92"/>
      <c r="AN60" s="92"/>
      <c r="AO60" s="92"/>
      <c r="AP60" s="92"/>
      <c r="AQ60" s="92"/>
      <c r="AR60" s="92"/>
      <c r="AS60" s="92"/>
      <c r="AT60" s="92"/>
      <c r="AU60" s="92"/>
      <c r="AV60" s="92"/>
      <c r="AW60" s="92"/>
      <c r="AX60" s="92"/>
      <c r="AY60" s="92"/>
      <c r="AZ60" s="92"/>
      <c r="BA60" s="92"/>
      <c r="BB60" s="92"/>
      <c r="BC60" s="92"/>
      <c r="BD60" s="92"/>
      <c r="BE60" s="92"/>
      <c r="BF60" s="92"/>
      <c r="BG60" s="92"/>
      <c r="BH60" s="92"/>
      <c r="BI60" s="92"/>
      <c r="BJ60" s="92"/>
      <c r="BK60" s="92"/>
      <c r="BL60" s="92"/>
      <c r="BM60" s="92"/>
      <c r="BN60" s="92"/>
    </row>
    <row r="61" s="49" customFormat="1" ht="18" spans="1:66">
      <c r="A61" s="92"/>
      <c r="B61" s="105"/>
      <c r="D61" s="94"/>
      <c r="E61" s="95"/>
      <c r="F61" s="96"/>
      <c r="G61" s="97"/>
      <c r="H61" s="98"/>
      <c r="I61" s="99"/>
      <c r="J61" s="100"/>
      <c r="K61" s="92"/>
      <c r="L61" s="92"/>
      <c r="M61" s="92"/>
      <c r="N61" s="92"/>
      <c r="O61" s="92"/>
      <c r="P61" s="92"/>
      <c r="Q61" s="92"/>
      <c r="R61" s="92"/>
      <c r="S61" s="92"/>
      <c r="T61" s="92"/>
      <c r="U61" s="92"/>
      <c r="V61" s="92"/>
      <c r="W61" s="92"/>
      <c r="X61" s="92"/>
      <c r="Y61" s="92"/>
      <c r="Z61" s="92"/>
      <c r="AA61" s="92"/>
      <c r="AB61" s="92"/>
      <c r="AC61" s="92"/>
      <c r="AD61" s="92"/>
      <c r="AE61" s="92"/>
      <c r="AF61" s="92"/>
      <c r="AG61" s="92"/>
      <c r="AH61" s="92"/>
      <c r="AI61" s="92"/>
      <c r="AJ61" s="92"/>
      <c r="AK61" s="92"/>
      <c r="AL61" s="92"/>
      <c r="AM61" s="92"/>
      <c r="AN61" s="92"/>
      <c r="AO61" s="92"/>
      <c r="AP61" s="92"/>
      <c r="AQ61" s="92"/>
      <c r="AR61" s="92"/>
      <c r="AS61" s="92"/>
      <c r="AT61" s="92"/>
      <c r="AU61" s="92"/>
      <c r="AV61" s="92"/>
      <c r="AW61" s="92"/>
      <c r="AX61" s="92"/>
      <c r="AY61" s="92"/>
      <c r="AZ61" s="92"/>
      <c r="BA61" s="92"/>
      <c r="BB61" s="92"/>
      <c r="BC61" s="92"/>
      <c r="BD61" s="92"/>
      <c r="BE61" s="92"/>
      <c r="BF61" s="92"/>
      <c r="BG61" s="92"/>
      <c r="BH61" s="92"/>
      <c r="BI61" s="92"/>
      <c r="BJ61" s="92"/>
      <c r="BK61" s="92"/>
      <c r="BL61" s="92"/>
      <c r="BM61" s="92"/>
      <c r="BN61" s="92"/>
    </row>
    <row r="62" s="49" customFormat="1" ht="18" spans="1:66">
      <c r="A62" s="92"/>
      <c r="B62" s="105"/>
      <c r="D62" s="94"/>
      <c r="E62" s="95"/>
      <c r="F62" s="96"/>
      <c r="G62" s="97"/>
      <c r="H62" s="98"/>
      <c r="I62" s="99"/>
      <c r="J62" s="100"/>
      <c r="K62" s="92"/>
      <c r="L62" s="92"/>
      <c r="M62" s="92"/>
      <c r="N62" s="92"/>
      <c r="O62" s="92"/>
      <c r="P62" s="92"/>
      <c r="Q62" s="92"/>
      <c r="R62" s="92"/>
      <c r="S62" s="92"/>
      <c r="T62" s="92"/>
      <c r="U62" s="92"/>
      <c r="V62" s="92"/>
      <c r="W62" s="92"/>
      <c r="X62" s="92"/>
      <c r="Y62" s="92"/>
      <c r="Z62" s="92"/>
      <c r="AA62" s="92"/>
      <c r="AB62" s="92"/>
      <c r="AC62" s="92"/>
      <c r="AD62" s="92"/>
      <c r="AE62" s="92"/>
      <c r="AF62" s="92"/>
      <c r="AG62" s="92"/>
      <c r="AH62" s="92"/>
      <c r="AI62" s="92"/>
      <c r="AJ62" s="92"/>
      <c r="AK62" s="92"/>
      <c r="AL62" s="92"/>
      <c r="AM62" s="92"/>
      <c r="AN62" s="92"/>
      <c r="AO62" s="92"/>
      <c r="AP62" s="92"/>
      <c r="AQ62" s="92"/>
      <c r="AR62" s="92"/>
      <c r="AS62" s="92"/>
      <c r="AT62" s="92"/>
      <c r="AU62" s="92"/>
      <c r="AV62" s="92"/>
      <c r="AW62" s="92"/>
      <c r="AX62" s="92"/>
      <c r="AY62" s="92"/>
      <c r="AZ62" s="92"/>
      <c r="BA62" s="92"/>
      <c r="BB62" s="92"/>
      <c r="BC62" s="92"/>
      <c r="BD62" s="92"/>
      <c r="BE62" s="92"/>
      <c r="BF62" s="92"/>
      <c r="BG62" s="92"/>
      <c r="BH62" s="92"/>
      <c r="BI62" s="92"/>
      <c r="BJ62" s="92"/>
      <c r="BK62" s="92"/>
      <c r="BL62" s="92"/>
      <c r="BM62" s="92"/>
      <c r="BN62" s="92"/>
    </row>
    <row r="63" s="49" customFormat="1" ht="18" spans="1:66">
      <c r="A63" s="92"/>
      <c r="B63" s="105"/>
      <c r="D63" s="94"/>
      <c r="E63" s="95"/>
      <c r="F63" s="96"/>
      <c r="G63" s="97"/>
      <c r="H63" s="98"/>
      <c r="I63" s="99"/>
      <c r="J63" s="100"/>
      <c r="K63" s="92"/>
      <c r="L63" s="92"/>
      <c r="M63" s="92"/>
      <c r="N63" s="92"/>
      <c r="O63" s="92"/>
      <c r="P63" s="92"/>
      <c r="Q63" s="92"/>
      <c r="R63" s="92"/>
      <c r="S63" s="92"/>
      <c r="T63" s="92"/>
      <c r="U63" s="92"/>
      <c r="V63" s="92"/>
      <c r="W63" s="92"/>
      <c r="X63" s="92"/>
      <c r="Y63" s="92"/>
      <c r="Z63" s="92"/>
      <c r="AA63" s="92"/>
      <c r="AB63" s="92"/>
      <c r="AC63" s="92"/>
      <c r="AD63" s="92"/>
      <c r="AE63" s="92"/>
      <c r="AF63" s="92"/>
      <c r="AG63" s="92"/>
      <c r="AH63" s="92"/>
      <c r="AI63" s="92"/>
      <c r="AJ63" s="92"/>
      <c r="AK63" s="92"/>
      <c r="AL63" s="92"/>
      <c r="AM63" s="92"/>
      <c r="AN63" s="92"/>
      <c r="AO63" s="92"/>
      <c r="AP63" s="92"/>
      <c r="AQ63" s="92"/>
      <c r="AR63" s="92"/>
      <c r="AS63" s="92"/>
      <c r="AT63" s="92"/>
      <c r="AU63" s="92"/>
      <c r="AV63" s="92"/>
      <c r="AW63" s="92"/>
      <c r="AX63" s="92"/>
      <c r="AY63" s="92"/>
      <c r="AZ63" s="92"/>
      <c r="BA63" s="92"/>
      <c r="BB63" s="92"/>
      <c r="BC63" s="92"/>
      <c r="BD63" s="92"/>
      <c r="BE63" s="92"/>
      <c r="BF63" s="92"/>
      <c r="BG63" s="92"/>
      <c r="BH63" s="92"/>
      <c r="BI63" s="92"/>
      <c r="BJ63" s="92"/>
      <c r="BK63" s="92"/>
      <c r="BL63" s="92"/>
      <c r="BM63" s="92"/>
      <c r="BN63" s="92"/>
    </row>
    <row r="64" s="49" customFormat="1" ht="18" spans="1:66">
      <c r="A64" s="92"/>
      <c r="B64" s="105"/>
      <c r="D64" s="94"/>
      <c r="E64" s="95"/>
      <c r="F64" s="96"/>
      <c r="G64" s="97"/>
      <c r="H64" s="98"/>
      <c r="I64" s="99"/>
      <c r="J64" s="100"/>
      <c r="K64" s="92"/>
      <c r="L64" s="92"/>
      <c r="M64" s="92"/>
      <c r="N64" s="92"/>
      <c r="O64" s="92"/>
      <c r="P64" s="92"/>
      <c r="Q64" s="92"/>
      <c r="R64" s="92"/>
      <c r="S64" s="92"/>
      <c r="T64" s="92"/>
      <c r="U64" s="92"/>
      <c r="V64" s="92"/>
      <c r="W64" s="92"/>
      <c r="X64" s="92"/>
      <c r="Y64" s="92"/>
      <c r="Z64" s="92"/>
      <c r="AA64" s="92"/>
      <c r="AB64" s="92"/>
      <c r="AC64" s="92"/>
      <c r="AD64" s="92"/>
      <c r="AE64" s="92"/>
      <c r="AF64" s="92"/>
      <c r="AG64" s="92"/>
      <c r="AH64" s="92"/>
      <c r="AI64" s="92"/>
      <c r="AJ64" s="92"/>
      <c r="AK64" s="92"/>
      <c r="AL64" s="92"/>
      <c r="AM64" s="92"/>
      <c r="AN64" s="92"/>
      <c r="AO64" s="92"/>
      <c r="AP64" s="92"/>
      <c r="AQ64" s="92"/>
      <c r="AR64" s="92"/>
      <c r="AS64" s="92"/>
      <c r="AT64" s="92"/>
      <c r="AU64" s="92"/>
      <c r="AV64" s="92"/>
      <c r="AW64" s="92"/>
      <c r="AX64" s="92"/>
      <c r="AY64" s="92"/>
      <c r="AZ64" s="92"/>
      <c r="BA64" s="92"/>
      <c r="BB64" s="92"/>
      <c r="BC64" s="92"/>
      <c r="BD64" s="92"/>
      <c r="BE64" s="92"/>
      <c r="BF64" s="92"/>
      <c r="BG64" s="92"/>
      <c r="BH64" s="92"/>
      <c r="BI64" s="92"/>
      <c r="BJ64" s="92"/>
      <c r="BK64" s="92"/>
      <c r="BL64" s="92"/>
      <c r="BM64" s="92"/>
      <c r="BN64" s="92"/>
    </row>
    <row r="65" s="49" customFormat="1" ht="18" spans="1:66">
      <c r="A65" s="92"/>
      <c r="B65" s="105"/>
      <c r="D65" s="94"/>
      <c r="E65" s="95"/>
      <c r="F65" s="96"/>
      <c r="G65" s="97"/>
      <c r="H65" s="98"/>
      <c r="I65" s="99"/>
      <c r="J65" s="100"/>
      <c r="K65" s="92"/>
      <c r="L65" s="92"/>
      <c r="M65" s="92"/>
      <c r="N65" s="92"/>
      <c r="O65" s="92"/>
      <c r="P65" s="92"/>
      <c r="Q65" s="92"/>
      <c r="R65" s="92"/>
      <c r="S65" s="92"/>
      <c r="T65" s="92"/>
      <c r="U65" s="92"/>
      <c r="V65" s="92"/>
      <c r="W65" s="92"/>
      <c r="X65" s="92"/>
      <c r="Y65" s="92"/>
      <c r="Z65" s="92"/>
      <c r="AA65" s="92"/>
      <c r="AB65" s="92"/>
      <c r="AC65" s="92"/>
      <c r="AD65" s="92"/>
      <c r="AE65" s="92"/>
      <c r="AF65" s="92"/>
      <c r="AG65" s="92"/>
      <c r="AH65" s="92"/>
      <c r="AI65" s="92"/>
      <c r="AJ65" s="92"/>
      <c r="AK65" s="92"/>
      <c r="AL65" s="92"/>
      <c r="AM65" s="92"/>
      <c r="AN65" s="92"/>
      <c r="AO65" s="92"/>
      <c r="AP65" s="92"/>
      <c r="AQ65" s="92"/>
      <c r="AR65" s="92"/>
      <c r="AS65" s="92"/>
      <c r="AT65" s="92"/>
      <c r="AU65" s="92"/>
      <c r="AV65" s="92"/>
      <c r="AW65" s="92"/>
      <c r="AX65" s="92"/>
      <c r="AY65" s="92"/>
      <c r="AZ65" s="92"/>
      <c r="BA65" s="92"/>
      <c r="BB65" s="92"/>
      <c r="BC65" s="92"/>
      <c r="BD65" s="92"/>
      <c r="BE65" s="92"/>
      <c r="BF65" s="92"/>
      <c r="BG65" s="92"/>
      <c r="BH65" s="92"/>
      <c r="BI65" s="92"/>
      <c r="BJ65" s="92"/>
      <c r="BK65" s="92"/>
      <c r="BL65" s="92"/>
      <c r="BM65" s="92"/>
      <c r="BN65" s="92"/>
    </row>
    <row r="66" s="49" customFormat="1" ht="18" spans="1:66">
      <c r="A66" s="92"/>
      <c r="B66" s="105"/>
      <c r="D66" s="94"/>
      <c r="E66" s="95"/>
      <c r="F66" s="96"/>
      <c r="G66" s="97"/>
      <c r="H66" s="98"/>
      <c r="I66" s="99"/>
      <c r="J66" s="100"/>
      <c r="K66" s="92"/>
      <c r="L66" s="92"/>
      <c r="M66" s="92"/>
      <c r="N66" s="92"/>
      <c r="O66" s="92"/>
      <c r="P66" s="92"/>
      <c r="Q66" s="92"/>
      <c r="R66" s="92"/>
      <c r="S66" s="92"/>
      <c r="T66" s="92"/>
      <c r="U66" s="92"/>
      <c r="V66" s="92"/>
      <c r="W66" s="92"/>
      <c r="X66" s="92"/>
      <c r="Y66" s="92"/>
      <c r="Z66" s="92"/>
      <c r="AA66" s="92"/>
      <c r="AB66" s="92"/>
      <c r="AC66" s="92"/>
      <c r="AD66" s="92"/>
      <c r="AE66" s="92"/>
      <c r="AF66" s="92"/>
      <c r="AG66" s="92"/>
      <c r="AH66" s="92"/>
      <c r="AI66" s="92"/>
      <c r="AJ66" s="92"/>
      <c r="AK66" s="92"/>
      <c r="AL66" s="92"/>
      <c r="AM66" s="92"/>
      <c r="AN66" s="92"/>
      <c r="AO66" s="92"/>
      <c r="AP66" s="92"/>
      <c r="AQ66" s="92"/>
      <c r="AR66" s="92"/>
      <c r="AS66" s="92"/>
      <c r="AT66" s="92"/>
      <c r="AU66" s="92"/>
      <c r="AV66" s="92"/>
      <c r="AW66" s="92"/>
      <c r="AX66" s="92"/>
      <c r="AY66" s="92"/>
      <c r="AZ66" s="92"/>
      <c r="BA66" s="92"/>
      <c r="BB66" s="92"/>
      <c r="BC66" s="92"/>
      <c r="BD66" s="92"/>
      <c r="BE66" s="92"/>
      <c r="BF66" s="92"/>
      <c r="BG66" s="92"/>
      <c r="BH66" s="92"/>
      <c r="BI66" s="92"/>
      <c r="BJ66" s="92"/>
      <c r="BK66" s="92"/>
      <c r="BL66" s="92"/>
      <c r="BM66" s="92"/>
      <c r="BN66" s="92"/>
    </row>
    <row r="67" s="49" customFormat="1" ht="18" spans="1:66">
      <c r="A67" s="92"/>
      <c r="B67" s="105"/>
      <c r="D67" s="94"/>
      <c r="E67" s="95"/>
      <c r="F67" s="96"/>
      <c r="G67" s="97"/>
      <c r="H67" s="98"/>
      <c r="I67" s="99"/>
      <c r="J67" s="100"/>
      <c r="K67" s="92"/>
      <c r="L67" s="92"/>
      <c r="M67" s="92"/>
      <c r="N67" s="92"/>
      <c r="O67" s="92"/>
      <c r="P67" s="92"/>
      <c r="Q67" s="92"/>
      <c r="R67" s="92"/>
      <c r="S67" s="92"/>
      <c r="T67" s="92"/>
      <c r="U67" s="92"/>
      <c r="V67" s="92"/>
      <c r="W67" s="92"/>
      <c r="X67" s="92"/>
      <c r="Y67" s="92"/>
      <c r="Z67" s="92"/>
      <c r="AA67" s="92"/>
      <c r="AB67" s="92"/>
      <c r="AC67" s="92"/>
      <c r="AD67" s="92"/>
      <c r="AE67" s="92"/>
      <c r="AF67" s="92"/>
      <c r="AG67" s="92"/>
      <c r="AH67" s="92"/>
      <c r="AI67" s="92"/>
      <c r="AJ67" s="92"/>
      <c r="AK67" s="92"/>
      <c r="AL67" s="92"/>
      <c r="AM67" s="92"/>
      <c r="AN67" s="92"/>
      <c r="AO67" s="92"/>
      <c r="AP67" s="92"/>
      <c r="AQ67" s="92"/>
      <c r="AR67" s="92"/>
      <c r="AS67" s="92"/>
      <c r="AT67" s="92"/>
      <c r="AU67" s="92"/>
      <c r="AV67" s="92"/>
      <c r="AW67" s="92"/>
      <c r="AX67" s="92"/>
      <c r="AY67" s="92"/>
      <c r="AZ67" s="92"/>
      <c r="BA67" s="92"/>
      <c r="BB67" s="92"/>
      <c r="BC67" s="92"/>
      <c r="BD67" s="92"/>
      <c r="BE67" s="92"/>
      <c r="BF67" s="92"/>
      <c r="BG67" s="92"/>
      <c r="BH67" s="92"/>
      <c r="BI67" s="92"/>
      <c r="BJ67" s="92"/>
      <c r="BK67" s="92"/>
      <c r="BL67" s="92"/>
      <c r="BM67" s="92"/>
      <c r="BN67" s="92"/>
    </row>
    <row r="68" s="49" customFormat="1" ht="18" spans="1:66">
      <c r="A68" s="92"/>
      <c r="B68" s="105"/>
      <c r="D68" s="94"/>
      <c r="E68" s="95"/>
      <c r="F68" s="96"/>
      <c r="G68" s="97"/>
      <c r="H68" s="98"/>
      <c r="I68" s="99"/>
      <c r="J68" s="100"/>
      <c r="K68" s="92"/>
      <c r="L68" s="92"/>
      <c r="M68" s="92"/>
      <c r="N68" s="92"/>
      <c r="O68" s="92"/>
      <c r="P68" s="92"/>
      <c r="Q68" s="92"/>
      <c r="R68" s="92"/>
      <c r="S68" s="92"/>
      <c r="T68" s="92"/>
      <c r="U68" s="92"/>
      <c r="V68" s="92"/>
      <c r="W68" s="92"/>
      <c r="X68" s="92"/>
      <c r="Y68" s="92"/>
      <c r="Z68" s="92"/>
      <c r="AA68" s="92"/>
      <c r="AB68" s="92"/>
      <c r="AC68" s="92"/>
      <c r="AD68" s="92"/>
      <c r="AE68" s="92"/>
      <c r="AF68" s="92"/>
      <c r="AG68" s="92"/>
      <c r="AH68" s="92"/>
      <c r="AI68" s="92"/>
      <c r="AJ68" s="92"/>
      <c r="AK68" s="92"/>
      <c r="AL68" s="92"/>
      <c r="AM68" s="92"/>
      <c r="AN68" s="92"/>
      <c r="AO68" s="92"/>
      <c r="AP68" s="92"/>
      <c r="AQ68" s="92"/>
      <c r="AR68" s="92"/>
      <c r="AS68" s="92"/>
      <c r="AT68" s="92"/>
      <c r="AU68" s="92"/>
      <c r="AV68" s="92"/>
      <c r="AW68" s="92"/>
      <c r="AX68" s="92"/>
      <c r="AY68" s="92"/>
      <c r="AZ68" s="92"/>
      <c r="BA68" s="92"/>
      <c r="BB68" s="92"/>
      <c r="BC68" s="92"/>
      <c r="BD68" s="92"/>
      <c r="BE68" s="92"/>
      <c r="BF68" s="92"/>
      <c r="BG68" s="92"/>
      <c r="BH68" s="92"/>
      <c r="BI68" s="92"/>
      <c r="BJ68" s="92"/>
      <c r="BK68" s="92"/>
      <c r="BL68" s="92"/>
      <c r="BM68" s="92"/>
      <c r="BN68" s="92"/>
    </row>
    <row r="69" s="49" customFormat="1" ht="18" spans="1:66">
      <c r="A69" s="92"/>
      <c r="B69" s="105"/>
      <c r="D69" s="94"/>
      <c r="E69" s="95"/>
      <c r="F69" s="96"/>
      <c r="G69" s="97"/>
      <c r="H69" s="98"/>
      <c r="I69" s="99"/>
      <c r="J69" s="100"/>
      <c r="K69" s="92"/>
      <c r="L69" s="92"/>
      <c r="M69" s="92"/>
      <c r="N69" s="92"/>
      <c r="O69" s="92"/>
      <c r="P69" s="92"/>
      <c r="Q69" s="92"/>
      <c r="R69" s="92"/>
      <c r="S69" s="92"/>
      <c r="T69" s="92"/>
      <c r="U69" s="92"/>
      <c r="V69" s="92"/>
      <c r="W69" s="92"/>
      <c r="X69" s="92"/>
      <c r="Y69" s="92"/>
      <c r="Z69" s="92"/>
      <c r="AA69" s="92"/>
      <c r="AB69" s="92"/>
      <c r="AC69" s="92"/>
      <c r="AD69" s="92"/>
      <c r="AE69" s="92"/>
      <c r="AF69" s="92"/>
      <c r="AG69" s="92"/>
      <c r="AH69" s="92"/>
      <c r="AI69" s="92"/>
      <c r="AJ69" s="92"/>
      <c r="AK69" s="92"/>
      <c r="AL69" s="92"/>
      <c r="AM69" s="92"/>
      <c r="AN69" s="92"/>
      <c r="AO69" s="92"/>
      <c r="AP69" s="92"/>
      <c r="AQ69" s="92"/>
      <c r="AR69" s="92"/>
      <c r="AS69" s="92"/>
      <c r="AT69" s="92"/>
      <c r="AU69" s="92"/>
      <c r="AV69" s="92"/>
      <c r="AW69" s="92"/>
      <c r="AX69" s="92"/>
      <c r="AY69" s="92"/>
      <c r="AZ69" s="92"/>
      <c r="BA69" s="92"/>
      <c r="BB69" s="92"/>
      <c r="BC69" s="92"/>
      <c r="BD69" s="92"/>
      <c r="BE69" s="92"/>
      <c r="BF69" s="92"/>
      <c r="BG69" s="92"/>
      <c r="BH69" s="92"/>
      <c r="BI69" s="92"/>
      <c r="BJ69" s="92"/>
      <c r="BK69" s="92"/>
      <c r="BL69" s="92"/>
      <c r="BM69" s="92"/>
      <c r="BN69" s="92"/>
    </row>
    <row r="70" s="49" customFormat="1" ht="18" spans="1:66">
      <c r="A70" s="92"/>
      <c r="B70" s="105"/>
      <c r="D70" s="94"/>
      <c r="E70" s="95"/>
      <c r="F70" s="96"/>
      <c r="G70" s="97"/>
      <c r="H70" s="98"/>
      <c r="I70" s="99"/>
      <c r="J70" s="100"/>
      <c r="K70" s="92"/>
      <c r="L70" s="92"/>
      <c r="M70" s="92"/>
      <c r="N70" s="92"/>
      <c r="O70" s="92"/>
      <c r="P70" s="92"/>
      <c r="Q70" s="92"/>
      <c r="R70" s="92"/>
      <c r="S70" s="92"/>
      <c r="T70" s="92"/>
      <c r="U70" s="92"/>
      <c r="V70" s="92"/>
      <c r="W70" s="92"/>
      <c r="X70" s="92"/>
      <c r="Y70" s="92"/>
      <c r="Z70" s="92"/>
      <c r="AA70" s="92"/>
      <c r="AB70" s="92"/>
      <c r="AC70" s="92"/>
      <c r="AD70" s="92"/>
      <c r="AE70" s="92"/>
      <c r="AF70" s="92"/>
      <c r="AG70" s="92"/>
      <c r="AH70" s="92"/>
      <c r="AI70" s="92"/>
      <c r="AJ70" s="92"/>
      <c r="AK70" s="92"/>
      <c r="AL70" s="92"/>
      <c r="AM70" s="92"/>
      <c r="AN70" s="92"/>
      <c r="AO70" s="92"/>
      <c r="AP70" s="92"/>
      <c r="AQ70" s="92"/>
      <c r="AR70" s="92"/>
      <c r="AS70" s="92"/>
      <c r="AT70" s="92"/>
      <c r="AU70" s="92"/>
      <c r="AV70" s="92"/>
      <c r="AW70" s="92"/>
      <c r="AX70" s="92"/>
      <c r="AY70" s="92"/>
      <c r="AZ70" s="92"/>
      <c r="BA70" s="92"/>
      <c r="BB70" s="92"/>
      <c r="BC70" s="92"/>
      <c r="BD70" s="92"/>
      <c r="BE70" s="92"/>
      <c r="BF70" s="92"/>
      <c r="BG70" s="92"/>
      <c r="BH70" s="92"/>
      <c r="BI70" s="92"/>
      <c r="BJ70" s="92"/>
      <c r="BK70" s="92"/>
      <c r="BL70" s="92"/>
      <c r="BM70" s="92"/>
      <c r="BN70" s="92"/>
    </row>
    <row r="71" s="49" customFormat="1" ht="18" spans="1:66">
      <c r="A71" s="92"/>
      <c r="B71" s="105"/>
      <c r="D71" s="94"/>
      <c r="E71" s="95"/>
      <c r="F71" s="96"/>
      <c r="G71" s="97"/>
      <c r="H71" s="98"/>
      <c r="I71" s="99"/>
      <c r="J71" s="100"/>
      <c r="K71" s="92"/>
      <c r="L71" s="92"/>
      <c r="M71" s="92"/>
      <c r="N71" s="92"/>
      <c r="O71" s="92"/>
      <c r="P71" s="92"/>
      <c r="Q71" s="92"/>
      <c r="R71" s="92"/>
      <c r="S71" s="92"/>
      <c r="T71" s="92"/>
      <c r="U71" s="92"/>
      <c r="V71" s="92"/>
      <c r="W71" s="92"/>
      <c r="X71" s="92"/>
      <c r="Y71" s="92"/>
      <c r="Z71" s="92"/>
      <c r="AA71" s="92"/>
      <c r="AB71" s="92"/>
      <c r="AC71" s="92"/>
      <c r="AD71" s="92"/>
      <c r="AE71" s="92"/>
      <c r="AF71" s="92"/>
      <c r="AG71" s="92"/>
      <c r="AH71" s="92"/>
      <c r="AI71" s="92"/>
      <c r="AJ71" s="92"/>
      <c r="AK71" s="92"/>
      <c r="AL71" s="92"/>
      <c r="AM71" s="92"/>
      <c r="AN71" s="92"/>
      <c r="AO71" s="92"/>
      <c r="AP71" s="92"/>
      <c r="AQ71" s="92"/>
      <c r="AR71" s="92"/>
      <c r="AS71" s="92"/>
      <c r="AT71" s="92"/>
      <c r="AU71" s="92"/>
      <c r="AV71" s="92"/>
      <c r="AW71" s="92"/>
      <c r="AX71" s="92"/>
      <c r="AY71" s="92"/>
      <c r="AZ71" s="92"/>
      <c r="BA71" s="92"/>
      <c r="BB71" s="92"/>
      <c r="BC71" s="92"/>
      <c r="BD71" s="92"/>
      <c r="BE71" s="92"/>
      <c r="BF71" s="92"/>
      <c r="BG71" s="92"/>
      <c r="BH71" s="92"/>
      <c r="BI71" s="92"/>
      <c r="BJ71" s="92"/>
      <c r="BK71" s="92"/>
      <c r="BL71" s="92"/>
      <c r="BM71" s="92"/>
      <c r="BN71" s="92"/>
    </row>
    <row r="72" s="49" customFormat="1" ht="18" spans="1:66">
      <c r="A72" s="92"/>
      <c r="B72" s="105"/>
      <c r="D72" s="94"/>
      <c r="E72" s="95"/>
      <c r="F72" s="96"/>
      <c r="G72" s="97"/>
      <c r="H72" s="98"/>
      <c r="I72" s="99"/>
      <c r="J72" s="100"/>
      <c r="K72" s="92"/>
      <c r="L72" s="92"/>
      <c r="M72" s="92"/>
      <c r="N72" s="92"/>
      <c r="O72" s="92"/>
      <c r="P72" s="92"/>
      <c r="Q72" s="92"/>
      <c r="R72" s="92"/>
      <c r="S72" s="92"/>
      <c r="T72" s="92"/>
      <c r="U72" s="92"/>
      <c r="V72" s="92"/>
      <c r="W72" s="92"/>
      <c r="X72" s="92"/>
      <c r="Y72" s="92"/>
      <c r="Z72" s="92"/>
      <c r="AA72" s="92"/>
      <c r="AB72" s="92"/>
      <c r="AC72" s="92"/>
      <c r="AD72" s="92"/>
      <c r="AE72" s="92"/>
      <c r="AF72" s="92"/>
      <c r="AG72" s="92"/>
      <c r="AH72" s="92"/>
      <c r="AI72" s="92"/>
      <c r="AJ72" s="92"/>
      <c r="AK72" s="92"/>
      <c r="AL72" s="92"/>
      <c r="AM72" s="92"/>
      <c r="AN72" s="92"/>
      <c r="AO72" s="92"/>
      <c r="AP72" s="92"/>
      <c r="AQ72" s="92"/>
      <c r="AR72" s="92"/>
      <c r="AS72" s="92"/>
      <c r="AT72" s="92"/>
      <c r="AU72" s="92"/>
      <c r="AV72" s="92"/>
      <c r="AW72" s="92"/>
      <c r="AX72" s="92"/>
      <c r="AY72" s="92"/>
      <c r="AZ72" s="92"/>
      <c r="BA72" s="92"/>
      <c r="BB72" s="92"/>
      <c r="BC72" s="92"/>
      <c r="BD72" s="92"/>
      <c r="BE72" s="92"/>
      <c r="BF72" s="92"/>
      <c r="BG72" s="92"/>
      <c r="BH72" s="92"/>
      <c r="BI72" s="92"/>
      <c r="BJ72" s="92"/>
      <c r="BK72" s="92"/>
      <c r="BL72" s="92"/>
      <c r="BM72" s="92"/>
      <c r="BN72" s="92"/>
    </row>
    <row r="73" s="49" customFormat="1" ht="18" spans="1:66">
      <c r="A73" s="92"/>
      <c r="B73" s="105"/>
      <c r="D73" s="94"/>
      <c r="E73" s="95"/>
      <c r="F73" s="96"/>
      <c r="G73" s="97"/>
      <c r="H73" s="98"/>
      <c r="I73" s="99"/>
      <c r="J73" s="100"/>
      <c r="K73" s="92"/>
      <c r="L73" s="92"/>
      <c r="M73" s="92"/>
      <c r="N73" s="92"/>
      <c r="O73" s="92"/>
      <c r="P73" s="92"/>
      <c r="Q73" s="92"/>
      <c r="R73" s="92"/>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2"/>
      <c r="AR73" s="92"/>
      <c r="AS73" s="92"/>
      <c r="AT73" s="92"/>
      <c r="AU73" s="92"/>
      <c r="AV73" s="92"/>
      <c r="AW73" s="92"/>
      <c r="AX73" s="92"/>
      <c r="AY73" s="92"/>
      <c r="AZ73" s="92"/>
      <c r="BA73" s="92"/>
      <c r="BB73" s="92"/>
      <c r="BC73" s="92"/>
      <c r="BD73" s="92"/>
      <c r="BE73" s="92"/>
      <c r="BF73" s="92"/>
      <c r="BG73" s="92"/>
      <c r="BH73" s="92"/>
      <c r="BI73" s="92"/>
      <c r="BJ73" s="92"/>
      <c r="BK73" s="92"/>
      <c r="BL73" s="92"/>
      <c r="BM73" s="92"/>
      <c r="BN73" s="92"/>
    </row>
    <row r="74" s="49" customFormat="1" ht="18" spans="1:66">
      <c r="A74" s="92"/>
      <c r="B74" s="105"/>
      <c r="D74" s="94"/>
      <c r="E74" s="95"/>
      <c r="F74" s="96"/>
      <c r="G74" s="97"/>
      <c r="H74" s="98"/>
      <c r="I74" s="99"/>
      <c r="J74" s="100"/>
      <c r="K74" s="92"/>
      <c r="L74" s="92"/>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2"/>
      <c r="AL74" s="92"/>
      <c r="AM74" s="92"/>
      <c r="AN74" s="92"/>
      <c r="AO74" s="92"/>
      <c r="AP74" s="92"/>
      <c r="AQ74" s="92"/>
      <c r="AR74" s="92"/>
      <c r="AS74" s="92"/>
      <c r="AT74" s="92"/>
      <c r="AU74" s="92"/>
      <c r="AV74" s="92"/>
      <c r="AW74" s="92"/>
      <c r="AX74" s="92"/>
      <c r="AY74" s="92"/>
      <c r="AZ74" s="92"/>
      <c r="BA74" s="92"/>
      <c r="BB74" s="92"/>
      <c r="BC74" s="92"/>
      <c r="BD74" s="92"/>
      <c r="BE74" s="92"/>
      <c r="BF74" s="92"/>
      <c r="BG74" s="92"/>
      <c r="BH74" s="92"/>
      <c r="BI74" s="92"/>
      <c r="BJ74" s="92"/>
      <c r="BK74" s="92"/>
      <c r="BL74" s="92"/>
      <c r="BM74" s="92"/>
      <c r="BN74" s="92"/>
    </row>
    <row r="75" s="49" customFormat="1" ht="18" spans="1:66">
      <c r="A75" s="92"/>
      <c r="B75" s="105"/>
      <c r="D75" s="94"/>
      <c r="E75" s="95"/>
      <c r="F75" s="96"/>
      <c r="G75" s="97"/>
      <c r="H75" s="98"/>
      <c r="I75" s="99"/>
      <c r="J75" s="100"/>
      <c r="K75" s="92"/>
      <c r="L75" s="92"/>
      <c r="M75" s="92"/>
      <c r="N75" s="92"/>
      <c r="O75" s="92"/>
      <c r="P75" s="92"/>
      <c r="Q75" s="92"/>
      <c r="R75" s="92"/>
      <c r="S75" s="92"/>
      <c r="T75" s="92"/>
      <c r="U75" s="92"/>
      <c r="V75" s="92"/>
      <c r="W75" s="92"/>
      <c r="X75" s="92"/>
      <c r="Y75" s="92"/>
      <c r="Z75" s="92"/>
      <c r="AA75" s="92"/>
      <c r="AB75" s="92"/>
      <c r="AC75" s="92"/>
      <c r="AD75" s="92"/>
      <c r="AE75" s="92"/>
      <c r="AF75" s="92"/>
      <c r="AG75" s="92"/>
      <c r="AH75" s="92"/>
      <c r="AI75" s="92"/>
      <c r="AJ75" s="92"/>
      <c r="AK75" s="92"/>
      <c r="AL75" s="92"/>
      <c r="AM75" s="92"/>
      <c r="AN75" s="92"/>
      <c r="AO75" s="92"/>
      <c r="AP75" s="92"/>
      <c r="AQ75" s="92"/>
      <c r="AR75" s="92"/>
      <c r="AS75" s="92"/>
      <c r="AT75" s="92"/>
      <c r="AU75" s="92"/>
      <c r="AV75" s="92"/>
      <c r="AW75" s="92"/>
      <c r="AX75" s="92"/>
      <c r="AY75" s="92"/>
      <c r="AZ75" s="92"/>
      <c r="BA75" s="92"/>
      <c r="BB75" s="92"/>
      <c r="BC75" s="92"/>
      <c r="BD75" s="92"/>
      <c r="BE75" s="92"/>
      <c r="BF75" s="92"/>
      <c r="BG75" s="92"/>
      <c r="BH75" s="92"/>
      <c r="BI75" s="92"/>
      <c r="BJ75" s="92"/>
      <c r="BK75" s="92"/>
      <c r="BL75" s="92"/>
      <c r="BM75" s="92"/>
      <c r="BN75" s="92"/>
    </row>
    <row r="76" s="49" customFormat="1" ht="18" spans="1:66">
      <c r="A76" s="92"/>
      <c r="B76" s="105"/>
      <c r="D76" s="94"/>
      <c r="E76" s="95"/>
      <c r="F76" s="96"/>
      <c r="G76" s="97"/>
      <c r="H76" s="98"/>
      <c r="I76" s="99"/>
      <c r="J76" s="100"/>
      <c r="K76" s="92"/>
      <c r="L76" s="92"/>
      <c r="M76" s="92"/>
      <c r="N76" s="92"/>
      <c r="O76" s="92"/>
      <c r="P76" s="92"/>
      <c r="Q76" s="92"/>
      <c r="R76" s="92"/>
      <c r="S76" s="92"/>
      <c r="T76" s="92"/>
      <c r="U76" s="92"/>
      <c r="V76" s="92"/>
      <c r="W76" s="92"/>
      <c r="X76" s="92"/>
      <c r="Y76" s="92"/>
      <c r="Z76" s="92"/>
      <c r="AA76" s="92"/>
      <c r="AB76" s="92"/>
      <c r="AC76" s="92"/>
      <c r="AD76" s="92"/>
      <c r="AE76" s="92"/>
      <c r="AF76" s="92"/>
      <c r="AG76" s="92"/>
      <c r="AH76" s="92"/>
      <c r="AI76" s="92"/>
      <c r="AJ76" s="92"/>
      <c r="AK76" s="92"/>
      <c r="AL76" s="92"/>
      <c r="AM76" s="92"/>
      <c r="AN76" s="92"/>
      <c r="AO76" s="92"/>
      <c r="AP76" s="92"/>
      <c r="AQ76" s="92"/>
      <c r="AR76" s="92"/>
      <c r="AS76" s="92"/>
      <c r="AT76" s="92"/>
      <c r="AU76" s="92"/>
      <c r="AV76" s="92"/>
      <c r="AW76" s="92"/>
      <c r="AX76" s="92"/>
      <c r="AY76" s="92"/>
      <c r="AZ76" s="92"/>
      <c r="BA76" s="92"/>
      <c r="BB76" s="92"/>
      <c r="BC76" s="92"/>
      <c r="BD76" s="92"/>
      <c r="BE76" s="92"/>
      <c r="BF76" s="92"/>
      <c r="BG76" s="92"/>
      <c r="BH76" s="92"/>
      <c r="BI76" s="92"/>
      <c r="BJ76" s="92"/>
      <c r="BK76" s="92"/>
      <c r="BL76" s="92"/>
      <c r="BM76" s="92"/>
      <c r="BN76" s="92"/>
    </row>
    <row r="77" s="49" customFormat="1" ht="18" spans="1:66">
      <c r="A77" s="92"/>
      <c r="B77" s="105"/>
      <c r="D77" s="94"/>
      <c r="E77" s="95"/>
      <c r="F77" s="96"/>
      <c r="G77" s="97"/>
      <c r="H77" s="98"/>
      <c r="I77" s="99"/>
      <c r="J77" s="100"/>
      <c r="K77" s="92"/>
      <c r="L77" s="92"/>
      <c r="M77" s="92"/>
      <c r="N77" s="92"/>
      <c r="O77" s="92"/>
      <c r="P77" s="92"/>
      <c r="Q77" s="92"/>
      <c r="R77" s="92"/>
      <c r="S77" s="92"/>
      <c r="T77" s="92"/>
      <c r="U77" s="92"/>
      <c r="V77" s="92"/>
      <c r="W77" s="92"/>
      <c r="X77" s="92"/>
      <c r="Y77" s="92"/>
      <c r="Z77" s="92"/>
      <c r="AA77" s="92"/>
      <c r="AB77" s="92"/>
      <c r="AC77" s="92"/>
      <c r="AD77" s="92"/>
      <c r="AE77" s="92"/>
      <c r="AF77" s="92"/>
      <c r="AG77" s="92"/>
      <c r="AH77" s="92"/>
      <c r="AI77" s="92"/>
      <c r="AJ77" s="92"/>
      <c r="AK77" s="92"/>
      <c r="AL77" s="92"/>
      <c r="AM77" s="92"/>
      <c r="AN77" s="92"/>
      <c r="AO77" s="92"/>
      <c r="AP77" s="92"/>
      <c r="AQ77" s="92"/>
      <c r="AR77" s="92"/>
      <c r="AS77" s="92"/>
      <c r="AT77" s="92"/>
      <c r="AU77" s="92"/>
      <c r="AV77" s="92"/>
      <c r="AW77" s="92"/>
      <c r="AX77" s="92"/>
      <c r="AY77" s="92"/>
      <c r="AZ77" s="92"/>
      <c r="BA77" s="92"/>
      <c r="BB77" s="92"/>
      <c r="BC77" s="92"/>
      <c r="BD77" s="92"/>
      <c r="BE77" s="92"/>
      <c r="BF77" s="92"/>
      <c r="BG77" s="92"/>
      <c r="BH77" s="92"/>
      <c r="BI77" s="92"/>
      <c r="BJ77" s="92"/>
      <c r="BK77" s="92"/>
      <c r="BL77" s="92"/>
      <c r="BM77" s="92"/>
      <c r="BN77" s="92"/>
    </row>
    <row r="78" s="48" customFormat="1" ht="18" hidden="1" spans="1:66">
      <c r="A78" s="106" t="str">
        <f>IF(ISERROR(VALUE(SUBSTITUTE(prevWBS,".",""))),"1",IF(ISERROR(FIND("`",SUBSTITUTE(prevWBS,".","`",1))),TEXT(VALUE(prevWBS)+1,"#"),TEXT(VALUE(LEFT(prevWBS,FIND("`",SUBSTITUTE(prevWBS,".","`",1))-1))+1,"#")))</f>
        <v>1</v>
      </c>
      <c r="B78" s="107" t="s">
        <v>68</v>
      </c>
      <c r="D78" s="108"/>
      <c r="E78" s="109"/>
      <c r="F78" s="109" t="str">
        <f t="shared" ref="F78:F83" si="32">IF(ISBLANK(E78)," - ",IF(G78=0,E78,E78+G78-1))</f>
        <v> - </v>
      </c>
      <c r="G78" s="110"/>
      <c r="H78" s="111"/>
      <c r="I78" s="112" t="str">
        <f t="shared" ref="I78:I83" si="33">IF(OR(F78=0,E78=0)," - ",NETWORKDAYS(E78,F78))</f>
        <v> - </v>
      </c>
      <c r="J78" s="113"/>
      <c r="K78" s="114"/>
      <c r="L78" s="114"/>
      <c r="M78" s="114"/>
      <c r="N78" s="114"/>
      <c r="O78" s="114"/>
      <c r="P78" s="114"/>
      <c r="Q78" s="114"/>
      <c r="R78" s="114"/>
      <c r="S78" s="114"/>
      <c r="T78" s="114"/>
      <c r="U78" s="114"/>
      <c r="V78" s="114"/>
      <c r="W78" s="114"/>
      <c r="X78" s="114"/>
      <c r="Y78" s="114"/>
      <c r="Z78" s="114"/>
      <c r="AA78" s="114"/>
      <c r="AB78" s="114"/>
      <c r="AC78" s="114"/>
      <c r="AD78" s="114"/>
      <c r="AE78" s="114"/>
      <c r="AF78" s="114"/>
      <c r="AG78" s="114"/>
      <c r="AH78" s="114"/>
      <c r="AI78" s="114"/>
      <c r="AJ78" s="114"/>
      <c r="AK78" s="114"/>
      <c r="AL78" s="114"/>
      <c r="AM78" s="114"/>
      <c r="AN78" s="114"/>
      <c r="AO78" s="114"/>
      <c r="AP78" s="114"/>
      <c r="AQ78" s="114"/>
      <c r="AR78" s="114"/>
      <c r="AS78" s="114"/>
      <c r="AT78" s="114"/>
      <c r="AU78" s="114"/>
      <c r="AV78" s="114"/>
      <c r="AW78" s="114"/>
      <c r="AX78" s="114"/>
      <c r="AY78" s="114"/>
      <c r="AZ78" s="114"/>
      <c r="BA78" s="114"/>
      <c r="BB78" s="114"/>
      <c r="BC78" s="114"/>
      <c r="BD78" s="114"/>
      <c r="BE78" s="114"/>
      <c r="BF78" s="114"/>
      <c r="BG78" s="114"/>
      <c r="BH78" s="114"/>
      <c r="BI78" s="114"/>
      <c r="BJ78" s="114"/>
      <c r="BK78" s="114"/>
      <c r="BL78" s="114"/>
      <c r="BM78" s="114"/>
      <c r="BN78" s="114"/>
    </row>
    <row r="79" s="49" customFormat="1" ht="18" hidden="1" spans="1:66">
      <c r="A79" s="92" t="str">
        <f t="shared" ref="A79:A117" si="34">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79" s="105" t="s">
        <v>69</v>
      </c>
      <c r="C79" s="49" t="s">
        <v>70</v>
      </c>
      <c r="D79" s="94"/>
      <c r="E79" s="95">
        <v>46057</v>
      </c>
      <c r="F79" s="96">
        <f t="shared" si="32"/>
        <v>46063</v>
      </c>
      <c r="G79" s="97">
        <v>7</v>
      </c>
      <c r="H79" s="98">
        <v>0</v>
      </c>
      <c r="I79" s="99">
        <f t="shared" si="33"/>
        <v>5</v>
      </c>
      <c r="J79" s="100"/>
      <c r="K79" s="92"/>
      <c r="L79" s="92"/>
      <c r="M79" s="92"/>
      <c r="N79" s="92"/>
      <c r="O79" s="92"/>
      <c r="P79" s="92"/>
      <c r="Q79" s="92"/>
      <c r="R79" s="92"/>
      <c r="S79" s="92"/>
      <c r="T79" s="92"/>
      <c r="U79" s="92"/>
      <c r="V79" s="92"/>
      <c r="W79" s="92"/>
      <c r="X79" s="92"/>
      <c r="Y79" s="92"/>
      <c r="Z79" s="92"/>
      <c r="AA79" s="92"/>
      <c r="AB79" s="92"/>
      <c r="AC79" s="92"/>
      <c r="AD79" s="92"/>
      <c r="AE79" s="92"/>
      <c r="AF79" s="92"/>
      <c r="AG79" s="92"/>
      <c r="AH79" s="92"/>
      <c r="AI79" s="92"/>
      <c r="AJ79" s="92"/>
      <c r="AK79" s="92"/>
      <c r="AL79" s="92"/>
      <c r="AM79" s="92"/>
      <c r="AN79" s="92"/>
      <c r="AO79" s="92"/>
      <c r="AP79" s="92"/>
      <c r="AQ79" s="92"/>
      <c r="AR79" s="92"/>
      <c r="AS79" s="92"/>
      <c r="AT79" s="92"/>
      <c r="AU79" s="92"/>
      <c r="AV79" s="92"/>
      <c r="AW79" s="92"/>
      <c r="AX79" s="92"/>
      <c r="AY79" s="92"/>
      <c r="AZ79" s="92"/>
      <c r="BA79" s="92"/>
      <c r="BB79" s="92"/>
      <c r="BC79" s="92"/>
      <c r="BD79" s="92"/>
      <c r="BE79" s="92"/>
      <c r="BF79" s="92"/>
      <c r="BG79" s="92"/>
      <c r="BH79" s="92"/>
      <c r="BI79" s="92"/>
      <c r="BJ79" s="92"/>
      <c r="BK79" s="92"/>
      <c r="BL79" s="92"/>
      <c r="BM79" s="92"/>
      <c r="BN79" s="92"/>
    </row>
    <row r="80" s="49" customFormat="1" ht="18" hidden="1" spans="1:66">
      <c r="A80" s="92" t="str">
        <f t="shared" si="34"/>
        <v>1.2</v>
      </c>
      <c r="B80" s="105" t="s">
        <v>71</v>
      </c>
      <c r="C80" s="49" t="s">
        <v>20</v>
      </c>
      <c r="D80" s="94"/>
      <c r="E80" s="95">
        <v>46064</v>
      </c>
      <c r="F80" s="96">
        <f t="shared" si="32"/>
        <v>46070</v>
      </c>
      <c r="G80" s="97">
        <v>7</v>
      </c>
      <c r="H80" s="98">
        <v>0</v>
      </c>
      <c r="I80" s="99">
        <f t="shared" si="33"/>
        <v>5</v>
      </c>
      <c r="J80" s="100"/>
      <c r="K80" s="92"/>
      <c r="L80" s="92"/>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2"/>
      <c r="AR80" s="92"/>
      <c r="AS80" s="92"/>
      <c r="AT80" s="92"/>
      <c r="AU80" s="92"/>
      <c r="AV80" s="92"/>
      <c r="AW80" s="92"/>
      <c r="AX80" s="92"/>
      <c r="AY80" s="92"/>
      <c r="AZ80" s="92"/>
      <c r="BA80" s="92"/>
      <c r="BB80" s="92"/>
      <c r="BC80" s="92"/>
      <c r="BD80" s="92"/>
      <c r="BE80" s="92"/>
      <c r="BF80" s="92"/>
      <c r="BG80" s="92"/>
      <c r="BH80" s="92"/>
      <c r="BI80" s="92"/>
      <c r="BJ80" s="92"/>
      <c r="BK80" s="92"/>
      <c r="BL80" s="92"/>
      <c r="BM80" s="92"/>
      <c r="BN80" s="92"/>
    </row>
    <row r="81" s="49" customFormat="1" ht="44.25" hidden="1" customHeight="1" spans="1:66">
      <c r="A81" s="92" t="str">
        <f t="shared" si="34"/>
        <v>1.3</v>
      </c>
      <c r="B81" s="105" t="s">
        <v>72</v>
      </c>
      <c r="C81" s="49" t="s">
        <v>28</v>
      </c>
      <c r="D81" s="94"/>
      <c r="E81" s="95">
        <v>46064</v>
      </c>
      <c r="F81" s="96">
        <f t="shared" si="32"/>
        <v>46070</v>
      </c>
      <c r="G81" s="97">
        <v>7</v>
      </c>
      <c r="H81" s="98">
        <v>0</v>
      </c>
      <c r="I81" s="99">
        <f t="shared" si="33"/>
        <v>5</v>
      </c>
      <c r="J81" s="100"/>
      <c r="K81" s="92"/>
      <c r="L81" s="92"/>
      <c r="M81" s="92"/>
      <c r="N81" s="92"/>
      <c r="O81" s="92"/>
      <c r="P81" s="92"/>
      <c r="Q81" s="92"/>
      <c r="R81" s="92"/>
      <c r="S81" s="92"/>
      <c r="T81" s="92"/>
      <c r="U81" s="92"/>
      <c r="V81" s="92"/>
      <c r="W81" s="92"/>
      <c r="X81" s="92"/>
      <c r="Y81" s="92"/>
      <c r="Z81" s="92"/>
      <c r="AA81" s="92"/>
      <c r="AB81" s="92"/>
      <c r="AC81" s="92"/>
      <c r="AD81" s="92"/>
      <c r="AE81" s="92"/>
      <c r="AF81" s="92"/>
      <c r="AG81" s="92"/>
      <c r="AH81" s="92"/>
      <c r="AI81" s="92"/>
      <c r="AJ81" s="92"/>
      <c r="AK81" s="92"/>
      <c r="AL81" s="92"/>
      <c r="AM81" s="92"/>
      <c r="AN81" s="92"/>
      <c r="AO81" s="92"/>
      <c r="AP81" s="92"/>
      <c r="AQ81" s="92"/>
      <c r="AR81" s="92"/>
      <c r="AS81" s="92"/>
      <c r="AT81" s="92"/>
      <c r="AU81" s="92"/>
      <c r="AV81" s="92"/>
      <c r="AW81" s="92"/>
      <c r="AX81" s="92"/>
      <c r="AY81" s="92"/>
      <c r="AZ81" s="92"/>
      <c r="BA81" s="92"/>
      <c r="BB81" s="92"/>
      <c r="BC81" s="92"/>
      <c r="BD81" s="92"/>
      <c r="BE81" s="92"/>
      <c r="BF81" s="92"/>
      <c r="BG81" s="92"/>
      <c r="BH81" s="92"/>
      <c r="BI81" s="92"/>
      <c r="BJ81" s="92"/>
      <c r="BK81" s="92"/>
      <c r="BL81" s="92"/>
      <c r="BM81" s="92"/>
      <c r="BN81" s="92"/>
    </row>
    <row r="82" s="49" customFormat="1" ht="18" hidden="1" spans="1:66">
      <c r="A82" s="92" t="str">
        <f t="shared" si="34"/>
        <v>1.4</v>
      </c>
      <c r="B82" s="105" t="s">
        <v>73</v>
      </c>
      <c r="C82" s="49" t="s">
        <v>20</v>
      </c>
      <c r="D82" s="94"/>
      <c r="E82" s="95">
        <v>46071</v>
      </c>
      <c r="F82" s="96">
        <f t="shared" si="32"/>
        <v>46077</v>
      </c>
      <c r="G82" s="97">
        <v>7</v>
      </c>
      <c r="H82" s="98">
        <v>0</v>
      </c>
      <c r="I82" s="99">
        <f t="shared" si="33"/>
        <v>5</v>
      </c>
      <c r="J82" s="100"/>
      <c r="K82" s="92"/>
      <c r="L82" s="92"/>
      <c r="M82" s="92"/>
      <c r="N82" s="92"/>
      <c r="O82" s="92"/>
      <c r="P82" s="92"/>
      <c r="Q82" s="92"/>
      <c r="R82" s="92"/>
      <c r="S82" s="92"/>
      <c r="T82" s="92"/>
      <c r="U82" s="92"/>
      <c r="V82" s="92"/>
      <c r="W82" s="92"/>
      <c r="X82" s="92"/>
      <c r="Y82" s="92"/>
      <c r="Z82" s="92"/>
      <c r="AA82" s="92"/>
      <c r="AB82" s="92"/>
      <c r="AC82" s="92"/>
      <c r="AD82" s="92"/>
      <c r="AE82" s="92"/>
      <c r="AF82" s="92"/>
      <c r="AG82" s="92"/>
      <c r="AH82" s="92"/>
      <c r="AI82" s="92"/>
      <c r="AJ82" s="92"/>
      <c r="AK82" s="92"/>
      <c r="AL82" s="92"/>
      <c r="AM82" s="92"/>
      <c r="AN82" s="92"/>
      <c r="AO82" s="92"/>
      <c r="AP82" s="92"/>
      <c r="AQ82" s="92"/>
      <c r="AR82" s="92"/>
      <c r="AS82" s="92"/>
      <c r="AT82" s="92"/>
      <c r="AU82" s="92"/>
      <c r="AV82" s="92"/>
      <c r="AW82" s="92"/>
      <c r="AX82" s="92"/>
      <c r="AY82" s="92"/>
      <c r="AZ82" s="92"/>
      <c r="BA82" s="92"/>
      <c r="BB82" s="92"/>
      <c r="BC82" s="92"/>
      <c r="BD82" s="92"/>
      <c r="BE82" s="92"/>
      <c r="BF82" s="92"/>
      <c r="BG82" s="92"/>
      <c r="BH82" s="92"/>
      <c r="BI82" s="92"/>
      <c r="BJ82" s="92"/>
      <c r="BK82" s="92"/>
      <c r="BL82" s="92"/>
      <c r="BM82" s="92"/>
      <c r="BN82" s="92"/>
    </row>
    <row r="83" s="49" customFormat="1" ht="18" hidden="1" spans="1:66">
      <c r="A83" s="92" t="str">
        <f t="shared" si="34"/>
        <v>1.5</v>
      </c>
      <c r="B83" s="105" t="s">
        <v>74</v>
      </c>
      <c r="C83" s="49" t="s">
        <v>28</v>
      </c>
      <c r="D83" s="94"/>
      <c r="E83" s="95">
        <v>46071</v>
      </c>
      <c r="F83" s="96">
        <f t="shared" si="32"/>
        <v>46077</v>
      </c>
      <c r="G83" s="97">
        <v>7</v>
      </c>
      <c r="H83" s="98">
        <v>0</v>
      </c>
      <c r="I83" s="99">
        <f t="shared" si="33"/>
        <v>5</v>
      </c>
      <c r="J83" s="100"/>
      <c r="K83" s="92"/>
      <c r="L83" s="92"/>
      <c r="M83" s="92"/>
      <c r="N83" s="92"/>
      <c r="O83" s="92"/>
      <c r="P83" s="92"/>
      <c r="Q83" s="92"/>
      <c r="R83" s="92"/>
      <c r="S83" s="92"/>
      <c r="T83" s="92"/>
      <c r="U83" s="92"/>
      <c r="V83" s="92"/>
      <c r="W83" s="92"/>
      <c r="X83" s="92"/>
      <c r="Y83" s="92"/>
      <c r="Z83" s="92"/>
      <c r="AA83" s="92"/>
      <c r="AB83" s="92"/>
      <c r="AC83" s="92"/>
      <c r="AD83" s="92"/>
      <c r="AE83" s="92"/>
      <c r="AF83" s="92"/>
      <c r="AG83" s="92"/>
      <c r="AH83" s="92"/>
      <c r="AI83" s="92"/>
      <c r="AJ83" s="92"/>
      <c r="AK83" s="92"/>
      <c r="AL83" s="92"/>
      <c r="AM83" s="92"/>
      <c r="AN83" s="92"/>
      <c r="AO83" s="92"/>
      <c r="AP83" s="92"/>
      <c r="AQ83" s="92"/>
      <c r="AR83" s="92"/>
      <c r="AS83" s="92"/>
      <c r="AT83" s="92"/>
      <c r="AU83" s="92"/>
      <c r="AV83" s="92"/>
      <c r="AW83" s="92"/>
      <c r="AX83" s="92"/>
      <c r="AY83" s="92"/>
      <c r="AZ83" s="92"/>
      <c r="BA83" s="92"/>
      <c r="BB83" s="92"/>
      <c r="BC83" s="92"/>
      <c r="BD83" s="92"/>
      <c r="BE83" s="92"/>
      <c r="BF83" s="92"/>
      <c r="BG83" s="92"/>
      <c r="BH83" s="92"/>
      <c r="BI83" s="92"/>
      <c r="BJ83" s="92"/>
      <c r="BK83" s="92"/>
      <c r="BL83" s="92"/>
      <c r="BM83" s="92"/>
      <c r="BN83" s="92"/>
    </row>
    <row r="84" s="49" customFormat="1" ht="18" hidden="1" spans="1:66">
      <c r="A84" s="92" t="str">
        <f t="shared" si="34"/>
        <v>1.6</v>
      </c>
      <c r="B84" s="105" t="s">
        <v>75</v>
      </c>
      <c r="C84" s="49" t="s">
        <v>20</v>
      </c>
      <c r="D84" s="94"/>
      <c r="E84" s="95">
        <v>46078</v>
      </c>
      <c r="F84" s="96">
        <f t="shared" ref="F84:F98" si="35">IF(ISBLANK(E84)," - ",IF(G84=0,E84,E84+G84-1))</f>
        <v>46084</v>
      </c>
      <c r="G84" s="97">
        <v>7</v>
      </c>
      <c r="H84" s="98">
        <v>0</v>
      </c>
      <c r="I84" s="99">
        <f t="shared" ref="I84:I98" si="36">IF(OR(F84=0,E84=0)," - ",NETWORKDAYS(E84,F84))</f>
        <v>5</v>
      </c>
      <c r="J84" s="100"/>
      <c r="K84" s="92"/>
      <c r="L84" s="92"/>
      <c r="M84" s="92"/>
      <c r="N84" s="92"/>
      <c r="O84" s="92"/>
      <c r="P84" s="92"/>
      <c r="Q84" s="92"/>
      <c r="R84" s="92"/>
      <c r="S84" s="92"/>
      <c r="T84" s="92"/>
      <c r="U84" s="92"/>
      <c r="V84" s="92"/>
      <c r="W84" s="92"/>
      <c r="X84" s="92"/>
      <c r="Y84" s="92"/>
      <c r="Z84" s="92"/>
      <c r="AA84" s="92"/>
      <c r="AB84" s="92"/>
      <c r="AC84" s="92"/>
      <c r="AD84" s="92"/>
      <c r="AE84" s="92"/>
      <c r="AF84" s="92"/>
      <c r="AG84" s="92"/>
      <c r="AH84" s="92"/>
      <c r="AI84" s="92"/>
      <c r="AJ84" s="92"/>
      <c r="AK84" s="92"/>
      <c r="AL84" s="92"/>
      <c r="AM84" s="92"/>
      <c r="AN84" s="92"/>
      <c r="AO84" s="92"/>
      <c r="AP84" s="92"/>
      <c r="AQ84" s="92"/>
      <c r="AR84" s="92"/>
      <c r="AS84" s="92"/>
      <c r="AT84" s="92"/>
      <c r="AU84" s="92"/>
      <c r="AV84" s="92"/>
      <c r="AW84" s="92"/>
      <c r="AX84" s="92"/>
      <c r="AY84" s="92"/>
      <c r="AZ84" s="92"/>
      <c r="BA84" s="92"/>
      <c r="BB84" s="92"/>
      <c r="BC84" s="92"/>
      <c r="BD84" s="92"/>
      <c r="BE84" s="92"/>
      <c r="BF84" s="92"/>
      <c r="BG84" s="92"/>
      <c r="BH84" s="92"/>
      <c r="BI84" s="92"/>
      <c r="BJ84" s="92"/>
      <c r="BK84" s="92"/>
      <c r="BL84" s="92"/>
      <c r="BM84" s="92"/>
      <c r="BN84" s="92"/>
    </row>
    <row r="85" s="49" customFormat="1" ht="18" hidden="1" spans="1:66">
      <c r="A85" s="92" t="str">
        <f t="shared" si="34"/>
        <v>1.7</v>
      </c>
      <c r="B85" s="105" t="s">
        <v>76</v>
      </c>
      <c r="C85" s="49" t="s">
        <v>28</v>
      </c>
      <c r="D85" s="94"/>
      <c r="E85" s="95">
        <v>46078</v>
      </c>
      <c r="F85" s="96">
        <f t="shared" si="35"/>
        <v>46084</v>
      </c>
      <c r="G85" s="97">
        <v>7</v>
      </c>
      <c r="H85" s="98">
        <v>0</v>
      </c>
      <c r="I85" s="99">
        <f t="shared" si="36"/>
        <v>5</v>
      </c>
      <c r="J85" s="100"/>
      <c r="K85" s="92"/>
      <c r="L85" s="92"/>
      <c r="M85" s="92"/>
      <c r="N85" s="92"/>
      <c r="O85" s="92"/>
      <c r="P85" s="92"/>
      <c r="Q85" s="92"/>
      <c r="R85" s="92"/>
      <c r="S85" s="92"/>
      <c r="T85" s="92"/>
      <c r="U85" s="92"/>
      <c r="V85" s="92"/>
      <c r="W85" s="92"/>
      <c r="X85" s="92"/>
      <c r="Y85" s="92"/>
      <c r="Z85" s="92"/>
      <c r="AA85" s="92"/>
      <c r="AB85" s="92"/>
      <c r="AC85" s="92"/>
      <c r="AD85" s="92"/>
      <c r="AE85" s="92"/>
      <c r="AF85" s="92"/>
      <c r="AG85" s="92"/>
      <c r="AH85" s="92"/>
      <c r="AI85" s="92"/>
      <c r="AJ85" s="92"/>
      <c r="AK85" s="92"/>
      <c r="AL85" s="92"/>
      <c r="AM85" s="92"/>
      <c r="AN85" s="92"/>
      <c r="AO85" s="92"/>
      <c r="AP85" s="92"/>
      <c r="AQ85" s="92"/>
      <c r="AR85" s="92"/>
      <c r="AS85" s="92"/>
      <c r="AT85" s="92"/>
      <c r="AU85" s="92"/>
      <c r="AV85" s="92"/>
      <c r="AW85" s="92"/>
      <c r="AX85" s="92"/>
      <c r="AY85" s="92"/>
      <c r="AZ85" s="92"/>
      <c r="BA85" s="92"/>
      <c r="BB85" s="92"/>
      <c r="BC85" s="92"/>
      <c r="BD85" s="92"/>
      <c r="BE85" s="92"/>
      <c r="BF85" s="92"/>
      <c r="BG85" s="92"/>
      <c r="BH85" s="92"/>
      <c r="BI85" s="92"/>
      <c r="BJ85" s="92"/>
      <c r="BK85" s="92"/>
      <c r="BL85" s="92"/>
      <c r="BM85" s="92"/>
      <c r="BN85" s="92"/>
    </row>
    <row r="86" s="49" customFormat="1" ht="18" hidden="1" spans="1:66">
      <c r="A86" s="92" t="str">
        <f t="shared" si="34"/>
        <v>1.8</v>
      </c>
      <c r="B86" s="105" t="s">
        <v>77</v>
      </c>
      <c r="C86" s="49" t="s">
        <v>78</v>
      </c>
      <c r="D86" s="94"/>
      <c r="E86" s="95">
        <v>46057</v>
      </c>
      <c r="F86" s="96">
        <f t="shared" si="35"/>
        <v>46063</v>
      </c>
      <c r="G86" s="97">
        <v>7</v>
      </c>
      <c r="H86" s="98">
        <v>0</v>
      </c>
      <c r="I86" s="99">
        <f t="shared" si="36"/>
        <v>5</v>
      </c>
      <c r="J86" s="100"/>
      <c r="K86" s="92"/>
      <c r="L86" s="92"/>
      <c r="M86" s="92"/>
      <c r="N86" s="92"/>
      <c r="O86" s="92"/>
      <c r="P86" s="92"/>
      <c r="Q86" s="92"/>
      <c r="R86" s="92"/>
      <c r="S86" s="92"/>
      <c r="T86" s="92"/>
      <c r="U86" s="92"/>
      <c r="V86" s="92"/>
      <c r="W86" s="92"/>
      <c r="X86" s="92"/>
      <c r="Y86" s="92"/>
      <c r="Z86" s="92"/>
      <c r="AA86" s="92"/>
      <c r="AB86" s="92"/>
      <c r="AC86" s="92"/>
      <c r="AD86" s="92"/>
      <c r="AE86" s="92"/>
      <c r="AF86" s="92"/>
      <c r="AG86" s="92"/>
      <c r="AH86" s="92"/>
      <c r="AI86" s="92"/>
      <c r="AJ86" s="92"/>
      <c r="AK86" s="92"/>
      <c r="AL86" s="92"/>
      <c r="AM86" s="92"/>
      <c r="AN86" s="92"/>
      <c r="AO86" s="92"/>
      <c r="AP86" s="92"/>
      <c r="AQ86" s="92"/>
      <c r="AR86" s="92"/>
      <c r="AS86" s="92"/>
      <c r="AT86" s="92"/>
      <c r="AU86" s="92"/>
      <c r="AV86" s="92"/>
      <c r="AW86" s="92"/>
      <c r="AX86" s="92"/>
      <c r="AY86" s="92"/>
      <c r="AZ86" s="92"/>
      <c r="BA86" s="92"/>
      <c r="BB86" s="92"/>
      <c r="BC86" s="92"/>
      <c r="BD86" s="92"/>
      <c r="BE86" s="92"/>
      <c r="BF86" s="92"/>
      <c r="BG86" s="92"/>
      <c r="BH86" s="92"/>
      <c r="BI86" s="92"/>
      <c r="BJ86" s="92"/>
      <c r="BK86" s="92"/>
      <c r="BL86" s="92"/>
      <c r="BM86" s="92"/>
      <c r="BN86" s="92"/>
    </row>
    <row r="87" s="49" customFormat="1" ht="18" hidden="1" spans="1:66">
      <c r="A87" s="92" t="str">
        <f t="shared" si="34"/>
        <v>1.9</v>
      </c>
      <c r="B87" s="105" t="s">
        <v>79</v>
      </c>
      <c r="C87" s="49" t="s">
        <v>20</v>
      </c>
      <c r="D87" s="94"/>
      <c r="E87" s="95">
        <v>46085</v>
      </c>
      <c r="F87" s="96">
        <f t="shared" si="35"/>
        <v>46091</v>
      </c>
      <c r="G87" s="97">
        <v>7</v>
      </c>
      <c r="H87" s="98">
        <v>0</v>
      </c>
      <c r="I87" s="99">
        <f t="shared" si="36"/>
        <v>5</v>
      </c>
      <c r="J87" s="100"/>
      <c r="K87" s="92"/>
      <c r="L87" s="92"/>
      <c r="M87" s="92"/>
      <c r="N87" s="92"/>
      <c r="O87" s="92"/>
      <c r="P87" s="92"/>
      <c r="Q87" s="92"/>
      <c r="R87" s="92"/>
      <c r="S87" s="92"/>
      <c r="T87" s="92"/>
      <c r="U87" s="92"/>
      <c r="V87" s="92"/>
      <c r="W87" s="92"/>
      <c r="X87" s="92"/>
      <c r="Y87" s="92"/>
      <c r="Z87" s="92"/>
      <c r="AA87" s="92"/>
      <c r="AB87" s="92"/>
      <c r="AC87" s="92"/>
      <c r="AD87" s="92"/>
      <c r="AE87" s="92"/>
      <c r="AF87" s="92"/>
      <c r="AG87" s="92"/>
      <c r="AH87" s="92"/>
      <c r="AI87" s="92"/>
      <c r="AJ87" s="92"/>
      <c r="AK87" s="92"/>
      <c r="AL87" s="92"/>
      <c r="AM87" s="92"/>
      <c r="AN87" s="92"/>
      <c r="AO87" s="92"/>
      <c r="AP87" s="92"/>
      <c r="AQ87" s="92"/>
      <c r="AR87" s="92"/>
      <c r="AS87" s="92"/>
      <c r="AT87" s="92"/>
      <c r="AU87" s="92"/>
      <c r="AV87" s="92"/>
      <c r="AW87" s="92"/>
      <c r="AX87" s="92"/>
      <c r="AY87" s="92"/>
      <c r="AZ87" s="92"/>
      <c r="BA87" s="92"/>
      <c r="BB87" s="92"/>
      <c r="BC87" s="92"/>
      <c r="BD87" s="92"/>
      <c r="BE87" s="92"/>
      <c r="BF87" s="92"/>
      <c r="BG87" s="92"/>
      <c r="BH87" s="92"/>
      <c r="BI87" s="92"/>
      <c r="BJ87" s="92"/>
      <c r="BK87" s="92"/>
      <c r="BL87" s="92"/>
      <c r="BM87" s="92"/>
      <c r="BN87" s="92"/>
    </row>
    <row r="88" s="49" customFormat="1" ht="18" hidden="1" spans="1:66">
      <c r="A88" s="92" t="str">
        <f t="shared" si="34"/>
        <v>1.10</v>
      </c>
      <c r="B88" s="105" t="s">
        <v>80</v>
      </c>
      <c r="C88" s="49" t="s">
        <v>28</v>
      </c>
      <c r="D88" s="94"/>
      <c r="E88" s="95">
        <v>46085</v>
      </c>
      <c r="F88" s="96">
        <f t="shared" si="35"/>
        <v>46091</v>
      </c>
      <c r="G88" s="97">
        <v>7</v>
      </c>
      <c r="H88" s="98">
        <v>0</v>
      </c>
      <c r="I88" s="99">
        <f t="shared" si="36"/>
        <v>5</v>
      </c>
      <c r="J88" s="100"/>
      <c r="K88" s="92"/>
      <c r="L88" s="92"/>
      <c r="M88" s="92"/>
      <c r="N88" s="92"/>
      <c r="O88" s="92"/>
      <c r="P88" s="92"/>
      <c r="Q88" s="92"/>
      <c r="R88" s="92"/>
      <c r="S88" s="92"/>
      <c r="T88" s="92"/>
      <c r="U88" s="92"/>
      <c r="V88" s="92"/>
      <c r="W88" s="92"/>
      <c r="X88" s="92"/>
      <c r="Y88" s="92"/>
      <c r="Z88" s="92"/>
      <c r="AA88" s="92"/>
      <c r="AB88" s="92"/>
      <c r="AC88" s="92"/>
      <c r="AD88" s="92"/>
      <c r="AE88" s="92"/>
      <c r="AF88" s="92"/>
      <c r="AG88" s="92"/>
      <c r="AH88" s="92"/>
      <c r="AI88" s="92"/>
      <c r="AJ88" s="92"/>
      <c r="AK88" s="92"/>
      <c r="AL88" s="92"/>
      <c r="AM88" s="92"/>
      <c r="AN88" s="92"/>
      <c r="AO88" s="92"/>
      <c r="AP88" s="92"/>
      <c r="AQ88" s="92"/>
      <c r="AR88" s="92"/>
      <c r="AS88" s="92"/>
      <c r="AT88" s="92"/>
      <c r="AU88" s="92"/>
      <c r="AV88" s="92"/>
      <c r="AW88" s="92"/>
      <c r="AX88" s="92"/>
      <c r="AY88" s="92"/>
      <c r="AZ88" s="92"/>
      <c r="BA88" s="92"/>
      <c r="BB88" s="92"/>
      <c r="BC88" s="92"/>
      <c r="BD88" s="92"/>
      <c r="BE88" s="92"/>
      <c r="BF88" s="92"/>
      <c r="BG88" s="92"/>
      <c r="BH88" s="92"/>
      <c r="BI88" s="92"/>
      <c r="BJ88" s="92"/>
      <c r="BK88" s="92"/>
      <c r="BL88" s="92"/>
      <c r="BM88" s="92"/>
      <c r="BN88" s="92"/>
    </row>
    <row r="89" s="49" customFormat="1" ht="18" hidden="1" spans="1:66">
      <c r="A89" s="92" t="str">
        <f t="shared" si="34"/>
        <v>1.11</v>
      </c>
      <c r="B89" s="105" t="s">
        <v>81</v>
      </c>
      <c r="C89" s="49" t="s">
        <v>28</v>
      </c>
      <c r="D89" s="94"/>
      <c r="E89" s="95">
        <v>46092</v>
      </c>
      <c r="F89" s="96">
        <f t="shared" si="35"/>
        <v>46098</v>
      </c>
      <c r="G89" s="97">
        <v>7</v>
      </c>
      <c r="H89" s="98">
        <v>0</v>
      </c>
      <c r="I89" s="99">
        <f t="shared" si="36"/>
        <v>5</v>
      </c>
      <c r="J89" s="100"/>
      <c r="K89" s="92"/>
      <c r="L89" s="92"/>
      <c r="M89" s="92"/>
      <c r="N89" s="92"/>
      <c r="O89" s="92"/>
      <c r="P89" s="92"/>
      <c r="Q89" s="92"/>
      <c r="R89" s="92"/>
      <c r="S89" s="92"/>
      <c r="T89" s="92"/>
      <c r="U89" s="92"/>
      <c r="V89" s="92"/>
      <c r="W89" s="92"/>
      <c r="X89" s="92"/>
      <c r="Y89" s="92"/>
      <c r="Z89" s="92"/>
      <c r="AA89" s="92"/>
      <c r="AB89" s="92"/>
      <c r="AC89" s="92"/>
      <c r="AD89" s="92"/>
      <c r="AE89" s="92"/>
      <c r="AF89" s="92"/>
      <c r="AG89" s="92"/>
      <c r="AH89" s="92"/>
      <c r="AI89" s="92"/>
      <c r="AJ89" s="92"/>
      <c r="AK89" s="92"/>
      <c r="AL89" s="92"/>
      <c r="AM89" s="92"/>
      <c r="AN89" s="92"/>
      <c r="AO89" s="92"/>
      <c r="AP89" s="92"/>
      <c r="AQ89" s="92"/>
      <c r="AR89" s="92"/>
      <c r="AS89" s="92"/>
      <c r="AT89" s="92"/>
      <c r="AU89" s="92"/>
      <c r="AV89" s="92"/>
      <c r="AW89" s="92"/>
      <c r="AX89" s="92"/>
      <c r="AY89" s="92"/>
      <c r="AZ89" s="92"/>
      <c r="BA89" s="92"/>
      <c r="BB89" s="92"/>
      <c r="BC89" s="92"/>
      <c r="BD89" s="92"/>
      <c r="BE89" s="92"/>
      <c r="BF89" s="92"/>
      <c r="BG89" s="92"/>
      <c r="BH89" s="92"/>
      <c r="BI89" s="92"/>
      <c r="BJ89" s="92"/>
      <c r="BK89" s="92"/>
      <c r="BL89" s="92"/>
      <c r="BM89" s="92"/>
      <c r="BN89" s="92"/>
    </row>
    <row r="90" s="49" customFormat="1" ht="18" hidden="1" spans="1:66">
      <c r="A90" s="92" t="str">
        <f t="shared" si="34"/>
        <v>1.12</v>
      </c>
      <c r="B90" s="105" t="s">
        <v>82</v>
      </c>
      <c r="C90" s="49" t="s">
        <v>20</v>
      </c>
      <c r="D90" s="94"/>
      <c r="E90" s="95">
        <v>46092</v>
      </c>
      <c r="F90" s="96">
        <f t="shared" si="35"/>
        <v>46098</v>
      </c>
      <c r="G90" s="97">
        <v>7</v>
      </c>
      <c r="H90" s="98">
        <v>0</v>
      </c>
      <c r="I90" s="99">
        <f t="shared" si="36"/>
        <v>5</v>
      </c>
      <c r="J90" s="100"/>
      <c r="K90" s="92"/>
      <c r="L90" s="92"/>
      <c r="M90" s="92"/>
      <c r="N90" s="92"/>
      <c r="O90" s="92"/>
      <c r="P90" s="92"/>
      <c r="Q90" s="92"/>
      <c r="R90" s="92"/>
      <c r="S90" s="92"/>
      <c r="T90" s="92"/>
      <c r="U90" s="92"/>
      <c r="V90" s="92"/>
      <c r="W90" s="92"/>
      <c r="X90" s="92"/>
      <c r="Y90" s="92"/>
      <c r="Z90" s="92"/>
      <c r="AA90" s="92"/>
      <c r="AB90" s="92"/>
      <c r="AC90" s="92"/>
      <c r="AD90" s="92"/>
      <c r="AE90" s="92"/>
      <c r="AF90" s="92"/>
      <c r="AG90" s="92"/>
      <c r="AH90" s="92"/>
      <c r="AI90" s="92"/>
      <c r="AJ90" s="92"/>
      <c r="AK90" s="92"/>
      <c r="AL90" s="92"/>
      <c r="AM90" s="92"/>
      <c r="AN90" s="92"/>
      <c r="AO90" s="92"/>
      <c r="AP90" s="92"/>
      <c r="AQ90" s="92"/>
      <c r="AR90" s="92"/>
      <c r="AS90" s="92"/>
      <c r="AT90" s="92"/>
      <c r="AU90" s="92"/>
      <c r="AV90" s="92"/>
      <c r="AW90" s="92"/>
      <c r="AX90" s="92"/>
      <c r="AY90" s="92"/>
      <c r="AZ90" s="92"/>
      <c r="BA90" s="92"/>
      <c r="BB90" s="92"/>
      <c r="BC90" s="92"/>
      <c r="BD90" s="92"/>
      <c r="BE90" s="92"/>
      <c r="BF90" s="92"/>
      <c r="BG90" s="92"/>
      <c r="BH90" s="92"/>
      <c r="BI90" s="92"/>
      <c r="BJ90" s="92"/>
      <c r="BK90" s="92"/>
      <c r="BL90" s="92"/>
      <c r="BM90" s="92"/>
      <c r="BN90" s="92"/>
    </row>
    <row r="91" s="49" customFormat="1" ht="18" hidden="1" spans="1:66">
      <c r="A91" s="92" t="str">
        <f t="shared" si="34"/>
        <v>1.13</v>
      </c>
      <c r="B91" s="105" t="s">
        <v>83</v>
      </c>
      <c r="C91" s="49" t="s">
        <v>28</v>
      </c>
      <c r="D91" s="94"/>
      <c r="E91" s="95">
        <v>46099</v>
      </c>
      <c r="F91" s="96">
        <f t="shared" si="35"/>
        <v>46105</v>
      </c>
      <c r="G91" s="97">
        <v>7</v>
      </c>
      <c r="H91" s="98">
        <v>0</v>
      </c>
      <c r="I91" s="99">
        <f t="shared" si="36"/>
        <v>5</v>
      </c>
      <c r="J91" s="100"/>
      <c r="K91" s="92"/>
      <c r="L91" s="92"/>
      <c r="M91" s="92"/>
      <c r="N91" s="92"/>
      <c r="O91" s="92"/>
      <c r="P91" s="92"/>
      <c r="Q91" s="92"/>
      <c r="R91" s="92"/>
      <c r="S91" s="92"/>
      <c r="T91" s="92"/>
      <c r="U91" s="92"/>
      <c r="V91" s="92"/>
      <c r="W91" s="92"/>
      <c r="X91" s="92"/>
      <c r="Y91" s="92"/>
      <c r="Z91" s="92"/>
      <c r="AA91" s="92"/>
      <c r="AB91" s="92"/>
      <c r="AC91" s="92"/>
      <c r="AD91" s="92"/>
      <c r="AE91" s="92"/>
      <c r="AF91" s="92"/>
      <c r="AG91" s="92"/>
      <c r="AH91" s="92"/>
      <c r="AI91" s="92"/>
      <c r="AJ91" s="92"/>
      <c r="AK91" s="92"/>
      <c r="AL91" s="92"/>
      <c r="AM91" s="92"/>
      <c r="AN91" s="92"/>
      <c r="AO91" s="92"/>
      <c r="AP91" s="92"/>
      <c r="AQ91" s="92"/>
      <c r="AR91" s="92"/>
      <c r="AS91" s="92"/>
      <c r="AT91" s="92"/>
      <c r="AU91" s="92"/>
      <c r="AV91" s="92"/>
      <c r="AW91" s="92"/>
      <c r="AX91" s="92"/>
      <c r="AY91" s="92"/>
      <c r="AZ91" s="92"/>
      <c r="BA91" s="92"/>
      <c r="BB91" s="92"/>
      <c r="BC91" s="92"/>
      <c r="BD91" s="92"/>
      <c r="BE91" s="92"/>
      <c r="BF91" s="92"/>
      <c r="BG91" s="92"/>
      <c r="BH91" s="92"/>
      <c r="BI91" s="92"/>
      <c r="BJ91" s="92"/>
      <c r="BK91" s="92"/>
      <c r="BL91" s="92"/>
      <c r="BM91" s="92"/>
      <c r="BN91" s="92"/>
    </row>
    <row r="92" s="49" customFormat="1" ht="18" hidden="1" spans="1:66">
      <c r="A92" s="92" t="str">
        <f t="shared" si="34"/>
        <v>1.14</v>
      </c>
      <c r="B92" s="105" t="s">
        <v>84</v>
      </c>
      <c r="C92" s="49" t="s">
        <v>28</v>
      </c>
      <c r="D92" s="94"/>
      <c r="E92" s="95">
        <v>46106</v>
      </c>
      <c r="F92" s="96">
        <f t="shared" ref="F92" si="37">IF(ISBLANK(E92)," - ",IF(G92=0,E92,E92+G92-1))</f>
        <v>46112</v>
      </c>
      <c r="G92" s="97">
        <v>7</v>
      </c>
      <c r="H92" s="98">
        <v>0</v>
      </c>
      <c r="I92" s="99">
        <f t="shared" ref="I92" si="38">IF(OR(F92=0,E92=0)," - ",NETWORKDAYS(E92,F92))</f>
        <v>5</v>
      </c>
      <c r="J92" s="100"/>
      <c r="K92" s="92"/>
      <c r="L92" s="92"/>
      <c r="M92" s="92"/>
      <c r="N92" s="92"/>
      <c r="O92" s="92"/>
      <c r="P92" s="92"/>
      <c r="Q92" s="92"/>
      <c r="R92" s="92"/>
      <c r="S92" s="92"/>
      <c r="T92" s="92"/>
      <c r="U92" s="92"/>
      <c r="V92" s="92"/>
      <c r="W92" s="92"/>
      <c r="X92" s="92"/>
      <c r="Y92" s="92"/>
      <c r="Z92" s="92"/>
      <c r="AA92" s="92"/>
      <c r="AB92" s="92"/>
      <c r="AC92" s="92"/>
      <c r="AD92" s="92"/>
      <c r="AE92" s="92"/>
      <c r="AF92" s="92"/>
      <c r="AG92" s="92"/>
      <c r="AH92" s="92"/>
      <c r="AI92" s="92"/>
      <c r="AJ92" s="92"/>
      <c r="AK92" s="92"/>
      <c r="AL92" s="92"/>
      <c r="AM92" s="92"/>
      <c r="AN92" s="92"/>
      <c r="AO92" s="92"/>
      <c r="AP92" s="92"/>
      <c r="AQ92" s="92"/>
      <c r="AR92" s="92"/>
      <c r="AS92" s="92"/>
      <c r="AT92" s="92"/>
      <c r="AU92" s="92"/>
      <c r="AV92" s="92"/>
      <c r="AW92" s="92"/>
      <c r="AX92" s="92"/>
      <c r="AY92" s="92"/>
      <c r="AZ92" s="92"/>
      <c r="BA92" s="92"/>
      <c r="BB92" s="92"/>
      <c r="BC92" s="92"/>
      <c r="BD92" s="92"/>
      <c r="BE92" s="92"/>
      <c r="BF92" s="92"/>
      <c r="BG92" s="92"/>
      <c r="BH92" s="92"/>
      <c r="BI92" s="92"/>
      <c r="BJ92" s="92"/>
      <c r="BK92" s="92"/>
      <c r="BL92" s="92"/>
      <c r="BM92" s="92"/>
      <c r="BN92" s="92"/>
    </row>
    <row r="93" s="49" customFormat="1" ht="18" hidden="1" spans="1:66">
      <c r="A93" s="92" t="str">
        <f t="shared" si="34"/>
        <v>1.15</v>
      </c>
      <c r="B93" s="105" t="s">
        <v>85</v>
      </c>
      <c r="C93" s="49" t="s">
        <v>28</v>
      </c>
      <c r="D93" s="94"/>
      <c r="E93" s="95">
        <v>46106</v>
      </c>
      <c r="F93" s="96">
        <f t="shared" ref="F93" si="39">IF(ISBLANK(E93)," - ",IF(G93=0,E93,E93+G93-1))</f>
        <v>46112</v>
      </c>
      <c r="G93" s="97">
        <v>7</v>
      </c>
      <c r="H93" s="98">
        <v>0</v>
      </c>
      <c r="I93" s="99">
        <f t="shared" ref="I93" si="40">IF(OR(F93=0,E93=0)," - ",NETWORKDAYS(E93,F93))</f>
        <v>5</v>
      </c>
      <c r="J93" s="100"/>
      <c r="K93" s="92"/>
      <c r="L93" s="92"/>
      <c r="M93" s="92"/>
      <c r="N93" s="92"/>
      <c r="O93" s="92"/>
      <c r="P93" s="92"/>
      <c r="Q93" s="92"/>
      <c r="R93" s="92"/>
      <c r="S93" s="92"/>
      <c r="T93" s="92"/>
      <c r="U93" s="92"/>
      <c r="V93" s="92"/>
      <c r="W93" s="92"/>
      <c r="X93" s="92"/>
      <c r="Y93" s="92"/>
      <c r="Z93" s="92"/>
      <c r="AA93" s="92"/>
      <c r="AB93" s="92"/>
      <c r="AC93" s="92"/>
      <c r="AD93" s="92"/>
      <c r="AE93" s="92"/>
      <c r="AF93" s="92"/>
      <c r="AG93" s="92"/>
      <c r="AH93" s="92"/>
      <c r="AI93" s="92"/>
      <c r="AJ93" s="92"/>
      <c r="AK93" s="92"/>
      <c r="AL93" s="92"/>
      <c r="AM93" s="92"/>
      <c r="AN93" s="92"/>
      <c r="AO93" s="92"/>
      <c r="AP93" s="92"/>
      <c r="AQ93" s="92"/>
      <c r="AR93" s="92"/>
      <c r="AS93" s="92"/>
      <c r="AT93" s="92"/>
      <c r="AU93" s="92"/>
      <c r="AV93" s="92"/>
      <c r="AW93" s="92"/>
      <c r="AX93" s="92"/>
      <c r="AY93" s="92"/>
      <c r="AZ93" s="92"/>
      <c r="BA93" s="92"/>
      <c r="BB93" s="92"/>
      <c r="BC93" s="92"/>
      <c r="BD93" s="92"/>
      <c r="BE93" s="92"/>
      <c r="BF93" s="92"/>
      <c r="BG93" s="92"/>
      <c r="BH93" s="92"/>
      <c r="BI93" s="92"/>
      <c r="BJ93" s="92"/>
      <c r="BK93" s="92"/>
      <c r="BL93" s="92"/>
      <c r="BM93" s="92"/>
      <c r="BN93" s="92"/>
    </row>
    <row r="94" s="49" customFormat="1" ht="18" hidden="1" spans="1:66">
      <c r="A94" s="92" t="str">
        <f t="shared" si="34"/>
        <v>1.16</v>
      </c>
      <c r="B94" s="105" t="s">
        <v>86</v>
      </c>
      <c r="C94" s="49" t="s">
        <v>28</v>
      </c>
      <c r="D94" s="94"/>
      <c r="E94" s="95">
        <v>46113</v>
      </c>
      <c r="F94" s="96">
        <f t="shared" si="35"/>
        <v>46119</v>
      </c>
      <c r="G94" s="97">
        <v>7</v>
      </c>
      <c r="H94" s="98">
        <v>0</v>
      </c>
      <c r="I94" s="99">
        <f t="shared" si="36"/>
        <v>5</v>
      </c>
      <c r="J94" s="100"/>
      <c r="K94" s="92"/>
      <c r="L94" s="92"/>
      <c r="M94" s="92"/>
      <c r="N94" s="92"/>
      <c r="O94" s="92"/>
      <c r="P94" s="92"/>
      <c r="Q94" s="92"/>
      <c r="R94" s="92"/>
      <c r="S94" s="92"/>
      <c r="T94" s="92"/>
      <c r="U94" s="92"/>
      <c r="V94" s="92"/>
      <c r="W94" s="92"/>
      <c r="X94" s="92"/>
      <c r="Y94" s="92"/>
      <c r="Z94" s="92"/>
      <c r="AA94" s="92"/>
      <c r="AB94" s="92"/>
      <c r="AC94" s="92"/>
      <c r="AD94" s="92"/>
      <c r="AE94" s="92"/>
      <c r="AF94" s="92"/>
      <c r="AG94" s="92"/>
      <c r="AH94" s="92"/>
      <c r="AI94" s="92"/>
      <c r="AJ94" s="92"/>
      <c r="AK94" s="92"/>
      <c r="AL94" s="92"/>
      <c r="AM94" s="92"/>
      <c r="AN94" s="92"/>
      <c r="AO94" s="92"/>
      <c r="AP94" s="92"/>
      <c r="AQ94" s="92"/>
      <c r="AR94" s="92"/>
      <c r="AS94" s="92"/>
      <c r="AT94" s="92"/>
      <c r="AU94" s="92"/>
      <c r="AV94" s="92"/>
      <c r="AW94" s="92"/>
      <c r="AX94" s="92"/>
      <c r="AY94" s="92"/>
      <c r="AZ94" s="92"/>
      <c r="BA94" s="92"/>
      <c r="BB94" s="92"/>
      <c r="BC94" s="92"/>
      <c r="BD94" s="92"/>
      <c r="BE94" s="92"/>
      <c r="BF94" s="92"/>
      <c r="BG94" s="92"/>
      <c r="BH94" s="92"/>
      <c r="BI94" s="92"/>
      <c r="BJ94" s="92"/>
      <c r="BK94" s="92"/>
      <c r="BL94" s="92"/>
      <c r="BM94" s="92"/>
      <c r="BN94" s="92"/>
    </row>
    <row r="95" s="49" customFormat="1" ht="18" hidden="1" spans="1:66">
      <c r="A95" s="92" t="str">
        <f t="shared" si="34"/>
        <v>1.17</v>
      </c>
      <c r="B95" s="105" t="s">
        <v>87</v>
      </c>
      <c r="C95" s="49" t="s">
        <v>20</v>
      </c>
      <c r="D95" s="94"/>
      <c r="E95" s="95">
        <v>46113</v>
      </c>
      <c r="F95" s="96">
        <f t="shared" si="35"/>
        <v>46119</v>
      </c>
      <c r="G95" s="97">
        <v>7</v>
      </c>
      <c r="H95" s="98">
        <v>0</v>
      </c>
      <c r="I95" s="99">
        <f t="shared" si="36"/>
        <v>5</v>
      </c>
      <c r="J95" s="100"/>
      <c r="K95" s="92"/>
      <c r="L95" s="92"/>
      <c r="M95" s="92"/>
      <c r="N95" s="92"/>
      <c r="O95" s="92"/>
      <c r="P95" s="92"/>
      <c r="Q95" s="92"/>
      <c r="R95" s="92"/>
      <c r="S95" s="92"/>
      <c r="T95" s="92"/>
      <c r="U95" s="92"/>
      <c r="V95" s="92"/>
      <c r="W95" s="92"/>
      <c r="X95" s="92"/>
      <c r="Y95" s="92"/>
      <c r="Z95" s="92"/>
      <c r="AA95" s="92"/>
      <c r="AB95" s="92"/>
      <c r="AC95" s="92"/>
      <c r="AD95" s="92"/>
      <c r="AE95" s="92"/>
      <c r="AF95" s="92"/>
      <c r="AG95" s="92"/>
      <c r="AH95" s="92"/>
      <c r="AI95" s="92"/>
      <c r="AJ95" s="92"/>
      <c r="AK95" s="92"/>
      <c r="AL95" s="92"/>
      <c r="AM95" s="92"/>
      <c r="AN95" s="92"/>
      <c r="AO95" s="92"/>
      <c r="AP95" s="92"/>
      <c r="AQ95" s="92"/>
      <c r="AR95" s="92"/>
      <c r="AS95" s="92"/>
      <c r="AT95" s="92"/>
      <c r="AU95" s="92"/>
      <c r="AV95" s="92"/>
      <c r="AW95" s="92"/>
      <c r="AX95" s="92"/>
      <c r="AY95" s="92"/>
      <c r="AZ95" s="92"/>
      <c r="BA95" s="92"/>
      <c r="BB95" s="92"/>
      <c r="BC95" s="92"/>
      <c r="BD95" s="92"/>
      <c r="BE95" s="92"/>
      <c r="BF95" s="92"/>
      <c r="BG95" s="92"/>
      <c r="BH95" s="92"/>
      <c r="BI95" s="92"/>
      <c r="BJ95" s="92"/>
      <c r="BK95" s="92"/>
      <c r="BL95" s="92"/>
      <c r="BM95" s="92"/>
      <c r="BN95" s="92"/>
    </row>
    <row r="96" s="49" customFormat="1" ht="18" hidden="1" spans="1:66">
      <c r="A96" s="92" t="str">
        <f t="shared" si="34"/>
        <v>1.18</v>
      </c>
      <c r="B96" s="105" t="s">
        <v>88</v>
      </c>
      <c r="C96" s="49" t="s">
        <v>28</v>
      </c>
      <c r="D96" s="94"/>
      <c r="E96" s="95">
        <v>46120</v>
      </c>
      <c r="F96" s="96">
        <f t="shared" si="35"/>
        <v>46126</v>
      </c>
      <c r="G96" s="97">
        <v>7</v>
      </c>
      <c r="H96" s="98">
        <v>0</v>
      </c>
      <c r="I96" s="99">
        <f t="shared" si="36"/>
        <v>5</v>
      </c>
      <c r="J96" s="100"/>
      <c r="K96" s="92"/>
      <c r="L96" s="92"/>
      <c r="M96" s="92"/>
      <c r="N96" s="92"/>
      <c r="O96" s="92"/>
      <c r="P96" s="92"/>
      <c r="Q96" s="92"/>
      <c r="R96" s="92"/>
      <c r="S96" s="92"/>
      <c r="T96" s="92"/>
      <c r="U96" s="92"/>
      <c r="V96" s="92"/>
      <c r="W96" s="92"/>
      <c r="X96" s="92"/>
      <c r="Y96" s="92"/>
      <c r="Z96" s="92"/>
      <c r="AA96" s="92"/>
      <c r="AB96" s="92"/>
      <c r="AC96" s="92"/>
      <c r="AD96" s="92"/>
      <c r="AE96" s="92"/>
      <c r="AF96" s="92"/>
      <c r="AG96" s="92"/>
      <c r="AH96" s="92"/>
      <c r="AI96" s="92"/>
      <c r="AJ96" s="92"/>
      <c r="AK96" s="92"/>
      <c r="AL96" s="92"/>
      <c r="AM96" s="92"/>
      <c r="AN96" s="92"/>
      <c r="AO96" s="92"/>
      <c r="AP96" s="92"/>
      <c r="AQ96" s="92"/>
      <c r="AR96" s="92"/>
      <c r="AS96" s="92"/>
      <c r="AT96" s="92"/>
      <c r="AU96" s="92"/>
      <c r="AV96" s="92"/>
      <c r="AW96" s="92"/>
      <c r="AX96" s="92"/>
      <c r="AY96" s="92"/>
      <c r="AZ96" s="92"/>
      <c r="BA96" s="92"/>
      <c r="BB96" s="92"/>
      <c r="BC96" s="92"/>
      <c r="BD96" s="92"/>
      <c r="BE96" s="92"/>
      <c r="BF96" s="92"/>
      <c r="BG96" s="92"/>
      <c r="BH96" s="92"/>
      <c r="BI96" s="92"/>
      <c r="BJ96" s="92"/>
      <c r="BK96" s="92"/>
      <c r="BL96" s="92"/>
      <c r="BM96" s="92"/>
      <c r="BN96" s="92"/>
    </row>
    <row r="97" s="49" customFormat="1" ht="18" hidden="1" spans="1:66">
      <c r="A97" s="92" t="str">
        <f t="shared" si="34"/>
        <v>1.19</v>
      </c>
      <c r="B97" s="105" t="s">
        <v>89</v>
      </c>
      <c r="C97" s="49" t="s">
        <v>20</v>
      </c>
      <c r="D97" s="94"/>
      <c r="E97" s="95">
        <v>46120</v>
      </c>
      <c r="F97" s="96">
        <f t="shared" si="35"/>
        <v>46126</v>
      </c>
      <c r="G97" s="97">
        <v>7</v>
      </c>
      <c r="H97" s="98">
        <v>0</v>
      </c>
      <c r="I97" s="99">
        <f t="shared" si="36"/>
        <v>5</v>
      </c>
      <c r="J97" s="100"/>
      <c r="K97" s="92"/>
      <c r="L97" s="92"/>
      <c r="M97" s="92"/>
      <c r="N97" s="92"/>
      <c r="O97" s="92"/>
      <c r="P97" s="92"/>
      <c r="Q97" s="92"/>
      <c r="R97" s="92"/>
      <c r="S97" s="92"/>
      <c r="T97" s="92"/>
      <c r="U97" s="92"/>
      <c r="V97" s="92"/>
      <c r="W97" s="92"/>
      <c r="X97" s="92"/>
      <c r="Y97" s="92"/>
      <c r="Z97" s="92"/>
      <c r="AA97" s="92"/>
      <c r="AB97" s="92"/>
      <c r="AC97" s="92"/>
      <c r="AD97" s="92"/>
      <c r="AE97" s="92"/>
      <c r="AF97" s="92"/>
      <c r="AG97" s="92"/>
      <c r="AH97" s="92"/>
      <c r="AI97" s="92"/>
      <c r="AJ97" s="92"/>
      <c r="AK97" s="92"/>
      <c r="AL97" s="92"/>
      <c r="AM97" s="92"/>
      <c r="AN97" s="92"/>
      <c r="AO97" s="92"/>
      <c r="AP97" s="92"/>
      <c r="AQ97" s="92"/>
      <c r="AR97" s="92"/>
      <c r="AS97" s="92"/>
      <c r="AT97" s="92"/>
      <c r="AU97" s="92"/>
      <c r="AV97" s="92"/>
      <c r="AW97" s="92"/>
      <c r="AX97" s="92"/>
      <c r="AY97" s="92"/>
      <c r="AZ97" s="92"/>
      <c r="BA97" s="92"/>
      <c r="BB97" s="92"/>
      <c r="BC97" s="92"/>
      <c r="BD97" s="92"/>
      <c r="BE97" s="92"/>
      <c r="BF97" s="92"/>
      <c r="BG97" s="92"/>
      <c r="BH97" s="92"/>
      <c r="BI97" s="92"/>
      <c r="BJ97" s="92"/>
      <c r="BK97" s="92"/>
      <c r="BL97" s="92"/>
      <c r="BM97" s="92"/>
      <c r="BN97" s="92"/>
    </row>
    <row r="98" s="49" customFormat="1" ht="18" hidden="1" spans="1:66">
      <c r="A98" s="92" t="str">
        <f t="shared" si="34"/>
        <v>1.20</v>
      </c>
      <c r="B98" s="105" t="s">
        <v>90</v>
      </c>
      <c r="C98" s="49" t="s">
        <v>28</v>
      </c>
      <c r="D98" s="94"/>
      <c r="E98" s="95">
        <v>46127</v>
      </c>
      <c r="F98" s="96">
        <f t="shared" si="35"/>
        <v>46133</v>
      </c>
      <c r="G98" s="97">
        <v>7</v>
      </c>
      <c r="H98" s="98">
        <v>0</v>
      </c>
      <c r="I98" s="99">
        <f t="shared" si="36"/>
        <v>5</v>
      </c>
      <c r="J98" s="100"/>
      <c r="K98" s="92"/>
      <c r="L98" s="92"/>
      <c r="M98" s="92"/>
      <c r="N98" s="92"/>
      <c r="O98" s="92"/>
      <c r="P98" s="92"/>
      <c r="Q98" s="92"/>
      <c r="R98" s="92"/>
      <c r="S98" s="92"/>
      <c r="T98" s="92"/>
      <c r="U98" s="92"/>
      <c r="V98" s="92"/>
      <c r="W98" s="92"/>
      <c r="X98" s="92"/>
      <c r="Y98" s="92"/>
      <c r="Z98" s="92"/>
      <c r="AA98" s="92"/>
      <c r="AB98" s="92"/>
      <c r="AC98" s="92"/>
      <c r="AD98" s="92"/>
      <c r="AE98" s="92"/>
      <c r="AF98" s="92"/>
      <c r="AG98" s="92"/>
      <c r="AH98" s="92"/>
      <c r="AI98" s="92"/>
      <c r="AJ98" s="92"/>
      <c r="AK98" s="92"/>
      <c r="AL98" s="92"/>
      <c r="AM98" s="92"/>
      <c r="AN98" s="92"/>
      <c r="AO98" s="92"/>
      <c r="AP98" s="92"/>
      <c r="AQ98" s="92"/>
      <c r="AR98" s="92"/>
      <c r="AS98" s="92"/>
      <c r="AT98" s="92"/>
      <c r="AU98" s="92"/>
      <c r="AV98" s="92"/>
      <c r="AW98" s="92"/>
      <c r="AX98" s="92"/>
      <c r="AY98" s="92"/>
      <c r="AZ98" s="92"/>
      <c r="BA98" s="92"/>
      <c r="BB98" s="92"/>
      <c r="BC98" s="92"/>
      <c r="BD98" s="92"/>
      <c r="BE98" s="92"/>
      <c r="BF98" s="92"/>
      <c r="BG98" s="92"/>
      <c r="BH98" s="92"/>
      <c r="BI98" s="92"/>
      <c r="BJ98" s="92"/>
      <c r="BK98" s="92"/>
      <c r="BL98" s="92"/>
      <c r="BM98" s="92"/>
      <c r="BN98" s="92"/>
    </row>
    <row r="99" s="49" customFormat="1" ht="18" hidden="1" spans="1:66">
      <c r="A99" s="92" t="str">
        <f t="shared" si="34"/>
        <v>1.21</v>
      </c>
      <c r="B99" s="105" t="s">
        <v>91</v>
      </c>
      <c r="C99" s="49" t="s">
        <v>20</v>
      </c>
      <c r="D99" s="94"/>
      <c r="E99" s="95">
        <v>46127</v>
      </c>
      <c r="F99" s="96">
        <f t="shared" ref="F99:F109" si="41">IF(ISBLANK(E99)," - ",IF(G99=0,E99,E99+G99-1))</f>
        <v>46133</v>
      </c>
      <c r="G99" s="97">
        <v>7</v>
      </c>
      <c r="H99" s="98">
        <v>0</v>
      </c>
      <c r="I99" s="99">
        <f t="shared" ref="I99:I107" si="42">IF(OR(F99=0,E99=0)," - ",NETWORKDAYS(E99,F99))</f>
        <v>5</v>
      </c>
      <c r="J99" s="100"/>
      <c r="K99" s="92"/>
      <c r="L99" s="92"/>
      <c r="M99" s="92"/>
      <c r="N99" s="92"/>
      <c r="O99" s="92"/>
      <c r="P99" s="92"/>
      <c r="Q99" s="92"/>
      <c r="R99" s="92"/>
      <c r="S99" s="92"/>
      <c r="T99" s="92"/>
      <c r="U99" s="92"/>
      <c r="V99" s="92"/>
      <c r="W99" s="92"/>
      <c r="X99" s="92"/>
      <c r="Y99" s="92"/>
      <c r="Z99" s="92"/>
      <c r="AA99" s="92"/>
      <c r="AB99" s="92"/>
      <c r="AC99" s="92"/>
      <c r="AD99" s="92"/>
      <c r="AE99" s="92"/>
      <c r="AF99" s="92"/>
      <c r="AG99" s="92"/>
      <c r="AH99" s="92"/>
      <c r="AI99" s="92"/>
      <c r="AJ99" s="92"/>
      <c r="AK99" s="92"/>
      <c r="AL99" s="92"/>
      <c r="AM99" s="92"/>
      <c r="AN99" s="92"/>
      <c r="AO99" s="92"/>
      <c r="AP99" s="92"/>
      <c r="AQ99" s="92"/>
      <c r="AR99" s="92"/>
      <c r="AS99" s="92"/>
      <c r="AT99" s="92"/>
      <c r="AU99" s="92"/>
      <c r="AV99" s="92"/>
      <c r="AW99" s="92"/>
      <c r="AX99" s="92"/>
      <c r="AY99" s="92"/>
      <c r="AZ99" s="92"/>
      <c r="BA99" s="92"/>
      <c r="BB99" s="92"/>
      <c r="BC99" s="92"/>
      <c r="BD99" s="92"/>
      <c r="BE99" s="92"/>
      <c r="BF99" s="92"/>
      <c r="BG99" s="92"/>
      <c r="BH99" s="92"/>
      <c r="BI99" s="92"/>
      <c r="BJ99" s="92"/>
      <c r="BK99" s="92"/>
      <c r="BL99" s="92"/>
      <c r="BM99" s="92"/>
      <c r="BN99" s="92"/>
    </row>
    <row r="100" s="49" customFormat="1" ht="18" hidden="1" spans="1:66">
      <c r="A100" s="92" t="str">
        <f t="shared" si="34"/>
        <v>1.22</v>
      </c>
      <c r="B100" s="105" t="s">
        <v>92</v>
      </c>
      <c r="C100" s="49" t="s">
        <v>28</v>
      </c>
      <c r="D100" s="94"/>
      <c r="E100" s="95">
        <v>46134</v>
      </c>
      <c r="F100" s="96">
        <f t="shared" si="41"/>
        <v>46140</v>
      </c>
      <c r="G100" s="97">
        <v>7</v>
      </c>
      <c r="H100" s="98">
        <v>0</v>
      </c>
      <c r="I100" s="99">
        <f t="shared" si="42"/>
        <v>5</v>
      </c>
      <c r="J100" s="100"/>
      <c r="K100" s="92"/>
      <c r="L100" s="92"/>
      <c r="M100" s="92"/>
      <c r="N100" s="92"/>
      <c r="O100" s="92"/>
      <c r="P100" s="92"/>
      <c r="Q100" s="92"/>
      <c r="R100" s="92"/>
      <c r="S100" s="92"/>
      <c r="T100" s="92"/>
      <c r="U100" s="92"/>
      <c r="V100" s="92"/>
      <c r="W100" s="92"/>
      <c r="X100" s="92"/>
      <c r="Y100" s="92"/>
      <c r="Z100" s="92"/>
      <c r="AA100" s="92"/>
      <c r="AB100" s="92"/>
      <c r="AC100" s="92"/>
      <c r="AD100" s="92"/>
      <c r="AE100" s="92"/>
      <c r="AF100" s="92"/>
      <c r="AG100" s="92"/>
      <c r="AH100" s="92"/>
      <c r="AI100" s="92"/>
      <c r="AJ100" s="92"/>
      <c r="AK100" s="92"/>
      <c r="AL100" s="92"/>
      <c r="AM100" s="92"/>
      <c r="AN100" s="92"/>
      <c r="AO100" s="92"/>
      <c r="AP100" s="92"/>
      <c r="AQ100" s="92"/>
      <c r="AR100" s="92"/>
      <c r="AS100" s="92"/>
      <c r="AT100" s="92"/>
      <c r="AU100" s="92"/>
      <c r="AV100" s="92"/>
      <c r="AW100" s="92"/>
      <c r="AX100" s="92"/>
      <c r="AY100" s="92"/>
      <c r="AZ100" s="92"/>
      <c r="BA100" s="92"/>
      <c r="BB100" s="92"/>
      <c r="BC100" s="92"/>
      <c r="BD100" s="92"/>
      <c r="BE100" s="92"/>
      <c r="BF100" s="92"/>
      <c r="BG100" s="92"/>
      <c r="BH100" s="92"/>
      <c r="BI100" s="92"/>
      <c r="BJ100" s="92"/>
      <c r="BK100" s="92"/>
      <c r="BL100" s="92"/>
      <c r="BM100" s="92"/>
      <c r="BN100" s="92"/>
    </row>
    <row r="101" s="49" customFormat="1" ht="18" hidden="1" spans="1:66">
      <c r="A101" s="92" t="str">
        <f t="shared" si="34"/>
        <v>1.23</v>
      </c>
      <c r="B101" s="105" t="s">
        <v>93</v>
      </c>
      <c r="C101" s="49" t="s">
        <v>20</v>
      </c>
      <c r="D101" s="94"/>
      <c r="E101" s="95">
        <v>46134</v>
      </c>
      <c r="F101" s="96">
        <f t="shared" ref="F101:F102" si="43">IF(ISBLANK(E101)," - ",IF(G101=0,E101,E101+G101-1))</f>
        <v>46140</v>
      </c>
      <c r="G101" s="97">
        <v>7</v>
      </c>
      <c r="H101" s="98">
        <v>0</v>
      </c>
      <c r="I101" s="99">
        <f t="shared" ref="I101:I102" si="44">IF(OR(F101=0,E101=0)," - ",NETWORKDAYS(E101,F101))</f>
        <v>5</v>
      </c>
      <c r="J101" s="100"/>
      <c r="K101" s="92"/>
      <c r="L101" s="92"/>
      <c r="M101" s="92"/>
      <c r="N101" s="92"/>
      <c r="O101" s="92"/>
      <c r="P101" s="92"/>
      <c r="Q101" s="92"/>
      <c r="R101" s="92"/>
      <c r="S101" s="92"/>
      <c r="T101" s="92"/>
      <c r="U101" s="92"/>
      <c r="V101" s="92"/>
      <c r="W101" s="92"/>
      <c r="X101" s="92"/>
      <c r="Y101" s="92"/>
      <c r="Z101" s="92"/>
      <c r="AA101" s="92"/>
      <c r="AB101" s="92"/>
      <c r="AC101" s="92"/>
      <c r="AD101" s="92"/>
      <c r="AE101" s="92"/>
      <c r="AF101" s="92"/>
      <c r="AG101" s="92"/>
      <c r="AH101" s="92"/>
      <c r="AI101" s="92"/>
      <c r="AJ101" s="92"/>
      <c r="AK101" s="92"/>
      <c r="AL101" s="92"/>
      <c r="AM101" s="92"/>
      <c r="AN101" s="92"/>
      <c r="AO101" s="92"/>
      <c r="AP101" s="92"/>
      <c r="AQ101" s="92"/>
      <c r="AR101" s="92"/>
      <c r="AS101" s="92"/>
      <c r="AT101" s="92"/>
      <c r="AU101" s="92"/>
      <c r="AV101" s="92"/>
      <c r="AW101" s="92"/>
      <c r="AX101" s="92"/>
      <c r="AY101" s="92"/>
      <c r="AZ101" s="92"/>
      <c r="BA101" s="92"/>
      <c r="BB101" s="92"/>
      <c r="BC101" s="92"/>
      <c r="BD101" s="92"/>
      <c r="BE101" s="92"/>
      <c r="BF101" s="92"/>
      <c r="BG101" s="92"/>
      <c r="BH101" s="92"/>
      <c r="BI101" s="92"/>
      <c r="BJ101" s="92"/>
      <c r="BK101" s="92"/>
      <c r="BL101" s="92"/>
      <c r="BM101" s="92"/>
      <c r="BN101" s="92"/>
    </row>
    <row r="102" s="49" customFormat="1" ht="18" hidden="1" spans="1:66">
      <c r="A102" s="92" t="str">
        <f t="shared" si="34"/>
        <v>1.24</v>
      </c>
      <c r="B102" s="105" t="s">
        <v>94</v>
      </c>
      <c r="C102" s="49" t="s">
        <v>28</v>
      </c>
      <c r="D102" s="94"/>
      <c r="E102" s="95">
        <v>46141</v>
      </c>
      <c r="F102" s="96">
        <f t="shared" si="43"/>
        <v>46147</v>
      </c>
      <c r="G102" s="97">
        <v>7</v>
      </c>
      <c r="H102" s="98">
        <v>0</v>
      </c>
      <c r="I102" s="99">
        <f t="shared" si="44"/>
        <v>5</v>
      </c>
      <c r="J102" s="100"/>
      <c r="K102" s="92"/>
      <c r="L102" s="92"/>
      <c r="M102" s="92"/>
      <c r="N102" s="92"/>
      <c r="O102" s="92"/>
      <c r="P102" s="92"/>
      <c r="Q102" s="92"/>
      <c r="R102" s="92"/>
      <c r="S102" s="92"/>
      <c r="T102" s="92"/>
      <c r="U102" s="92"/>
      <c r="V102" s="92"/>
      <c r="W102" s="92"/>
      <c r="X102" s="92"/>
      <c r="Y102" s="92"/>
      <c r="Z102" s="92"/>
      <c r="AA102" s="92"/>
      <c r="AB102" s="92"/>
      <c r="AC102" s="92"/>
      <c r="AD102" s="92"/>
      <c r="AE102" s="92"/>
      <c r="AF102" s="92"/>
      <c r="AG102" s="92"/>
      <c r="AH102" s="92"/>
      <c r="AI102" s="92"/>
      <c r="AJ102" s="92"/>
      <c r="AK102" s="92"/>
      <c r="AL102" s="92"/>
      <c r="AM102" s="92"/>
      <c r="AN102" s="92"/>
      <c r="AO102" s="92"/>
      <c r="AP102" s="92"/>
      <c r="AQ102" s="92"/>
      <c r="AR102" s="92"/>
      <c r="AS102" s="92"/>
      <c r="AT102" s="92"/>
      <c r="AU102" s="92"/>
      <c r="AV102" s="92"/>
      <c r="AW102" s="92"/>
      <c r="AX102" s="92"/>
      <c r="AY102" s="92"/>
      <c r="AZ102" s="92"/>
      <c r="BA102" s="92"/>
      <c r="BB102" s="92"/>
      <c r="BC102" s="92"/>
      <c r="BD102" s="92"/>
      <c r="BE102" s="92"/>
      <c r="BF102" s="92"/>
      <c r="BG102" s="92"/>
      <c r="BH102" s="92"/>
      <c r="BI102" s="92"/>
      <c r="BJ102" s="92"/>
      <c r="BK102" s="92"/>
      <c r="BL102" s="92"/>
      <c r="BM102" s="92"/>
      <c r="BN102" s="92"/>
    </row>
    <row r="103" s="49" customFormat="1" ht="18" hidden="1" spans="1:66">
      <c r="A103" s="92" t="str">
        <f t="shared" si="34"/>
        <v>1.25</v>
      </c>
      <c r="B103" s="105" t="s">
        <v>95</v>
      </c>
      <c r="C103" s="49" t="s">
        <v>28</v>
      </c>
      <c r="D103" s="94"/>
      <c r="E103" s="95">
        <v>46141</v>
      </c>
      <c r="F103" s="96">
        <f t="shared" ref="F103:F105" si="45">IF(ISBLANK(E103)," - ",IF(G103=0,E103,E103+G103-1))</f>
        <v>46147</v>
      </c>
      <c r="G103" s="97">
        <v>7</v>
      </c>
      <c r="H103" s="98">
        <v>0</v>
      </c>
      <c r="I103" s="99">
        <f t="shared" ref="I103:I105" si="46">IF(OR(F103=0,E103=0)," - ",NETWORKDAYS(E103,F103))</f>
        <v>5</v>
      </c>
      <c r="J103" s="100"/>
      <c r="K103" s="92"/>
      <c r="L103" s="92"/>
      <c r="M103" s="92"/>
      <c r="N103" s="92"/>
      <c r="O103" s="92"/>
      <c r="P103" s="92"/>
      <c r="Q103" s="92"/>
      <c r="R103" s="92"/>
      <c r="S103" s="92"/>
      <c r="T103" s="92"/>
      <c r="U103" s="92"/>
      <c r="V103" s="92"/>
      <c r="W103" s="92"/>
      <c r="X103" s="92"/>
      <c r="Y103" s="92"/>
      <c r="Z103" s="92"/>
      <c r="AA103" s="92"/>
      <c r="AB103" s="92"/>
      <c r="AC103" s="92"/>
      <c r="AD103" s="92"/>
      <c r="AE103" s="92"/>
      <c r="AF103" s="92"/>
      <c r="AG103" s="92"/>
      <c r="AH103" s="92"/>
      <c r="AI103" s="92"/>
      <c r="AJ103" s="92"/>
      <c r="AK103" s="92"/>
      <c r="AL103" s="92"/>
      <c r="AM103" s="92"/>
      <c r="AN103" s="92"/>
      <c r="AO103" s="92"/>
      <c r="AP103" s="92"/>
      <c r="AQ103" s="92"/>
      <c r="AR103" s="92"/>
      <c r="AS103" s="92"/>
      <c r="AT103" s="92"/>
      <c r="AU103" s="92"/>
      <c r="AV103" s="92"/>
      <c r="AW103" s="92"/>
      <c r="AX103" s="92"/>
      <c r="AY103" s="92"/>
      <c r="AZ103" s="92"/>
      <c r="BA103" s="92"/>
      <c r="BB103" s="92"/>
      <c r="BC103" s="92"/>
      <c r="BD103" s="92"/>
      <c r="BE103" s="92"/>
      <c r="BF103" s="92"/>
      <c r="BG103" s="92"/>
      <c r="BH103" s="92"/>
      <c r="BI103" s="92"/>
      <c r="BJ103" s="92"/>
      <c r="BK103" s="92"/>
      <c r="BL103" s="92"/>
      <c r="BM103" s="92"/>
      <c r="BN103" s="92"/>
    </row>
    <row r="104" s="49" customFormat="1" ht="18" hidden="1" spans="1:66">
      <c r="A104" s="92" t="str">
        <f t="shared" si="34"/>
        <v>1.26</v>
      </c>
      <c r="B104" s="105" t="s">
        <v>96</v>
      </c>
      <c r="C104" s="49" t="s">
        <v>28</v>
      </c>
      <c r="D104" s="94"/>
      <c r="E104" s="95">
        <v>46148</v>
      </c>
      <c r="F104" s="96">
        <f t="shared" si="45"/>
        <v>46154</v>
      </c>
      <c r="G104" s="97">
        <v>7</v>
      </c>
      <c r="H104" s="98">
        <v>0</v>
      </c>
      <c r="I104" s="99">
        <f t="shared" si="46"/>
        <v>5</v>
      </c>
      <c r="J104" s="100"/>
      <c r="K104" s="92"/>
      <c r="L104" s="92"/>
      <c r="M104" s="92"/>
      <c r="N104" s="92"/>
      <c r="O104" s="92"/>
      <c r="P104" s="92"/>
      <c r="Q104" s="92"/>
      <c r="R104" s="92"/>
      <c r="S104" s="92"/>
      <c r="T104" s="92"/>
      <c r="U104" s="92"/>
      <c r="V104" s="92"/>
      <c r="W104" s="92"/>
      <c r="X104" s="92"/>
      <c r="Y104" s="92"/>
      <c r="Z104" s="92"/>
      <c r="AA104" s="92"/>
      <c r="AB104" s="92"/>
      <c r="AC104" s="92"/>
      <c r="AD104" s="92"/>
      <c r="AE104" s="92"/>
      <c r="AF104" s="92"/>
      <c r="AG104" s="92"/>
      <c r="AH104" s="92"/>
      <c r="AI104" s="92"/>
      <c r="AJ104" s="92"/>
      <c r="AK104" s="92"/>
      <c r="AL104" s="92"/>
      <c r="AM104" s="92"/>
      <c r="AN104" s="92"/>
      <c r="AO104" s="92"/>
      <c r="AP104" s="92"/>
      <c r="AQ104" s="92"/>
      <c r="AR104" s="92"/>
      <c r="AS104" s="92"/>
      <c r="AT104" s="92"/>
      <c r="AU104" s="92"/>
      <c r="AV104" s="92"/>
      <c r="AW104" s="92"/>
      <c r="AX104" s="92"/>
      <c r="AY104" s="92"/>
      <c r="AZ104" s="92"/>
      <c r="BA104" s="92"/>
      <c r="BB104" s="92"/>
      <c r="BC104" s="92"/>
      <c r="BD104" s="92"/>
      <c r="BE104" s="92"/>
      <c r="BF104" s="92"/>
      <c r="BG104" s="92"/>
      <c r="BH104" s="92"/>
      <c r="BI104" s="92"/>
      <c r="BJ104" s="92"/>
      <c r="BK104" s="92"/>
      <c r="BL104" s="92"/>
      <c r="BM104" s="92"/>
      <c r="BN104" s="92"/>
    </row>
    <row r="105" s="49" customFormat="1" ht="18" hidden="1" spans="1:66">
      <c r="A105" s="92" t="str">
        <f t="shared" si="34"/>
        <v>1.27</v>
      </c>
      <c r="B105" s="105" t="s">
        <v>97</v>
      </c>
      <c r="C105" s="49" t="s">
        <v>28</v>
      </c>
      <c r="D105" s="94"/>
      <c r="E105" s="95">
        <v>46148</v>
      </c>
      <c r="F105" s="96">
        <f t="shared" si="45"/>
        <v>46154</v>
      </c>
      <c r="G105" s="97">
        <v>7</v>
      </c>
      <c r="H105" s="98">
        <v>0</v>
      </c>
      <c r="I105" s="99">
        <f t="shared" si="46"/>
        <v>5</v>
      </c>
      <c r="J105" s="100"/>
      <c r="K105" s="92"/>
      <c r="L105" s="92"/>
      <c r="M105" s="92"/>
      <c r="N105" s="92"/>
      <c r="O105" s="92"/>
      <c r="P105" s="92"/>
      <c r="Q105" s="92"/>
      <c r="R105" s="92"/>
      <c r="S105" s="92"/>
      <c r="T105" s="92"/>
      <c r="U105" s="92"/>
      <c r="V105" s="92"/>
      <c r="W105" s="92"/>
      <c r="X105" s="92"/>
      <c r="Y105" s="92"/>
      <c r="Z105" s="92"/>
      <c r="AA105" s="92"/>
      <c r="AB105" s="92"/>
      <c r="AC105" s="92"/>
      <c r="AD105" s="92"/>
      <c r="AE105" s="92"/>
      <c r="AF105" s="92"/>
      <c r="AG105" s="92"/>
      <c r="AH105" s="92"/>
      <c r="AI105" s="92"/>
      <c r="AJ105" s="92"/>
      <c r="AK105" s="92"/>
      <c r="AL105" s="92"/>
      <c r="AM105" s="92"/>
      <c r="AN105" s="92"/>
      <c r="AO105" s="92"/>
      <c r="AP105" s="92"/>
      <c r="AQ105" s="92"/>
      <c r="AR105" s="92"/>
      <c r="AS105" s="92"/>
      <c r="AT105" s="92"/>
      <c r="AU105" s="92"/>
      <c r="AV105" s="92"/>
      <c r="AW105" s="92"/>
      <c r="AX105" s="92"/>
      <c r="AY105" s="92"/>
      <c r="AZ105" s="92"/>
      <c r="BA105" s="92"/>
      <c r="BB105" s="92"/>
      <c r="BC105" s="92"/>
      <c r="BD105" s="92"/>
      <c r="BE105" s="92"/>
      <c r="BF105" s="92"/>
      <c r="BG105" s="92"/>
      <c r="BH105" s="92"/>
      <c r="BI105" s="92"/>
      <c r="BJ105" s="92"/>
      <c r="BK105" s="92"/>
      <c r="BL105" s="92"/>
      <c r="BM105" s="92"/>
      <c r="BN105" s="92"/>
    </row>
    <row r="106" s="48" customFormat="1" ht="18" hidden="1" spans="1:66">
      <c r="A106" s="106" t="str">
        <f>IF(ISERROR(VALUE(SUBSTITUTE(prevWBS,".",""))),"1",IF(ISERROR(FIND("`",SUBSTITUTE(prevWBS,".","`",1))),TEXT(VALUE(prevWBS)+1,"#"),TEXT(VALUE(LEFT(prevWBS,FIND("`",SUBSTITUTE(prevWBS,".","`",1))-1))+1,"#")))</f>
        <v>2</v>
      </c>
      <c r="B106" s="107" t="s">
        <v>98</v>
      </c>
      <c r="D106" s="108"/>
      <c r="E106" s="109"/>
      <c r="F106" s="109" t="str">
        <f t="shared" si="41"/>
        <v> - </v>
      </c>
      <c r="G106" s="110"/>
      <c r="H106" s="111"/>
      <c r="I106" s="112" t="str">
        <f t="shared" si="42"/>
        <v> - </v>
      </c>
      <c r="J106" s="113"/>
      <c r="K106" s="114"/>
      <c r="L106" s="114"/>
      <c r="M106" s="114"/>
      <c r="N106" s="114"/>
      <c r="O106" s="114"/>
      <c r="P106" s="114"/>
      <c r="Q106" s="114"/>
      <c r="R106" s="114"/>
      <c r="S106" s="114"/>
      <c r="T106" s="114"/>
      <c r="U106" s="114"/>
      <c r="V106" s="114"/>
      <c r="W106" s="114"/>
      <c r="X106" s="114"/>
      <c r="Y106" s="114"/>
      <c r="Z106" s="114"/>
      <c r="AA106" s="114"/>
      <c r="AB106" s="114"/>
      <c r="AC106" s="114"/>
      <c r="AD106" s="114"/>
      <c r="AE106" s="114"/>
      <c r="AF106" s="114"/>
      <c r="AG106" s="114"/>
      <c r="AH106" s="114"/>
      <c r="AI106" s="114"/>
      <c r="AJ106" s="114"/>
      <c r="AK106" s="114"/>
      <c r="AL106" s="114"/>
      <c r="AM106" s="114"/>
      <c r="AN106" s="114"/>
      <c r="AO106" s="114"/>
      <c r="AP106" s="114"/>
      <c r="AQ106" s="114"/>
      <c r="AR106" s="114"/>
      <c r="AS106" s="114"/>
      <c r="AT106" s="114"/>
      <c r="AU106" s="114"/>
      <c r="AV106" s="114"/>
      <c r="AW106" s="114"/>
      <c r="AX106" s="114"/>
      <c r="AY106" s="114"/>
      <c r="AZ106" s="114"/>
      <c r="BA106" s="114"/>
      <c r="BB106" s="114"/>
      <c r="BC106" s="114"/>
      <c r="BD106" s="114"/>
      <c r="BE106" s="114"/>
      <c r="BF106" s="114"/>
      <c r="BG106" s="114"/>
      <c r="BH106" s="114"/>
      <c r="BI106" s="114"/>
      <c r="BJ106" s="114"/>
      <c r="BK106" s="114"/>
      <c r="BL106" s="114"/>
      <c r="BM106" s="114"/>
      <c r="BN106" s="114"/>
    </row>
    <row r="107" s="49" customFormat="1" ht="18" hidden="1" spans="1:66">
      <c r="A107" s="92" t="str">
        <f t="shared" si="34"/>
        <v>2.1</v>
      </c>
      <c r="B107" s="115" t="s">
        <v>99</v>
      </c>
      <c r="C107" s="49" t="s">
        <v>78</v>
      </c>
      <c r="D107" s="94"/>
      <c r="E107" s="95">
        <v>46034</v>
      </c>
      <c r="F107" s="96">
        <f t="shared" si="41"/>
        <v>46038</v>
      </c>
      <c r="G107" s="97">
        <v>5</v>
      </c>
      <c r="H107" s="98">
        <v>0</v>
      </c>
      <c r="I107" s="99">
        <f t="shared" si="42"/>
        <v>5</v>
      </c>
      <c r="J107" s="100"/>
      <c r="K107" s="92"/>
      <c r="L107" s="92"/>
      <c r="M107" s="92"/>
      <c r="N107" s="92"/>
      <c r="O107" s="92"/>
      <c r="P107" s="92"/>
      <c r="Q107" s="92"/>
      <c r="R107" s="92"/>
      <c r="S107" s="92"/>
      <c r="T107" s="92"/>
      <c r="U107" s="92"/>
      <c r="V107" s="92"/>
      <c r="W107" s="92"/>
      <c r="X107" s="92"/>
      <c r="Y107" s="92"/>
      <c r="Z107" s="92"/>
      <c r="AA107" s="92"/>
      <c r="AB107" s="92"/>
      <c r="AC107" s="92"/>
      <c r="AD107" s="92"/>
      <c r="AE107" s="92"/>
      <c r="AF107" s="92"/>
      <c r="AG107" s="92"/>
      <c r="AH107" s="92"/>
      <c r="AI107" s="92"/>
      <c r="AJ107" s="92"/>
      <c r="AK107" s="92"/>
      <c r="AL107" s="92"/>
      <c r="AM107" s="92"/>
      <c r="AN107" s="92"/>
      <c r="AO107" s="92"/>
      <c r="AP107" s="92"/>
      <c r="AQ107" s="92"/>
      <c r="AR107" s="92"/>
      <c r="AS107" s="92"/>
      <c r="AT107" s="92"/>
      <c r="AU107" s="92"/>
      <c r="AV107" s="92"/>
      <c r="AW107" s="92"/>
      <c r="AX107" s="92"/>
      <c r="AY107" s="92"/>
      <c r="AZ107" s="92"/>
      <c r="BA107" s="92"/>
      <c r="BB107" s="92"/>
      <c r="BC107" s="92"/>
      <c r="BD107" s="92"/>
      <c r="BE107" s="92"/>
      <c r="BF107" s="92"/>
      <c r="BG107" s="92"/>
      <c r="BH107" s="92"/>
      <c r="BI107" s="92"/>
      <c r="BJ107" s="92"/>
      <c r="BK107" s="92"/>
      <c r="BL107" s="92"/>
      <c r="BM107" s="92"/>
      <c r="BN107" s="92"/>
    </row>
    <row r="108" s="49" customFormat="1" ht="18" hidden="1" spans="1:66">
      <c r="A108" s="92" t="str">
        <f t="shared" si="34"/>
        <v>2.2</v>
      </c>
      <c r="B108" s="115" t="s">
        <v>100</v>
      </c>
      <c r="C108" s="49" t="s">
        <v>101</v>
      </c>
      <c r="D108" s="94"/>
      <c r="E108" s="95">
        <v>46023</v>
      </c>
      <c r="F108" s="96">
        <f t="shared" si="41"/>
        <v>46032</v>
      </c>
      <c r="G108" s="97">
        <v>10</v>
      </c>
      <c r="H108" s="98">
        <v>0</v>
      </c>
      <c r="I108" s="99">
        <v>6</v>
      </c>
      <c r="J108" s="100"/>
      <c r="K108" s="92"/>
      <c r="L108" s="92"/>
      <c r="M108" s="92"/>
      <c r="N108" s="92"/>
      <c r="O108" s="92"/>
      <c r="P108" s="92"/>
      <c r="Q108" s="92"/>
      <c r="R108" s="92"/>
      <c r="S108" s="92"/>
      <c r="T108" s="92"/>
      <c r="U108" s="92"/>
      <c r="V108" s="92"/>
      <c r="W108" s="92"/>
      <c r="X108" s="92"/>
      <c r="Y108" s="92"/>
      <c r="Z108" s="92"/>
      <c r="AA108" s="92"/>
      <c r="AB108" s="92"/>
      <c r="AC108" s="92"/>
      <c r="AD108" s="92"/>
      <c r="AE108" s="92"/>
      <c r="AF108" s="92"/>
      <c r="AG108" s="92"/>
      <c r="AH108" s="92"/>
      <c r="AI108" s="92"/>
      <c r="AJ108" s="92"/>
      <c r="AK108" s="92"/>
      <c r="AL108" s="92"/>
      <c r="AM108" s="92"/>
      <c r="AN108" s="92"/>
      <c r="AO108" s="92"/>
      <c r="AP108" s="92"/>
      <c r="AQ108" s="92"/>
      <c r="AR108" s="92"/>
      <c r="AS108" s="92"/>
      <c r="AT108" s="92"/>
      <c r="AU108" s="92"/>
      <c r="AV108" s="92"/>
      <c r="AW108" s="92"/>
      <c r="AX108" s="92"/>
      <c r="AY108" s="92"/>
      <c r="AZ108" s="92"/>
      <c r="BA108" s="92"/>
      <c r="BB108" s="92"/>
      <c r="BC108" s="92"/>
      <c r="BD108" s="92"/>
      <c r="BE108" s="92"/>
      <c r="BF108" s="92"/>
      <c r="BG108" s="92"/>
      <c r="BH108" s="92"/>
      <c r="BI108" s="92"/>
      <c r="BJ108" s="92"/>
      <c r="BK108" s="92"/>
      <c r="BL108" s="92"/>
      <c r="BM108" s="92"/>
      <c r="BN108" s="92"/>
    </row>
    <row r="109" s="49" customFormat="1" ht="45" hidden="1" customHeight="1" spans="1:66">
      <c r="A109" s="92" t="str">
        <f t="shared" si="34"/>
        <v>2.3</v>
      </c>
      <c r="B109" s="115" t="s">
        <v>102</v>
      </c>
      <c r="C109" s="49" t="s">
        <v>70</v>
      </c>
      <c r="D109" s="94"/>
      <c r="E109" s="95">
        <v>46034</v>
      </c>
      <c r="F109" s="96">
        <f t="shared" si="41"/>
        <v>46038</v>
      </c>
      <c r="G109" s="97">
        <v>5</v>
      </c>
      <c r="H109" s="98">
        <v>0</v>
      </c>
      <c r="I109" s="99">
        <v>5</v>
      </c>
      <c r="J109" s="100"/>
      <c r="K109" s="92"/>
      <c r="L109" s="92"/>
      <c r="M109" s="92"/>
      <c r="N109" s="92"/>
      <c r="O109" s="92"/>
      <c r="P109" s="92"/>
      <c r="Q109" s="92"/>
      <c r="R109" s="92"/>
      <c r="S109" s="92"/>
      <c r="T109" s="92"/>
      <c r="U109" s="92"/>
      <c r="V109" s="92"/>
      <c r="W109" s="92"/>
      <c r="X109" s="92"/>
      <c r="Y109" s="92"/>
      <c r="Z109" s="92"/>
      <c r="AA109" s="92"/>
      <c r="AB109" s="92"/>
      <c r="AC109" s="92"/>
      <c r="AD109" s="92"/>
      <c r="AE109" s="92"/>
      <c r="AF109" s="92"/>
      <c r="AG109" s="92"/>
      <c r="AH109" s="92"/>
      <c r="AI109" s="92"/>
      <c r="AJ109" s="92"/>
      <c r="AK109" s="92"/>
      <c r="AL109" s="92"/>
      <c r="AM109" s="92"/>
      <c r="AN109" s="92"/>
      <c r="AO109" s="92"/>
      <c r="AP109" s="92"/>
      <c r="AQ109" s="92"/>
      <c r="AR109" s="92"/>
      <c r="AS109" s="92"/>
      <c r="AT109" s="92"/>
      <c r="AU109" s="92"/>
      <c r="AV109" s="92"/>
      <c r="AW109" s="92"/>
      <c r="AX109" s="92"/>
      <c r="AY109" s="92"/>
      <c r="AZ109" s="92"/>
      <c r="BA109" s="92"/>
      <c r="BB109" s="92"/>
      <c r="BC109" s="92"/>
      <c r="BD109" s="92"/>
      <c r="BE109" s="92"/>
      <c r="BF109" s="92"/>
      <c r="BG109" s="92"/>
      <c r="BH109" s="92"/>
      <c r="BI109" s="92"/>
      <c r="BJ109" s="92"/>
      <c r="BK109" s="92"/>
      <c r="BL109" s="92"/>
      <c r="BM109" s="92"/>
      <c r="BN109" s="92"/>
    </row>
    <row r="110" s="48" customFormat="1" ht="18" hidden="1" spans="1:66">
      <c r="A110" s="106" t="str">
        <f>IF(ISERROR(VALUE(SUBSTITUTE(prevWBS,".",""))),"1",IF(ISERROR(FIND("`",SUBSTITUTE(prevWBS,".","`",1))),TEXT(VALUE(prevWBS)+1,"#"),TEXT(VALUE(LEFT(prevWBS,FIND("`",SUBSTITUTE(prevWBS,".","`",1))-1))+1,"#")))</f>
        <v>3</v>
      </c>
      <c r="B110" s="107" t="s">
        <v>103</v>
      </c>
      <c r="D110" s="108"/>
      <c r="E110" s="109"/>
      <c r="F110" s="109" t="str">
        <f t="shared" ref="F110:F115" si="47">IF(ISBLANK(E110)," - ",IF(G110=0,E110,E110+G110-1))</f>
        <v> - </v>
      </c>
      <c r="G110" s="110"/>
      <c r="H110" s="111"/>
      <c r="I110" s="112" t="str">
        <f t="shared" ref="I110" si="48">IF(OR(F110=0,E110=0)," - ",NETWORKDAYS(E110,F110))</f>
        <v> - </v>
      </c>
      <c r="J110" s="113"/>
      <c r="K110" s="114"/>
      <c r="L110" s="114"/>
      <c r="M110" s="114"/>
      <c r="N110" s="114"/>
      <c r="O110" s="114"/>
      <c r="P110" s="114"/>
      <c r="Q110" s="114"/>
      <c r="R110" s="114"/>
      <c r="S110" s="114"/>
      <c r="T110" s="114"/>
      <c r="U110" s="114"/>
      <c r="V110" s="114"/>
      <c r="W110" s="114"/>
      <c r="X110" s="114"/>
      <c r="Y110" s="114"/>
      <c r="Z110" s="114"/>
      <c r="AA110" s="114"/>
      <c r="AB110" s="114"/>
      <c r="AC110" s="114"/>
      <c r="AD110" s="114"/>
      <c r="AE110" s="114"/>
      <c r="AF110" s="114"/>
      <c r="AG110" s="114"/>
      <c r="AH110" s="114"/>
      <c r="AI110" s="114"/>
      <c r="AJ110" s="114"/>
      <c r="AK110" s="114"/>
      <c r="AL110" s="114"/>
      <c r="AM110" s="114"/>
      <c r="AN110" s="114"/>
      <c r="AO110" s="114"/>
      <c r="AP110" s="114"/>
      <c r="AQ110" s="114"/>
      <c r="AR110" s="114"/>
      <c r="AS110" s="114"/>
      <c r="AT110" s="114"/>
      <c r="AU110" s="114"/>
      <c r="AV110" s="114"/>
      <c r="AW110" s="114"/>
      <c r="AX110" s="114"/>
      <c r="AY110" s="114"/>
      <c r="AZ110" s="114"/>
      <c r="BA110" s="114"/>
      <c r="BB110" s="114"/>
      <c r="BC110" s="114"/>
      <c r="BD110" s="114"/>
      <c r="BE110" s="114"/>
      <c r="BF110" s="114"/>
      <c r="BG110" s="114"/>
      <c r="BH110" s="114"/>
      <c r="BI110" s="114"/>
      <c r="BJ110" s="114"/>
      <c r="BK110" s="114"/>
      <c r="BL110" s="114"/>
      <c r="BM110" s="114"/>
      <c r="BN110" s="114"/>
    </row>
    <row r="111" s="49" customFormat="1" ht="18" hidden="1" spans="1:66">
      <c r="A111" s="92" t="str">
        <f t="shared" si="34"/>
        <v>3.1</v>
      </c>
      <c r="B111" s="115" t="s">
        <v>104</v>
      </c>
      <c r="C111" s="49" t="s">
        <v>78</v>
      </c>
      <c r="D111" s="94"/>
      <c r="E111" s="95">
        <v>46041</v>
      </c>
      <c r="F111" s="96">
        <f t="shared" si="47"/>
        <v>46044</v>
      </c>
      <c r="G111" s="97">
        <v>4</v>
      </c>
      <c r="H111" s="98">
        <v>0</v>
      </c>
      <c r="I111" s="99">
        <v>4</v>
      </c>
      <c r="J111" s="100"/>
      <c r="K111" s="92"/>
      <c r="L111" s="92"/>
      <c r="M111" s="92"/>
      <c r="N111" s="92"/>
      <c r="O111" s="92"/>
      <c r="P111" s="92"/>
      <c r="Q111" s="92"/>
      <c r="R111" s="92"/>
      <c r="S111" s="92"/>
      <c r="T111" s="92"/>
      <c r="U111" s="92"/>
      <c r="V111" s="92"/>
      <c r="W111" s="92"/>
      <c r="X111" s="92"/>
      <c r="Y111" s="92"/>
      <c r="Z111" s="92"/>
      <c r="AA111" s="92"/>
      <c r="AB111" s="92"/>
      <c r="AC111" s="92"/>
      <c r="AD111" s="92"/>
      <c r="AE111" s="92"/>
      <c r="AF111" s="92"/>
      <c r="AG111" s="92"/>
      <c r="AH111" s="92"/>
      <c r="AI111" s="92"/>
      <c r="AJ111" s="92"/>
      <c r="AK111" s="92"/>
      <c r="AL111" s="92"/>
      <c r="AM111" s="92"/>
      <c r="AN111" s="92"/>
      <c r="AO111" s="92"/>
      <c r="AP111" s="92"/>
      <c r="AQ111" s="92"/>
      <c r="AR111" s="92"/>
      <c r="AS111" s="92"/>
      <c r="AT111" s="92"/>
      <c r="AU111" s="92"/>
      <c r="AV111" s="92"/>
      <c r="AW111" s="92"/>
      <c r="AX111" s="92"/>
      <c r="AY111" s="92"/>
      <c r="AZ111" s="92"/>
      <c r="BA111" s="92"/>
      <c r="BB111" s="92"/>
      <c r="BC111" s="92"/>
      <c r="BD111" s="92"/>
      <c r="BE111" s="92"/>
      <c r="BF111" s="92"/>
      <c r="BG111" s="92"/>
      <c r="BH111" s="92"/>
      <c r="BI111" s="92"/>
      <c r="BJ111" s="92"/>
      <c r="BK111" s="92"/>
      <c r="BL111" s="92"/>
      <c r="BM111" s="92"/>
      <c r="BN111" s="92"/>
    </row>
    <row r="112" s="49" customFormat="1" ht="18" hidden="1" spans="1:66">
      <c r="A112" s="92" t="str">
        <f t="shared" si="34"/>
        <v>3.2</v>
      </c>
      <c r="B112" s="115" t="s">
        <v>105</v>
      </c>
      <c r="C112" s="49" t="s">
        <v>70</v>
      </c>
      <c r="D112" s="94"/>
      <c r="E112" s="95">
        <v>46041</v>
      </c>
      <c r="F112" s="96">
        <f t="shared" si="47"/>
        <v>46044</v>
      </c>
      <c r="G112" s="97">
        <v>4</v>
      </c>
      <c r="H112" s="98">
        <v>0</v>
      </c>
      <c r="I112" s="99">
        <v>4</v>
      </c>
      <c r="J112" s="100"/>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92"/>
      <c r="AH112" s="92"/>
      <c r="AI112" s="92"/>
      <c r="AJ112" s="92"/>
      <c r="AK112" s="92"/>
      <c r="AL112" s="92"/>
      <c r="AM112" s="92"/>
      <c r="AN112" s="92"/>
      <c r="AO112" s="92"/>
      <c r="AP112" s="92"/>
      <c r="AQ112" s="92"/>
      <c r="AR112" s="92"/>
      <c r="AS112" s="92"/>
      <c r="AT112" s="92"/>
      <c r="AU112" s="92"/>
      <c r="AV112" s="92"/>
      <c r="AW112" s="92"/>
      <c r="AX112" s="92"/>
      <c r="AY112" s="92"/>
      <c r="AZ112" s="92"/>
      <c r="BA112" s="92"/>
      <c r="BB112" s="92"/>
      <c r="BC112" s="92"/>
      <c r="BD112" s="92"/>
      <c r="BE112" s="92"/>
      <c r="BF112" s="92"/>
      <c r="BG112" s="92"/>
      <c r="BH112" s="92"/>
      <c r="BI112" s="92"/>
      <c r="BJ112" s="92"/>
      <c r="BK112" s="92"/>
      <c r="BL112" s="92"/>
      <c r="BM112" s="92"/>
      <c r="BN112" s="92"/>
    </row>
    <row r="113" s="49" customFormat="1" ht="18" hidden="1" spans="1:66">
      <c r="A113" s="92" t="str">
        <f t="shared" si="34"/>
        <v>3.3</v>
      </c>
      <c r="B113" s="115" t="s">
        <v>106</v>
      </c>
      <c r="C113" s="49" t="s">
        <v>20</v>
      </c>
      <c r="D113" s="94"/>
      <c r="E113" s="95">
        <v>46045</v>
      </c>
      <c r="F113" s="96">
        <f t="shared" si="47"/>
        <v>46050</v>
      </c>
      <c r="G113" s="97">
        <v>6</v>
      </c>
      <c r="H113" s="98">
        <v>0</v>
      </c>
      <c r="I113" s="99">
        <v>4</v>
      </c>
      <c r="J113" s="100"/>
      <c r="K113" s="92"/>
      <c r="L113" s="92"/>
      <c r="M113" s="92"/>
      <c r="N113" s="92"/>
      <c r="O113" s="92"/>
      <c r="P113" s="92"/>
      <c r="Q113" s="92"/>
      <c r="R113" s="92"/>
      <c r="S113" s="92"/>
      <c r="T113" s="92"/>
      <c r="U113" s="92"/>
      <c r="V113" s="92"/>
      <c r="W113" s="92"/>
      <c r="X113" s="92"/>
      <c r="Y113" s="92"/>
      <c r="Z113" s="92"/>
      <c r="AA113" s="92"/>
      <c r="AB113" s="92"/>
      <c r="AC113" s="92"/>
      <c r="AD113" s="92"/>
      <c r="AE113" s="92"/>
      <c r="AF113" s="92"/>
      <c r="AG113" s="92"/>
      <c r="AH113" s="92"/>
      <c r="AI113" s="92"/>
      <c r="AJ113" s="92"/>
      <c r="AK113" s="92"/>
      <c r="AL113" s="92"/>
      <c r="AM113" s="92"/>
      <c r="AN113" s="92"/>
      <c r="AO113" s="92"/>
      <c r="AP113" s="92"/>
      <c r="AQ113" s="92"/>
      <c r="AR113" s="92"/>
      <c r="AS113" s="92"/>
      <c r="AT113" s="92"/>
      <c r="AU113" s="92"/>
      <c r="AV113" s="92"/>
      <c r="AW113" s="92"/>
      <c r="AX113" s="92"/>
      <c r="AY113" s="92"/>
      <c r="AZ113" s="92"/>
      <c r="BA113" s="92"/>
      <c r="BB113" s="92"/>
      <c r="BC113" s="92"/>
      <c r="BD113" s="92"/>
      <c r="BE113" s="92"/>
      <c r="BF113" s="92"/>
      <c r="BG113" s="92"/>
      <c r="BH113" s="92"/>
      <c r="BI113" s="92"/>
      <c r="BJ113" s="92"/>
      <c r="BK113" s="92"/>
      <c r="BL113" s="92"/>
      <c r="BM113" s="92"/>
      <c r="BN113" s="92"/>
    </row>
    <row r="114" s="49" customFormat="1" ht="18" hidden="1" spans="1:66">
      <c r="A114" s="92" t="str">
        <f t="shared" si="34"/>
        <v>3.4</v>
      </c>
      <c r="B114" s="115" t="s">
        <v>107</v>
      </c>
      <c r="C114" s="49" t="s">
        <v>20</v>
      </c>
      <c r="D114" s="94"/>
      <c r="E114" s="95">
        <v>46051</v>
      </c>
      <c r="F114" s="96">
        <f t="shared" si="47"/>
        <v>46056</v>
      </c>
      <c r="G114" s="97">
        <v>6</v>
      </c>
      <c r="H114" s="98">
        <v>0</v>
      </c>
      <c r="I114" s="99">
        <v>4</v>
      </c>
      <c r="J114" s="100"/>
      <c r="K114" s="92"/>
      <c r="L114" s="92"/>
      <c r="M114" s="92"/>
      <c r="N114" s="92"/>
      <c r="O114" s="92"/>
      <c r="P114" s="92"/>
      <c r="Q114" s="92"/>
      <c r="R114" s="92"/>
      <c r="S114" s="92"/>
      <c r="T114" s="92"/>
      <c r="U114" s="92"/>
      <c r="V114" s="92"/>
      <c r="W114" s="92"/>
      <c r="X114" s="92"/>
      <c r="Y114" s="92"/>
      <c r="Z114" s="92"/>
      <c r="AA114" s="92"/>
      <c r="AB114" s="92"/>
      <c r="AC114" s="92"/>
      <c r="AD114" s="92"/>
      <c r="AE114" s="92"/>
      <c r="AF114" s="92"/>
      <c r="AG114" s="92"/>
      <c r="AH114" s="92"/>
      <c r="AI114" s="92"/>
      <c r="AJ114" s="92"/>
      <c r="AK114" s="92"/>
      <c r="AL114" s="92"/>
      <c r="AM114" s="92"/>
      <c r="AN114" s="92"/>
      <c r="AO114" s="92"/>
      <c r="AP114" s="92"/>
      <c r="AQ114" s="92"/>
      <c r="AR114" s="92"/>
      <c r="AS114" s="92"/>
      <c r="AT114" s="92"/>
      <c r="AU114" s="92"/>
      <c r="AV114" s="92"/>
      <c r="AW114" s="92"/>
      <c r="AX114" s="92"/>
      <c r="AY114" s="92"/>
      <c r="AZ114" s="92"/>
      <c r="BA114" s="92"/>
      <c r="BB114" s="92"/>
      <c r="BC114" s="92"/>
      <c r="BD114" s="92"/>
      <c r="BE114" s="92"/>
      <c r="BF114" s="92"/>
      <c r="BG114" s="92"/>
      <c r="BH114" s="92"/>
      <c r="BI114" s="92"/>
      <c r="BJ114" s="92"/>
      <c r="BK114" s="92"/>
      <c r="BL114" s="92"/>
      <c r="BM114" s="92"/>
      <c r="BN114" s="92"/>
    </row>
    <row r="115" s="49" customFormat="1" ht="18" hidden="1" spans="1:66">
      <c r="A115" s="92" t="str">
        <f t="shared" si="34"/>
        <v>3.5</v>
      </c>
      <c r="B115" s="115" t="s">
        <v>108</v>
      </c>
      <c r="C115" s="49" t="s">
        <v>28</v>
      </c>
      <c r="D115" s="94"/>
      <c r="E115" s="95">
        <v>46045</v>
      </c>
      <c r="F115" s="96">
        <f t="shared" si="47"/>
        <v>46050</v>
      </c>
      <c r="G115" s="97">
        <v>6</v>
      </c>
      <c r="H115" s="98">
        <v>0</v>
      </c>
      <c r="I115" s="99">
        <v>4</v>
      </c>
      <c r="J115" s="100"/>
      <c r="K115" s="92"/>
      <c r="L115" s="92"/>
      <c r="M115" s="92"/>
      <c r="N115" s="92"/>
      <c r="O115" s="92"/>
      <c r="P115" s="92"/>
      <c r="Q115" s="92"/>
      <c r="R115" s="92"/>
      <c r="S115" s="92"/>
      <c r="T115" s="92"/>
      <c r="U115" s="92"/>
      <c r="V115" s="92"/>
      <c r="W115" s="92"/>
      <c r="X115" s="92"/>
      <c r="Y115" s="92"/>
      <c r="Z115" s="92"/>
      <c r="AA115" s="92"/>
      <c r="AB115" s="92"/>
      <c r="AC115" s="92"/>
      <c r="AD115" s="92"/>
      <c r="AE115" s="92"/>
      <c r="AF115" s="92"/>
      <c r="AG115" s="92"/>
      <c r="AH115" s="92"/>
      <c r="AI115" s="92"/>
      <c r="AJ115" s="92"/>
      <c r="AK115" s="92"/>
      <c r="AL115" s="92"/>
      <c r="AM115" s="92"/>
      <c r="AN115" s="92"/>
      <c r="AO115" s="92"/>
      <c r="AP115" s="92"/>
      <c r="AQ115" s="92"/>
      <c r="AR115" s="92"/>
      <c r="AS115" s="92"/>
      <c r="AT115" s="92"/>
      <c r="AU115" s="92"/>
      <c r="AV115" s="92"/>
      <c r="AW115" s="92"/>
      <c r="AX115" s="92"/>
      <c r="AY115" s="92"/>
      <c r="AZ115" s="92"/>
      <c r="BA115" s="92"/>
      <c r="BB115" s="92"/>
      <c r="BC115" s="92"/>
      <c r="BD115" s="92"/>
      <c r="BE115" s="92"/>
      <c r="BF115" s="92"/>
      <c r="BG115" s="92"/>
      <c r="BH115" s="92"/>
      <c r="BI115" s="92"/>
      <c r="BJ115" s="92"/>
      <c r="BK115" s="92"/>
      <c r="BL115" s="92"/>
      <c r="BM115" s="92"/>
      <c r="BN115" s="92"/>
    </row>
    <row r="116" s="48" customFormat="1" ht="18" hidden="1" spans="1:66">
      <c r="A116" s="106" t="str">
        <f>IF(ISERROR(VALUE(SUBSTITUTE(prevWBS,".",""))),"1",IF(ISERROR(FIND("`",SUBSTITUTE(prevWBS,".","`",1))),TEXT(VALUE(prevWBS)+1,"#"),TEXT(VALUE(LEFT(prevWBS,FIND("`",SUBSTITUTE(prevWBS,".","`",1))-1))+1,"#")))</f>
        <v>4</v>
      </c>
      <c r="B116" s="107" t="s">
        <v>109</v>
      </c>
      <c r="D116" s="108"/>
      <c r="E116" s="109"/>
      <c r="F116" s="109" t="str">
        <f t="shared" ref="F116:F117" si="49">IF(ISBLANK(E116)," - ",IF(G116=0,E116,E116+G116-1))</f>
        <v> - </v>
      </c>
      <c r="G116" s="110"/>
      <c r="H116" s="111"/>
      <c r="I116" s="112" t="str">
        <f t="shared" ref="I116" si="50">IF(OR(F116=0,E116=0)," - ",NETWORKDAYS(E116,F116))</f>
        <v> - </v>
      </c>
      <c r="J116" s="113"/>
      <c r="K116" s="114"/>
      <c r="L116" s="114"/>
      <c r="M116" s="114"/>
      <c r="N116" s="114"/>
      <c r="O116" s="114"/>
      <c r="P116" s="114"/>
      <c r="Q116" s="114"/>
      <c r="R116" s="114"/>
      <c r="S116" s="114"/>
      <c r="T116" s="114"/>
      <c r="U116" s="114"/>
      <c r="V116" s="114"/>
      <c r="W116" s="114"/>
      <c r="X116" s="114"/>
      <c r="Y116" s="114"/>
      <c r="Z116" s="114"/>
      <c r="AA116" s="114"/>
      <c r="AB116" s="114"/>
      <c r="AC116" s="114"/>
      <c r="AD116" s="114"/>
      <c r="AE116" s="114"/>
      <c r="AF116" s="114"/>
      <c r="AG116" s="114"/>
      <c r="AH116" s="114"/>
      <c r="AI116" s="114"/>
      <c r="AJ116" s="114"/>
      <c r="AK116" s="114"/>
      <c r="AL116" s="114"/>
      <c r="AM116" s="114"/>
      <c r="AN116" s="114"/>
      <c r="AO116" s="114"/>
      <c r="AP116" s="114"/>
      <c r="AQ116" s="114"/>
      <c r="AR116" s="114"/>
      <c r="AS116" s="114"/>
      <c r="AT116" s="114"/>
      <c r="AU116" s="114"/>
      <c r="AV116" s="114"/>
      <c r="AW116" s="114"/>
      <c r="AX116" s="114"/>
      <c r="AY116" s="114"/>
      <c r="AZ116" s="114"/>
      <c r="BA116" s="114"/>
      <c r="BB116" s="114"/>
      <c r="BC116" s="114"/>
      <c r="BD116" s="114"/>
      <c r="BE116" s="114"/>
      <c r="BF116" s="114"/>
      <c r="BG116" s="114"/>
      <c r="BH116" s="114"/>
      <c r="BI116" s="114"/>
      <c r="BJ116" s="114"/>
      <c r="BK116" s="114"/>
      <c r="BL116" s="114"/>
      <c r="BM116" s="114"/>
      <c r="BN116" s="114"/>
    </row>
    <row r="117" s="49" customFormat="1" ht="18" hidden="1" spans="1:66">
      <c r="A117" s="92" t="str">
        <f t="shared" si="34"/>
        <v>4.1</v>
      </c>
      <c r="B117" s="115" t="s">
        <v>110</v>
      </c>
      <c r="C117" s="49" t="s">
        <v>78</v>
      </c>
      <c r="D117" s="94"/>
      <c r="E117" s="95">
        <v>46051</v>
      </c>
      <c r="F117" s="96">
        <f t="shared" si="49"/>
        <v>46056</v>
      </c>
      <c r="G117" s="97">
        <v>6</v>
      </c>
      <c r="H117" s="98">
        <v>0</v>
      </c>
      <c r="I117" s="99">
        <v>4</v>
      </c>
      <c r="J117" s="100"/>
      <c r="K117" s="92"/>
      <c r="L117" s="92"/>
      <c r="M117" s="92"/>
      <c r="N117" s="92"/>
      <c r="O117" s="92"/>
      <c r="P117" s="92"/>
      <c r="Q117" s="92"/>
      <c r="R117" s="92"/>
      <c r="S117" s="92"/>
      <c r="T117" s="92"/>
      <c r="U117" s="92"/>
      <c r="V117" s="92"/>
      <c r="W117" s="92"/>
      <c r="X117" s="92"/>
      <c r="Y117" s="92"/>
      <c r="Z117" s="92"/>
      <c r="AA117" s="92"/>
      <c r="AB117" s="92"/>
      <c r="AC117" s="92"/>
      <c r="AD117" s="92"/>
      <c r="AE117" s="92"/>
      <c r="AF117" s="92"/>
      <c r="AG117" s="92"/>
      <c r="AH117" s="92"/>
      <c r="AI117" s="92"/>
      <c r="AJ117" s="92"/>
      <c r="AK117" s="92"/>
      <c r="AL117" s="92"/>
      <c r="AM117" s="92"/>
      <c r="AN117" s="92"/>
      <c r="AO117" s="92"/>
      <c r="AP117" s="92"/>
      <c r="AQ117" s="92"/>
      <c r="AR117" s="92"/>
      <c r="AS117" s="92"/>
      <c r="AT117" s="92"/>
      <c r="AU117" s="92"/>
      <c r="AV117" s="92"/>
      <c r="AW117" s="92"/>
      <c r="AX117" s="92"/>
      <c r="AY117" s="92"/>
      <c r="AZ117" s="92"/>
      <c r="BA117" s="92"/>
      <c r="BB117" s="92"/>
      <c r="BC117" s="92"/>
      <c r="BD117" s="92"/>
      <c r="BE117" s="92"/>
      <c r="BF117" s="92"/>
      <c r="BG117" s="92"/>
      <c r="BH117" s="92"/>
      <c r="BI117" s="92"/>
      <c r="BJ117" s="92"/>
      <c r="BK117" s="92"/>
      <c r="BL117" s="92"/>
      <c r="BM117" s="92"/>
      <c r="BN117" s="92"/>
    </row>
  </sheetData>
  <sheetProtection formatCells="0" formatColumns="0" formatRows="0" insertRows="0" deleteRows="0"/>
  <mergeCells count="19">
    <mergeCell ref="K1:AE1"/>
    <mergeCell ref="C4:E4"/>
    <mergeCell ref="K4:Q4"/>
    <mergeCell ref="R4:X4"/>
    <mergeCell ref="Y4:AE4"/>
    <mergeCell ref="AF4:AL4"/>
    <mergeCell ref="AM4:AS4"/>
    <mergeCell ref="AT4:AZ4"/>
    <mergeCell ref="BA4:BG4"/>
    <mergeCell ref="BH4:BN4"/>
    <mergeCell ref="C5:E5"/>
    <mergeCell ref="K5:Q5"/>
    <mergeCell ref="R5:X5"/>
    <mergeCell ref="Y5:AE5"/>
    <mergeCell ref="AF5:AL5"/>
    <mergeCell ref="AM5:AS5"/>
    <mergeCell ref="AT5:AZ5"/>
    <mergeCell ref="BA5:BG5"/>
    <mergeCell ref="BH5:BN5"/>
  </mergeCells>
  <conditionalFormatting sqref="H11">
    <cfRule type="dataBar" priority="65">
      <dataBar>
        <cfvo type="num" val="0"/>
        <cfvo type="num" val="1"/>
        <color theme="0" tint="-0.349986266670736"/>
      </dataBar>
      <extLst>
        <ext xmlns:x14="http://schemas.microsoft.com/office/spreadsheetml/2009/9/main" uri="{B025F937-C7B1-47D3-B67F-A62EFF666E3E}">
          <x14:id>{79259b26-fcf0-4071-b1a7-bbfe82528ece}</x14:id>
        </ext>
      </extLst>
    </cfRule>
  </conditionalFormatting>
  <conditionalFormatting sqref="H18">
    <cfRule type="dataBar" priority="9">
      <dataBar>
        <cfvo type="num" val="0"/>
        <cfvo type="num" val="1"/>
        <color theme="0" tint="-0.349986266670736"/>
      </dataBar>
      <extLst>
        <ext xmlns:x14="http://schemas.microsoft.com/office/spreadsheetml/2009/9/main" uri="{B025F937-C7B1-47D3-B67F-A62EFF666E3E}">
          <x14:id>{283423b2-9dcf-41c7-ae3d-8582476d0c90}</x14:id>
        </ext>
      </extLst>
    </cfRule>
  </conditionalFormatting>
  <conditionalFormatting sqref="H19">
    <cfRule type="dataBar" priority="5">
      <dataBar>
        <cfvo type="num" val="0"/>
        <cfvo type="num" val="1"/>
        <color theme="0" tint="-0.349986266670736"/>
      </dataBar>
      <extLst>
        <ext xmlns:x14="http://schemas.microsoft.com/office/spreadsheetml/2009/9/main" uri="{B025F937-C7B1-47D3-B67F-A62EFF666E3E}">
          <x14:id>{7a2f6c8e-7e87-4342-9be9-eea7764ce044}</x14:id>
        </ext>
      </extLst>
    </cfRule>
  </conditionalFormatting>
  <conditionalFormatting sqref="H32">
    <cfRule type="dataBar" priority="45">
      <dataBar>
        <cfvo type="num" val="0"/>
        <cfvo type="num" val="1"/>
        <color theme="0" tint="-0.349986266670736"/>
      </dataBar>
      <extLst>
        <ext xmlns:x14="http://schemas.microsoft.com/office/spreadsheetml/2009/9/main" uri="{B025F937-C7B1-47D3-B67F-A62EFF666E3E}">
          <x14:id>{80024013-295a-4ea2-867f-425aa156a160}</x14:id>
        </ext>
      </extLst>
    </cfRule>
  </conditionalFormatting>
  <conditionalFormatting sqref="H33">
    <cfRule type="dataBar" priority="41">
      <dataBar>
        <cfvo type="num" val="0"/>
        <cfvo type="num" val="1"/>
        <color theme="0" tint="-0.349986266670736"/>
      </dataBar>
      <extLst>
        <ext xmlns:x14="http://schemas.microsoft.com/office/spreadsheetml/2009/9/main" uri="{B025F937-C7B1-47D3-B67F-A62EFF666E3E}">
          <x14:id>{8e96b46e-983d-4681-8dfd-30c9f018a484}</x14:id>
        </ext>
      </extLst>
    </cfRule>
  </conditionalFormatting>
  <conditionalFormatting sqref="H34">
    <cfRule type="dataBar" priority="37">
      <dataBar>
        <cfvo type="num" val="0"/>
        <cfvo type="num" val="1"/>
        <color theme="0" tint="-0.349986266670736"/>
      </dataBar>
      <extLst>
        <ext xmlns:x14="http://schemas.microsoft.com/office/spreadsheetml/2009/9/main" uri="{B025F937-C7B1-47D3-B67F-A62EFF666E3E}">
          <x14:id>{3b3a1a5a-0f39-4394-a872-6306ed044df7}</x14:id>
        </ext>
      </extLst>
    </cfRule>
  </conditionalFormatting>
  <conditionalFormatting sqref="H35">
    <cfRule type="dataBar" priority="33">
      <dataBar>
        <cfvo type="num" val="0"/>
        <cfvo type="num" val="1"/>
        <color theme="0" tint="-0.349986266670736"/>
      </dataBar>
      <extLst>
        <ext xmlns:x14="http://schemas.microsoft.com/office/spreadsheetml/2009/9/main" uri="{B025F937-C7B1-47D3-B67F-A62EFF666E3E}">
          <x14:id>{1f06ff77-bb98-4c14-a189-57e6952f5226}</x14:id>
        </ext>
      </extLst>
    </cfRule>
  </conditionalFormatting>
  <conditionalFormatting sqref="H36">
    <cfRule type="dataBar" priority="29">
      <dataBar>
        <cfvo type="num" val="0"/>
        <cfvo type="num" val="1"/>
        <color theme="0" tint="-0.349986266670736"/>
      </dataBar>
      <extLst>
        <ext xmlns:x14="http://schemas.microsoft.com/office/spreadsheetml/2009/9/main" uri="{B025F937-C7B1-47D3-B67F-A62EFF666E3E}">
          <x14:id>{71b3e910-d066-491c-8c44-670df37052e7}</x14:id>
        </ext>
      </extLst>
    </cfRule>
  </conditionalFormatting>
  <conditionalFormatting sqref="H37">
    <cfRule type="dataBar" priority="21">
      <dataBar>
        <cfvo type="num" val="0"/>
        <cfvo type="num" val="1"/>
        <color theme="0" tint="-0.349986266670736"/>
      </dataBar>
      <extLst>
        <ext xmlns:x14="http://schemas.microsoft.com/office/spreadsheetml/2009/9/main" uri="{B025F937-C7B1-47D3-B67F-A62EFF666E3E}">
          <x14:id>{2ae5d0fe-8d6e-4a88-931f-210ccc7ac896}</x14:id>
        </ext>
      </extLst>
    </cfRule>
  </conditionalFormatting>
  <conditionalFormatting sqref="H38">
    <cfRule type="dataBar" priority="17">
      <dataBar>
        <cfvo type="num" val="0"/>
        <cfvo type="num" val="1"/>
        <color theme="0" tint="-0.349986266670736"/>
      </dataBar>
      <extLst>
        <ext xmlns:x14="http://schemas.microsoft.com/office/spreadsheetml/2009/9/main" uri="{B025F937-C7B1-47D3-B67F-A62EFF666E3E}">
          <x14:id>{4277bb4e-b7df-4200-90d6-7f042af2f181}</x14:id>
        </ext>
      </extLst>
    </cfRule>
  </conditionalFormatting>
  <conditionalFormatting sqref="H92">
    <cfRule type="dataBar" priority="105">
      <dataBar>
        <cfvo type="num" val="0"/>
        <cfvo type="num" val="1"/>
        <color theme="0" tint="-0.349986266670736"/>
      </dataBar>
      <extLst>
        <ext xmlns:x14="http://schemas.microsoft.com/office/spreadsheetml/2009/9/main" uri="{B025F937-C7B1-47D3-B67F-A62EFF666E3E}">
          <x14:id>{340a097a-5bce-4607-998a-175b0fe3657f}</x14:id>
        </ext>
      </extLst>
    </cfRule>
  </conditionalFormatting>
  <conditionalFormatting sqref="H93">
    <cfRule type="dataBar" priority="101">
      <dataBar>
        <cfvo type="num" val="0"/>
        <cfvo type="num" val="1"/>
        <color theme="0" tint="-0.349986266670736"/>
      </dataBar>
      <extLst>
        <ext xmlns:x14="http://schemas.microsoft.com/office/spreadsheetml/2009/9/main" uri="{B025F937-C7B1-47D3-B67F-A62EFF666E3E}">
          <x14:id>{f66b0daf-600d-4dec-903f-3d548962f143}</x14:id>
        </ext>
      </extLst>
    </cfRule>
  </conditionalFormatting>
  <conditionalFormatting sqref="H101">
    <cfRule type="dataBar" priority="97">
      <dataBar>
        <cfvo type="num" val="0"/>
        <cfvo type="num" val="1"/>
        <color theme="0" tint="-0.349986266670736"/>
      </dataBar>
      <extLst>
        <ext xmlns:x14="http://schemas.microsoft.com/office/spreadsheetml/2009/9/main" uri="{B025F937-C7B1-47D3-B67F-A62EFF666E3E}">
          <x14:id>{10bc826b-518f-4053-b471-5c1cd0c33627}</x14:id>
        </ext>
      </extLst>
    </cfRule>
  </conditionalFormatting>
  <conditionalFormatting sqref="H102">
    <cfRule type="dataBar" priority="89">
      <dataBar>
        <cfvo type="num" val="0"/>
        <cfvo type="num" val="1"/>
        <color theme="0" tint="-0.349986266670736"/>
      </dataBar>
      <extLst>
        <ext xmlns:x14="http://schemas.microsoft.com/office/spreadsheetml/2009/9/main" uri="{B025F937-C7B1-47D3-B67F-A62EFF666E3E}">
          <x14:id>{3601b781-e81f-480a-afc0-4f4e7b54e4b2}</x14:id>
        </ext>
      </extLst>
    </cfRule>
  </conditionalFormatting>
  <conditionalFormatting sqref="H103">
    <cfRule type="dataBar" priority="85">
      <dataBar>
        <cfvo type="num" val="0"/>
        <cfvo type="num" val="1"/>
        <color theme="0" tint="-0.349986266670736"/>
      </dataBar>
      <extLst>
        <ext xmlns:x14="http://schemas.microsoft.com/office/spreadsheetml/2009/9/main" uri="{B025F937-C7B1-47D3-B67F-A62EFF666E3E}">
          <x14:id>{429b3616-6d32-45eb-a6ea-dbc9f7664c91}</x14:id>
        </ext>
      </extLst>
    </cfRule>
  </conditionalFormatting>
  <conditionalFormatting sqref="H104">
    <cfRule type="dataBar" priority="77">
      <dataBar>
        <cfvo type="num" val="0"/>
        <cfvo type="num" val="1"/>
        <color theme="0" tint="-0.349986266670736"/>
      </dataBar>
      <extLst>
        <ext xmlns:x14="http://schemas.microsoft.com/office/spreadsheetml/2009/9/main" uri="{B025F937-C7B1-47D3-B67F-A62EFF666E3E}">
          <x14:id>{cc960271-2895-4e70-a562-268f035ca052}</x14:id>
        </ext>
      </extLst>
    </cfRule>
  </conditionalFormatting>
  <conditionalFormatting sqref="H105">
    <cfRule type="dataBar" priority="73">
      <dataBar>
        <cfvo type="num" val="0"/>
        <cfvo type="num" val="1"/>
        <color theme="0" tint="-0.349986266670736"/>
      </dataBar>
      <extLst>
        <ext xmlns:x14="http://schemas.microsoft.com/office/spreadsheetml/2009/9/main" uri="{B025F937-C7B1-47D3-B67F-A62EFF666E3E}">
          <x14:id>{7b0331b4-e396-427d-8d1b-7d4a42fa0ae4}</x14:id>
        </ext>
      </extLst>
    </cfRule>
  </conditionalFormatting>
  <conditionalFormatting sqref="H106">
    <cfRule type="dataBar" priority="145">
      <dataBar>
        <cfvo type="num" val="0"/>
        <cfvo type="num" val="1"/>
        <color theme="0" tint="-0.349986266670736"/>
      </dataBar>
      <extLst>
        <ext xmlns:x14="http://schemas.microsoft.com/office/spreadsheetml/2009/9/main" uri="{B025F937-C7B1-47D3-B67F-A62EFF666E3E}">
          <x14:id>{3868755a-a8e5-42ed-ac9a-8498164660b4}</x14:id>
        </ext>
      </extLst>
    </cfRule>
  </conditionalFormatting>
  <conditionalFormatting sqref="H110">
    <cfRule type="dataBar" priority="133">
      <dataBar>
        <cfvo type="num" val="0"/>
        <cfvo type="num" val="1"/>
        <color theme="0" tint="-0.349986266670736"/>
      </dataBar>
      <extLst>
        <ext xmlns:x14="http://schemas.microsoft.com/office/spreadsheetml/2009/9/main" uri="{B025F937-C7B1-47D3-B67F-A62EFF666E3E}">
          <x14:id>{a215a148-99ea-4b94-8e31-98dc3372644c}</x14:id>
        </ext>
      </extLst>
    </cfRule>
  </conditionalFormatting>
  <conditionalFormatting sqref="H116">
    <cfRule type="dataBar" priority="113">
      <dataBar>
        <cfvo type="num" val="0"/>
        <cfvo type="num" val="1"/>
        <color theme="0" tint="-0.349986266670736"/>
      </dataBar>
      <extLst>
        <ext xmlns:x14="http://schemas.microsoft.com/office/spreadsheetml/2009/9/main" uri="{B025F937-C7B1-47D3-B67F-A62EFF666E3E}">
          <x14:id>{e43f6bba-58e1-4d38-aca4-1b3f5d92b2de}</x14:id>
        </ext>
      </extLst>
    </cfRule>
  </conditionalFormatting>
  <conditionalFormatting sqref="H117">
    <cfRule type="dataBar" priority="109">
      <dataBar>
        <cfvo type="num" val="0"/>
        <cfvo type="num" val="1"/>
        <color theme="0" tint="-0.349986266670736"/>
      </dataBar>
      <extLst>
        <ext xmlns:x14="http://schemas.microsoft.com/office/spreadsheetml/2009/9/main" uri="{B025F937-C7B1-47D3-B67F-A62EFF666E3E}">
          <x14:id>{e7300cc3-3207-47ac-9353-fb5540a8a26d}</x14:id>
        </ext>
      </extLst>
    </cfRule>
  </conditionalFormatting>
  <conditionalFormatting sqref="H12:H15">
    <cfRule type="dataBar" priority="61">
      <dataBar>
        <cfvo type="num" val="0"/>
        <cfvo type="num" val="1"/>
        <color theme="0" tint="-0.349986266670736"/>
      </dataBar>
      <extLst>
        <ext xmlns:x14="http://schemas.microsoft.com/office/spreadsheetml/2009/9/main" uri="{B025F937-C7B1-47D3-B67F-A62EFF666E3E}">
          <x14:id>{ed6b4180-050c-4f11-9597-70e7a37d003f}</x14:id>
        </ext>
      </extLst>
    </cfRule>
  </conditionalFormatting>
  <conditionalFormatting sqref="H16:H17">
    <cfRule type="dataBar" priority="57">
      <dataBar>
        <cfvo type="num" val="0"/>
        <cfvo type="num" val="1"/>
        <color theme="0" tint="-0.349986266670736"/>
      </dataBar>
      <extLst>
        <ext xmlns:x14="http://schemas.microsoft.com/office/spreadsheetml/2009/9/main" uri="{B025F937-C7B1-47D3-B67F-A62EFF666E3E}">
          <x14:id>{343ae768-5bca-4f4e-b1ca-cb151cd9a450}</x14:id>
        </ext>
      </extLst>
    </cfRule>
  </conditionalFormatting>
  <conditionalFormatting sqref="H39:H77">
    <cfRule type="dataBar" priority="13">
      <dataBar>
        <cfvo type="num" val="0"/>
        <cfvo type="num" val="1"/>
        <color theme="0" tint="-0.349986266670736"/>
      </dataBar>
      <extLst>
        <ext xmlns:x14="http://schemas.microsoft.com/office/spreadsheetml/2009/9/main" uri="{B025F937-C7B1-47D3-B67F-A62EFF666E3E}">
          <x14:id>{5ccbdb34-3588-470b-a344-1e68b7695829}</x14:id>
        </ext>
      </extLst>
    </cfRule>
  </conditionalFormatting>
  <conditionalFormatting sqref="H84:H88">
    <cfRule type="dataBar" priority="165">
      <dataBar>
        <cfvo type="num" val="0"/>
        <cfvo type="num" val="1"/>
        <color theme="0" tint="-0.349986266670736"/>
      </dataBar>
      <extLst>
        <ext xmlns:x14="http://schemas.microsoft.com/office/spreadsheetml/2009/9/main" uri="{B025F937-C7B1-47D3-B67F-A62EFF666E3E}">
          <x14:id>{2b3da2e5-6500-40fa-a0cc-eea5d088097b}</x14:id>
        </ext>
      </extLst>
    </cfRule>
  </conditionalFormatting>
  <conditionalFormatting sqref="H89:H91">
    <cfRule type="dataBar" priority="161">
      <dataBar>
        <cfvo type="num" val="0"/>
        <cfvo type="num" val="1"/>
        <color theme="0" tint="-0.349986266670736"/>
      </dataBar>
      <extLst>
        <ext xmlns:x14="http://schemas.microsoft.com/office/spreadsheetml/2009/9/main" uri="{B025F937-C7B1-47D3-B67F-A62EFF666E3E}">
          <x14:id>{68bc41b9-12a9-4a61-bda3-91324da1e8d0}</x14:id>
        </ext>
      </extLst>
    </cfRule>
  </conditionalFormatting>
  <conditionalFormatting sqref="H94:H98">
    <cfRule type="dataBar" priority="157">
      <dataBar>
        <cfvo type="num" val="0"/>
        <cfvo type="num" val="1"/>
        <color theme="0" tint="-0.349986266670736"/>
      </dataBar>
      <extLst>
        <ext xmlns:x14="http://schemas.microsoft.com/office/spreadsheetml/2009/9/main" uri="{B025F937-C7B1-47D3-B67F-A62EFF666E3E}">
          <x14:id>{fabd6495-24ff-42c3-b976-c626f500071a}</x14:id>
        </ext>
      </extLst>
    </cfRule>
  </conditionalFormatting>
  <conditionalFormatting sqref="H99:H100">
    <cfRule type="dataBar" priority="153">
      <dataBar>
        <cfvo type="num" val="0"/>
        <cfvo type="num" val="1"/>
        <color theme="0" tint="-0.349986266670736"/>
      </dataBar>
      <extLst>
        <ext xmlns:x14="http://schemas.microsoft.com/office/spreadsheetml/2009/9/main" uri="{B025F937-C7B1-47D3-B67F-A62EFF666E3E}">
          <x14:id>{2427c607-3762-4840-bd00-5c98a83f6dfd}</x14:id>
        </ext>
      </extLst>
    </cfRule>
  </conditionalFormatting>
  <conditionalFormatting sqref="H107:H109">
    <cfRule type="dataBar" priority="141">
      <dataBar>
        <cfvo type="num" val="0"/>
        <cfvo type="num" val="1"/>
        <color theme="0" tint="-0.349986266670736"/>
      </dataBar>
      <extLst>
        <ext xmlns:x14="http://schemas.microsoft.com/office/spreadsheetml/2009/9/main" uri="{B025F937-C7B1-47D3-B67F-A62EFF666E3E}">
          <x14:id>{b314de0e-3c68-4d7d-a8a9-5cb6e2bd54b5}</x14:id>
        </ext>
      </extLst>
    </cfRule>
  </conditionalFormatting>
  <conditionalFormatting sqref="H111:H115">
    <cfRule type="dataBar" priority="125">
      <dataBar>
        <cfvo type="num" val="0"/>
        <cfvo type="num" val="1"/>
        <color theme="0" tint="-0.349986266670736"/>
      </dataBar>
      <extLst>
        <ext xmlns:x14="http://schemas.microsoft.com/office/spreadsheetml/2009/9/main" uri="{B025F937-C7B1-47D3-B67F-A62EFF666E3E}">
          <x14:id>{51f474d8-44b0-4916-8713-cc0c4b03bd31}</x14:id>
        </ext>
      </extLst>
    </cfRule>
  </conditionalFormatting>
  <conditionalFormatting sqref="K6:BN7">
    <cfRule type="expression" dxfId="0" priority="221">
      <formula>K$6=TODAY()</formula>
    </cfRule>
  </conditionalFormatting>
  <conditionalFormatting sqref="K6:BN117">
    <cfRule type="expression" dxfId="1" priority="6">
      <formula>K$6=TODAY()</formula>
    </cfRule>
  </conditionalFormatting>
  <conditionalFormatting sqref="H8:H10 H78:H83 H20:H31">
    <cfRule type="dataBar" priority="178">
      <dataBar>
        <cfvo type="num" val="0"/>
        <cfvo type="num" val="1"/>
        <color theme="0" tint="-0.349986266670736"/>
      </dataBar>
      <extLst>
        <ext xmlns:x14="http://schemas.microsoft.com/office/spreadsheetml/2009/9/main" uri="{B025F937-C7B1-47D3-B67F-A62EFF666E3E}">
          <x14:id>{773b3e7e-639e-4fbd-8657-c4b70e139530}</x14:id>
        </ext>
      </extLst>
    </cfRule>
  </conditionalFormatting>
  <conditionalFormatting sqref="K8:BN117">
    <cfRule type="expression" dxfId="2" priority="7">
      <formula>AND($E8&lt;=K$6,ROUNDDOWN(($F8-$E8+1)*$H8,0)+$E8-1&gt;=K$6)</formula>
    </cfRule>
    <cfRule type="expression" dxfId="3" priority="8">
      <formula>AND(NOT(ISBLANK($E8)),$E8&lt;=K$6,$F8&gt;=K$6)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pageMargins left="0.25" right="0.25" top="0.5" bottom="0.5" header="0.5" footer="0.25"/>
  <pageSetup paperSize="1" scale="53" orientation="landscape"/>
  <headerFooter alignWithMargins="0"/>
  <ignoredErrors>
    <ignoredError sqref="A78" formula="1"/>
    <ignoredError sqref="E78 G78:H78 H80:H82"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name="Scroll Bar 46" r:id="rId4">
              <controlPr print="0" defaultSize="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79259b26-fcf0-4071-b1a7-bbfe82528ece}">
            <x14:dataBar minLength="0" maxLength="100" gradient="0">
              <x14:cfvo type="num">
                <xm:f>0</xm:f>
              </x14:cfvo>
              <x14:cfvo type="num">
                <xm:f>1</xm:f>
              </x14:cfvo>
              <x14:negativeFillColor rgb="FFFF0000"/>
              <x14:axisColor rgb="FF000000"/>
            </x14:dataBar>
          </x14:cfRule>
          <xm:sqref>H11</xm:sqref>
        </x14:conditionalFormatting>
        <x14:conditionalFormatting xmlns:xm="http://schemas.microsoft.com/office/excel/2006/main">
          <x14:cfRule type="dataBar" id="{283423b2-9dcf-41c7-ae3d-8582476d0c90}">
            <x14:dataBar minLength="0" maxLength="100" gradient="0">
              <x14:cfvo type="num">
                <xm:f>0</xm:f>
              </x14:cfvo>
              <x14:cfvo type="num">
                <xm:f>1</xm:f>
              </x14:cfvo>
              <x14:negativeFillColor rgb="FFFF0000"/>
              <x14:axisColor rgb="FF000000"/>
            </x14:dataBar>
          </x14:cfRule>
          <xm:sqref>H18</xm:sqref>
        </x14:conditionalFormatting>
        <x14:conditionalFormatting xmlns:xm="http://schemas.microsoft.com/office/excel/2006/main">
          <x14:cfRule type="dataBar" id="{7a2f6c8e-7e87-4342-9be9-eea7764ce044}">
            <x14:dataBar minLength="0" maxLength="100" gradient="0">
              <x14:cfvo type="num">
                <xm:f>0</xm:f>
              </x14:cfvo>
              <x14:cfvo type="num">
                <xm:f>1</xm:f>
              </x14:cfvo>
              <x14:negativeFillColor rgb="FFFF0000"/>
              <x14:axisColor rgb="FF000000"/>
            </x14:dataBar>
          </x14:cfRule>
          <xm:sqref>H19</xm:sqref>
        </x14:conditionalFormatting>
        <x14:conditionalFormatting xmlns:xm="http://schemas.microsoft.com/office/excel/2006/main">
          <x14:cfRule type="dataBar" id="{80024013-295a-4ea2-867f-425aa156a160}">
            <x14:dataBar minLength="0" maxLength="100" gradient="0">
              <x14:cfvo type="num">
                <xm:f>0</xm:f>
              </x14:cfvo>
              <x14:cfvo type="num">
                <xm:f>1</xm:f>
              </x14:cfvo>
              <x14:negativeFillColor rgb="FFFF0000"/>
              <x14:axisColor rgb="FF000000"/>
            </x14:dataBar>
          </x14:cfRule>
          <xm:sqref>H32</xm:sqref>
        </x14:conditionalFormatting>
        <x14:conditionalFormatting xmlns:xm="http://schemas.microsoft.com/office/excel/2006/main">
          <x14:cfRule type="dataBar" id="{8e96b46e-983d-4681-8dfd-30c9f018a484}">
            <x14:dataBar minLength="0" maxLength="100" gradient="0">
              <x14:cfvo type="num">
                <xm:f>0</xm:f>
              </x14:cfvo>
              <x14:cfvo type="num">
                <xm:f>1</xm:f>
              </x14:cfvo>
              <x14:negativeFillColor rgb="FFFF0000"/>
              <x14:axisColor rgb="FF000000"/>
            </x14:dataBar>
          </x14:cfRule>
          <xm:sqref>H33</xm:sqref>
        </x14:conditionalFormatting>
        <x14:conditionalFormatting xmlns:xm="http://schemas.microsoft.com/office/excel/2006/main">
          <x14:cfRule type="dataBar" id="{3b3a1a5a-0f39-4394-a872-6306ed044df7}">
            <x14:dataBar minLength="0" maxLength="100" gradient="0">
              <x14:cfvo type="num">
                <xm:f>0</xm:f>
              </x14:cfvo>
              <x14:cfvo type="num">
                <xm:f>1</xm:f>
              </x14:cfvo>
              <x14:negativeFillColor rgb="FFFF0000"/>
              <x14:axisColor rgb="FF000000"/>
            </x14:dataBar>
          </x14:cfRule>
          <xm:sqref>H34</xm:sqref>
        </x14:conditionalFormatting>
        <x14:conditionalFormatting xmlns:xm="http://schemas.microsoft.com/office/excel/2006/main">
          <x14:cfRule type="dataBar" id="{1f06ff77-bb98-4c14-a189-57e6952f5226}">
            <x14:dataBar minLength="0" maxLength="100" gradient="0">
              <x14:cfvo type="num">
                <xm:f>0</xm:f>
              </x14:cfvo>
              <x14:cfvo type="num">
                <xm:f>1</xm:f>
              </x14:cfvo>
              <x14:negativeFillColor rgb="FFFF0000"/>
              <x14:axisColor rgb="FF000000"/>
            </x14:dataBar>
          </x14:cfRule>
          <xm:sqref>H35</xm:sqref>
        </x14:conditionalFormatting>
        <x14:conditionalFormatting xmlns:xm="http://schemas.microsoft.com/office/excel/2006/main">
          <x14:cfRule type="dataBar" id="{71b3e910-d066-491c-8c44-670df37052e7}">
            <x14:dataBar minLength="0" maxLength="100" gradient="0">
              <x14:cfvo type="num">
                <xm:f>0</xm:f>
              </x14:cfvo>
              <x14:cfvo type="num">
                <xm:f>1</xm:f>
              </x14:cfvo>
              <x14:negativeFillColor rgb="FFFF0000"/>
              <x14:axisColor rgb="FF000000"/>
            </x14:dataBar>
          </x14:cfRule>
          <xm:sqref>H36</xm:sqref>
        </x14:conditionalFormatting>
        <x14:conditionalFormatting xmlns:xm="http://schemas.microsoft.com/office/excel/2006/main">
          <x14:cfRule type="dataBar" id="{2ae5d0fe-8d6e-4a88-931f-210ccc7ac896}">
            <x14:dataBar minLength="0" maxLength="100" gradient="0">
              <x14:cfvo type="num">
                <xm:f>0</xm:f>
              </x14:cfvo>
              <x14:cfvo type="num">
                <xm:f>1</xm:f>
              </x14:cfvo>
              <x14:negativeFillColor rgb="FFFF0000"/>
              <x14:axisColor rgb="FF000000"/>
            </x14:dataBar>
          </x14:cfRule>
          <xm:sqref>H37</xm:sqref>
        </x14:conditionalFormatting>
        <x14:conditionalFormatting xmlns:xm="http://schemas.microsoft.com/office/excel/2006/main">
          <x14:cfRule type="dataBar" id="{4277bb4e-b7df-4200-90d6-7f042af2f181}">
            <x14:dataBar minLength="0" maxLength="100" gradient="0">
              <x14:cfvo type="num">
                <xm:f>0</xm:f>
              </x14:cfvo>
              <x14:cfvo type="num">
                <xm:f>1</xm:f>
              </x14:cfvo>
              <x14:negativeFillColor rgb="FFFF0000"/>
              <x14:axisColor rgb="FF000000"/>
            </x14:dataBar>
          </x14:cfRule>
          <xm:sqref>H38</xm:sqref>
        </x14:conditionalFormatting>
        <x14:conditionalFormatting xmlns:xm="http://schemas.microsoft.com/office/excel/2006/main">
          <x14:cfRule type="dataBar" id="{340a097a-5bce-4607-998a-175b0fe3657f}">
            <x14:dataBar minLength="0" maxLength="100" gradient="0">
              <x14:cfvo type="num">
                <xm:f>0</xm:f>
              </x14:cfvo>
              <x14:cfvo type="num">
                <xm:f>1</xm:f>
              </x14:cfvo>
              <x14:negativeFillColor rgb="FFFF0000"/>
              <x14:axisColor rgb="FF000000"/>
            </x14:dataBar>
          </x14:cfRule>
          <xm:sqref>H92</xm:sqref>
        </x14:conditionalFormatting>
        <x14:conditionalFormatting xmlns:xm="http://schemas.microsoft.com/office/excel/2006/main">
          <x14:cfRule type="dataBar" id="{f66b0daf-600d-4dec-903f-3d548962f143}">
            <x14:dataBar minLength="0" maxLength="100" gradient="0">
              <x14:cfvo type="num">
                <xm:f>0</xm:f>
              </x14:cfvo>
              <x14:cfvo type="num">
                <xm:f>1</xm:f>
              </x14:cfvo>
              <x14:negativeFillColor rgb="FFFF0000"/>
              <x14:axisColor rgb="FF000000"/>
            </x14:dataBar>
          </x14:cfRule>
          <xm:sqref>H93</xm:sqref>
        </x14:conditionalFormatting>
        <x14:conditionalFormatting xmlns:xm="http://schemas.microsoft.com/office/excel/2006/main">
          <x14:cfRule type="dataBar" id="{10bc826b-518f-4053-b471-5c1cd0c33627}">
            <x14:dataBar minLength="0" maxLength="100" gradient="0">
              <x14:cfvo type="num">
                <xm:f>0</xm:f>
              </x14:cfvo>
              <x14:cfvo type="num">
                <xm:f>1</xm:f>
              </x14:cfvo>
              <x14:negativeFillColor rgb="FFFF0000"/>
              <x14:axisColor rgb="FF000000"/>
            </x14:dataBar>
          </x14:cfRule>
          <xm:sqref>H101</xm:sqref>
        </x14:conditionalFormatting>
        <x14:conditionalFormatting xmlns:xm="http://schemas.microsoft.com/office/excel/2006/main">
          <x14:cfRule type="dataBar" id="{3601b781-e81f-480a-afc0-4f4e7b54e4b2}">
            <x14:dataBar minLength="0" maxLength="100" gradient="0">
              <x14:cfvo type="num">
                <xm:f>0</xm:f>
              </x14:cfvo>
              <x14:cfvo type="num">
                <xm:f>1</xm:f>
              </x14:cfvo>
              <x14:negativeFillColor rgb="FFFF0000"/>
              <x14:axisColor rgb="FF000000"/>
            </x14:dataBar>
          </x14:cfRule>
          <xm:sqref>H102</xm:sqref>
        </x14:conditionalFormatting>
        <x14:conditionalFormatting xmlns:xm="http://schemas.microsoft.com/office/excel/2006/main">
          <x14:cfRule type="dataBar" id="{429b3616-6d32-45eb-a6ea-dbc9f7664c91}">
            <x14:dataBar minLength="0" maxLength="100" gradient="0">
              <x14:cfvo type="num">
                <xm:f>0</xm:f>
              </x14:cfvo>
              <x14:cfvo type="num">
                <xm:f>1</xm:f>
              </x14:cfvo>
              <x14:negativeFillColor rgb="FFFF0000"/>
              <x14:axisColor rgb="FF000000"/>
            </x14:dataBar>
          </x14:cfRule>
          <xm:sqref>H103</xm:sqref>
        </x14:conditionalFormatting>
        <x14:conditionalFormatting xmlns:xm="http://schemas.microsoft.com/office/excel/2006/main">
          <x14:cfRule type="dataBar" id="{cc960271-2895-4e70-a562-268f035ca052}">
            <x14:dataBar minLength="0" maxLength="100" gradient="0">
              <x14:cfvo type="num">
                <xm:f>0</xm:f>
              </x14:cfvo>
              <x14:cfvo type="num">
                <xm:f>1</xm:f>
              </x14:cfvo>
              <x14:negativeFillColor rgb="FFFF0000"/>
              <x14:axisColor rgb="FF000000"/>
            </x14:dataBar>
          </x14:cfRule>
          <xm:sqref>H104</xm:sqref>
        </x14:conditionalFormatting>
        <x14:conditionalFormatting xmlns:xm="http://schemas.microsoft.com/office/excel/2006/main">
          <x14:cfRule type="dataBar" id="{7b0331b4-e396-427d-8d1b-7d4a42fa0ae4}">
            <x14:dataBar minLength="0" maxLength="100" gradient="0">
              <x14:cfvo type="num">
                <xm:f>0</xm:f>
              </x14:cfvo>
              <x14:cfvo type="num">
                <xm:f>1</xm:f>
              </x14:cfvo>
              <x14:negativeFillColor rgb="FFFF0000"/>
              <x14:axisColor rgb="FF000000"/>
            </x14:dataBar>
          </x14:cfRule>
          <xm:sqref>H105</xm:sqref>
        </x14:conditionalFormatting>
        <x14:conditionalFormatting xmlns:xm="http://schemas.microsoft.com/office/excel/2006/main">
          <x14:cfRule type="dataBar" id="{3868755a-a8e5-42ed-ac9a-8498164660b4}">
            <x14:dataBar minLength="0" maxLength="100" gradient="0">
              <x14:cfvo type="num">
                <xm:f>0</xm:f>
              </x14:cfvo>
              <x14:cfvo type="num">
                <xm:f>1</xm:f>
              </x14:cfvo>
              <x14:negativeFillColor rgb="FFFF0000"/>
              <x14:axisColor rgb="FF000000"/>
            </x14:dataBar>
          </x14:cfRule>
          <xm:sqref>H106</xm:sqref>
        </x14:conditionalFormatting>
        <x14:conditionalFormatting xmlns:xm="http://schemas.microsoft.com/office/excel/2006/main">
          <x14:cfRule type="dataBar" id="{a215a148-99ea-4b94-8e31-98dc3372644c}">
            <x14:dataBar minLength="0" maxLength="100" gradient="0">
              <x14:cfvo type="num">
                <xm:f>0</xm:f>
              </x14:cfvo>
              <x14:cfvo type="num">
                <xm:f>1</xm:f>
              </x14:cfvo>
              <x14:negativeFillColor rgb="FFFF0000"/>
              <x14:axisColor rgb="FF000000"/>
            </x14:dataBar>
          </x14:cfRule>
          <xm:sqref>H110</xm:sqref>
        </x14:conditionalFormatting>
        <x14:conditionalFormatting xmlns:xm="http://schemas.microsoft.com/office/excel/2006/main">
          <x14:cfRule type="dataBar" id="{e43f6bba-58e1-4d38-aca4-1b3f5d92b2de}">
            <x14:dataBar minLength="0" maxLength="100" gradient="0">
              <x14:cfvo type="num">
                <xm:f>0</xm:f>
              </x14:cfvo>
              <x14:cfvo type="num">
                <xm:f>1</xm:f>
              </x14:cfvo>
              <x14:negativeFillColor rgb="FFFF0000"/>
              <x14:axisColor rgb="FF000000"/>
            </x14:dataBar>
          </x14:cfRule>
          <xm:sqref>H116</xm:sqref>
        </x14:conditionalFormatting>
        <x14:conditionalFormatting xmlns:xm="http://schemas.microsoft.com/office/excel/2006/main">
          <x14:cfRule type="dataBar" id="{e7300cc3-3207-47ac-9353-fb5540a8a26d}">
            <x14:dataBar minLength="0" maxLength="100" gradient="0">
              <x14:cfvo type="num">
                <xm:f>0</xm:f>
              </x14:cfvo>
              <x14:cfvo type="num">
                <xm:f>1</xm:f>
              </x14:cfvo>
              <x14:negativeFillColor rgb="FFFF0000"/>
              <x14:axisColor rgb="FF000000"/>
            </x14:dataBar>
          </x14:cfRule>
          <xm:sqref>H117</xm:sqref>
        </x14:conditionalFormatting>
        <x14:conditionalFormatting xmlns:xm="http://schemas.microsoft.com/office/excel/2006/main">
          <x14:cfRule type="dataBar" id="{ed6b4180-050c-4f11-9597-70e7a37d003f}">
            <x14:dataBar minLength="0" maxLength="100" gradient="0">
              <x14:cfvo type="num">
                <xm:f>0</xm:f>
              </x14:cfvo>
              <x14:cfvo type="num">
                <xm:f>1</xm:f>
              </x14:cfvo>
              <x14:negativeFillColor rgb="FFFF0000"/>
              <x14:axisColor rgb="FF000000"/>
            </x14:dataBar>
          </x14:cfRule>
          <xm:sqref>H12:H15</xm:sqref>
        </x14:conditionalFormatting>
        <x14:conditionalFormatting xmlns:xm="http://schemas.microsoft.com/office/excel/2006/main">
          <x14:cfRule type="dataBar" id="{343ae768-5bca-4f4e-b1ca-cb151cd9a450}">
            <x14:dataBar minLength="0" maxLength="100" gradient="0">
              <x14:cfvo type="num">
                <xm:f>0</xm:f>
              </x14:cfvo>
              <x14:cfvo type="num">
                <xm:f>1</xm:f>
              </x14:cfvo>
              <x14:negativeFillColor rgb="FFFF0000"/>
              <x14:axisColor rgb="FF000000"/>
            </x14:dataBar>
          </x14:cfRule>
          <xm:sqref>H16:H17</xm:sqref>
        </x14:conditionalFormatting>
        <x14:conditionalFormatting xmlns:xm="http://schemas.microsoft.com/office/excel/2006/main">
          <x14:cfRule type="dataBar" id="{5ccbdb34-3588-470b-a344-1e68b7695829}">
            <x14:dataBar minLength="0" maxLength="100" gradient="0">
              <x14:cfvo type="num">
                <xm:f>0</xm:f>
              </x14:cfvo>
              <x14:cfvo type="num">
                <xm:f>1</xm:f>
              </x14:cfvo>
              <x14:negativeFillColor rgb="FFFF0000"/>
              <x14:axisColor rgb="FF000000"/>
            </x14:dataBar>
          </x14:cfRule>
          <xm:sqref>H39:H77</xm:sqref>
        </x14:conditionalFormatting>
        <x14:conditionalFormatting xmlns:xm="http://schemas.microsoft.com/office/excel/2006/main">
          <x14:cfRule type="dataBar" id="{2b3da2e5-6500-40fa-a0cc-eea5d088097b}">
            <x14:dataBar minLength="0" maxLength="100" gradient="0">
              <x14:cfvo type="num">
                <xm:f>0</xm:f>
              </x14:cfvo>
              <x14:cfvo type="num">
                <xm:f>1</xm:f>
              </x14:cfvo>
              <x14:negativeFillColor rgb="FFFF0000"/>
              <x14:axisColor rgb="FF000000"/>
            </x14:dataBar>
          </x14:cfRule>
          <xm:sqref>H84:H88</xm:sqref>
        </x14:conditionalFormatting>
        <x14:conditionalFormatting xmlns:xm="http://schemas.microsoft.com/office/excel/2006/main">
          <x14:cfRule type="dataBar" id="{68bc41b9-12a9-4a61-bda3-91324da1e8d0}">
            <x14:dataBar minLength="0" maxLength="100" gradient="0">
              <x14:cfvo type="num">
                <xm:f>0</xm:f>
              </x14:cfvo>
              <x14:cfvo type="num">
                <xm:f>1</xm:f>
              </x14:cfvo>
              <x14:negativeFillColor rgb="FFFF0000"/>
              <x14:axisColor rgb="FF000000"/>
            </x14:dataBar>
          </x14:cfRule>
          <xm:sqref>H89:H91</xm:sqref>
        </x14:conditionalFormatting>
        <x14:conditionalFormatting xmlns:xm="http://schemas.microsoft.com/office/excel/2006/main">
          <x14:cfRule type="dataBar" id="{fabd6495-24ff-42c3-b976-c626f500071a}">
            <x14:dataBar minLength="0" maxLength="100" gradient="0">
              <x14:cfvo type="num">
                <xm:f>0</xm:f>
              </x14:cfvo>
              <x14:cfvo type="num">
                <xm:f>1</xm:f>
              </x14:cfvo>
              <x14:negativeFillColor rgb="FFFF0000"/>
              <x14:axisColor rgb="FF000000"/>
            </x14:dataBar>
          </x14:cfRule>
          <xm:sqref>H94:H98</xm:sqref>
        </x14:conditionalFormatting>
        <x14:conditionalFormatting xmlns:xm="http://schemas.microsoft.com/office/excel/2006/main">
          <x14:cfRule type="dataBar" id="{2427c607-3762-4840-bd00-5c98a83f6dfd}">
            <x14:dataBar minLength="0" maxLength="100" gradient="0">
              <x14:cfvo type="num">
                <xm:f>0</xm:f>
              </x14:cfvo>
              <x14:cfvo type="num">
                <xm:f>1</xm:f>
              </x14:cfvo>
              <x14:negativeFillColor rgb="FFFF0000"/>
              <x14:axisColor rgb="FF000000"/>
            </x14:dataBar>
          </x14:cfRule>
          <xm:sqref>H99:H100</xm:sqref>
        </x14:conditionalFormatting>
        <x14:conditionalFormatting xmlns:xm="http://schemas.microsoft.com/office/excel/2006/main">
          <x14:cfRule type="dataBar" id="{b314de0e-3c68-4d7d-a8a9-5cb6e2bd54b5}">
            <x14:dataBar minLength="0" maxLength="100" gradient="0">
              <x14:cfvo type="num">
                <xm:f>0</xm:f>
              </x14:cfvo>
              <x14:cfvo type="num">
                <xm:f>1</xm:f>
              </x14:cfvo>
              <x14:negativeFillColor rgb="FFFF0000"/>
              <x14:axisColor rgb="FF000000"/>
            </x14:dataBar>
          </x14:cfRule>
          <xm:sqref>H107:H109</xm:sqref>
        </x14:conditionalFormatting>
        <x14:conditionalFormatting xmlns:xm="http://schemas.microsoft.com/office/excel/2006/main">
          <x14:cfRule type="dataBar" id="{51f474d8-44b0-4916-8713-cc0c4b03bd31}">
            <x14:dataBar minLength="0" maxLength="100" gradient="0">
              <x14:cfvo type="num">
                <xm:f>0</xm:f>
              </x14:cfvo>
              <x14:cfvo type="num">
                <xm:f>1</xm:f>
              </x14:cfvo>
              <x14:negativeFillColor rgb="FFFF0000"/>
              <x14:axisColor rgb="FF000000"/>
            </x14:dataBar>
          </x14:cfRule>
          <xm:sqref>H111:H115</xm:sqref>
        </x14:conditionalFormatting>
        <x14:conditionalFormatting xmlns:xm="http://schemas.microsoft.com/office/excel/2006/main">
          <x14:cfRule type="dataBar" id="{773b3e7e-639e-4fbd-8657-c4b70e139530}">
            <x14:dataBar minLength="0" maxLength="100" gradient="0">
              <x14:cfvo type="num">
                <xm:f>0</xm:f>
              </x14:cfvo>
              <x14:cfvo type="num">
                <xm:f>1</xm:f>
              </x14:cfvo>
              <x14:negativeFillColor rgb="FFFF0000"/>
              <x14:axisColor rgb="FF000000"/>
            </x14:dataBar>
          </x14:cfRule>
          <xm:sqref>H8:H10 H78:H83 H20:H31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C46"/>
  <sheetViews>
    <sheetView showGridLines="0" workbookViewId="0">
      <selection activeCell="A1" sqref="A1"/>
    </sheetView>
  </sheetViews>
  <sheetFormatPr defaultColWidth="9" defaultRowHeight="12.75" outlineLevelCol="2"/>
  <cols>
    <col min="1" max="1" width="5.57142857142857" customWidth="1"/>
    <col min="2" max="2" width="37.7142857142857" customWidth="1"/>
    <col min="3" max="3" width="55.1428571428571" customWidth="1"/>
    <col min="4" max="7" width="8.85714285714286"/>
  </cols>
  <sheetData>
    <row r="1" ht="30" customHeight="1" spans="1:3">
      <c r="A1" s="44" t="s">
        <v>111</v>
      </c>
    </row>
    <row r="4" spans="1:3">
      <c r="C4" s="28" t="s">
        <v>112</v>
      </c>
    </row>
    <row r="5" spans="1:3">
      <c r="C5" t="s">
        <v>113</v>
      </c>
    </row>
    <row r="7" ht="18" spans="1:3">
      <c r="C7" s="45" t="s">
        <v>114</v>
      </c>
    </row>
    <row r="8" spans="1:3">
      <c r="C8" s="46" t="s">
        <v>115</v>
      </c>
    </row>
    <row r="10" spans="1:3">
      <c r="C10" t="s">
        <v>116</v>
      </c>
    </row>
    <row r="11" spans="1:3">
      <c r="C11" t="s">
        <v>117</v>
      </c>
    </row>
    <row r="13" ht="18" spans="1:3">
      <c r="C13" s="45" t="s">
        <v>118</v>
      </c>
    </row>
    <row r="16" ht="15.75" spans="1:3">
      <c r="A16" s="18" t="s">
        <v>119</v>
      </c>
    </row>
    <row r="18" ht="15" spans="2:2">
      <c r="B18" s="47" t="s">
        <v>120</v>
      </c>
    </row>
    <row r="19" spans="2:2">
      <c r="B19" t="s">
        <v>121</v>
      </c>
    </row>
    <row r="20" spans="2:2">
      <c r="B20" t="s">
        <v>122</v>
      </c>
    </row>
    <row r="22" ht="15" spans="2:2">
      <c r="B22" s="47" t="s">
        <v>123</v>
      </c>
    </row>
    <row r="23" spans="2:2">
      <c r="B23" t="s">
        <v>124</v>
      </c>
    </row>
    <row r="24" spans="2:2">
      <c r="B24" t="s">
        <v>125</v>
      </c>
    </row>
    <row r="26" ht="15" spans="2:2">
      <c r="B26" s="47" t="s">
        <v>126</v>
      </c>
    </row>
    <row r="27" spans="2:2">
      <c r="B27" t="s">
        <v>127</v>
      </c>
    </row>
    <row r="28" spans="2:2">
      <c r="B28" t="s">
        <v>128</v>
      </c>
    </row>
    <row r="29" spans="2:2">
      <c r="B29" t="s">
        <v>129</v>
      </c>
    </row>
    <row r="30" spans="2:2">
      <c r="B30" t="s">
        <v>130</v>
      </c>
    </row>
    <row r="31" spans="2:2">
      <c r="B31" t="s">
        <v>131</v>
      </c>
    </row>
    <row r="32" spans="2:2">
      <c r="B32" t="s">
        <v>132</v>
      </c>
    </row>
    <row r="34" ht="15" spans="2:2">
      <c r="B34" s="47" t="s">
        <v>133</v>
      </c>
    </row>
    <row r="35" spans="2:2">
      <c r="B35" t="s">
        <v>134</v>
      </c>
    </row>
    <row r="36" spans="2:2">
      <c r="B36" t="s">
        <v>135</v>
      </c>
    </row>
    <row r="37" spans="2:2">
      <c r="B37" t="s">
        <v>136</v>
      </c>
    </row>
    <row r="39" ht="15" spans="2:2">
      <c r="B39" s="47" t="s">
        <v>137</v>
      </c>
    </row>
    <row r="40" spans="2:2">
      <c r="B40" t="s">
        <v>138</v>
      </c>
    </row>
    <row r="42" ht="15" spans="2:2">
      <c r="B42" s="47" t="s">
        <v>139</v>
      </c>
    </row>
    <row r="43" spans="2:2">
      <c r="B43" t="s">
        <v>140</v>
      </c>
    </row>
    <row r="44" spans="2:2">
      <c r="B44" t="s">
        <v>141</v>
      </c>
    </row>
    <row r="46" ht="18" spans="2:2">
      <c r="B46" s="45" t="s">
        <v>142</v>
      </c>
    </row>
  </sheetData>
  <hyperlinks>
    <hyperlink ref="C7" r:id="rId2" display="Learn About Gantt Chart Template Pro"/>
    <hyperlink ref="B46" r:id="rId2" display="Learn More About Gantt Chart Template Pro" tooltip="Go to Vertex42.com"/>
    <hyperlink ref="C13" r:id="rId3" display="Gantt Chart Template Pro for Excel Online"/>
  </hyperlinks>
  <pageMargins left="0.7" right="0.7" top="0.75" bottom="0.75" header="0.3" footer="0.3"/>
  <pageSetup paperSize="1" scale="93"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C94"/>
  <sheetViews>
    <sheetView showGridLines="0" workbookViewId="0">
      <selection activeCell="A1" sqref="A1"/>
    </sheetView>
  </sheetViews>
  <sheetFormatPr defaultColWidth="8.85714285714286" defaultRowHeight="12.75" outlineLevelCol="2"/>
  <cols>
    <col min="1" max="1" width="5.57142857142857" customWidth="1"/>
    <col min="2" max="2" width="90.4285714285714" customWidth="1"/>
    <col min="3" max="3" width="16.4285714285714" customWidth="1"/>
  </cols>
  <sheetData>
    <row r="1" ht="30" customHeight="1" spans="1:3">
      <c r="A1" s="3" t="s">
        <v>143</v>
      </c>
      <c r="B1" s="14"/>
    </row>
    <row r="2" ht="14.25" spans="1:3">
      <c r="A2" s="15" t="s">
        <v>115</v>
      </c>
      <c r="B2" s="16"/>
    </row>
    <row r="3" spans="1:3">
      <c r="B3" s="16"/>
    </row>
    <row r="4" ht="18" spans="1:3">
      <c r="A4" s="17" t="s">
        <v>144</v>
      </c>
      <c r="B4" s="18"/>
    </row>
    <row r="5" ht="57" spans="1:3">
      <c r="B5" s="19" t="s">
        <v>145</v>
      </c>
    </row>
    <row r="7" ht="28.5" spans="1:3">
      <c r="B7" s="19" t="s">
        <v>146</v>
      </c>
    </row>
    <row r="9" ht="14.25" spans="1:3">
      <c r="B9" s="15" t="s">
        <v>147</v>
      </c>
    </row>
    <row r="11" ht="28.5" spans="1:3">
      <c r="B11" s="20" t="s">
        <v>148</v>
      </c>
    </row>
    <row r="13" ht="18" spans="1:3">
      <c r="A13" s="21" t="s">
        <v>149</v>
      </c>
      <c r="B13" s="21"/>
    </row>
    <row r="15" s="13" customFormat="1" ht="18" spans="1:3">
      <c r="A15" s="22"/>
      <c r="B15" s="23" t="s">
        <v>150</v>
      </c>
    </row>
    <row r="16" s="13" customFormat="1" ht="18" spans="1:3">
      <c r="A16" s="22"/>
      <c r="B16" s="23" t="s">
        <v>151</v>
      </c>
      <c r="C16" s="24" t="s">
        <v>152</v>
      </c>
    </row>
    <row r="17" ht="18" spans="1:3">
      <c r="A17" s="25"/>
      <c r="B17" s="23" t="s">
        <v>153</v>
      </c>
    </row>
    <row r="18" ht="18" spans="1:3">
      <c r="A18" s="25"/>
      <c r="B18" s="23" t="s">
        <v>154</v>
      </c>
    </row>
    <row r="19" ht="18" spans="1:3">
      <c r="A19" s="25"/>
      <c r="B19" s="23" t="s">
        <v>155</v>
      </c>
    </row>
    <row r="20" s="13" customFormat="1" ht="18" spans="1:3">
      <c r="A20" s="22"/>
      <c r="B20" s="23" t="s">
        <v>156</v>
      </c>
      <c r="C20" s="26" t="s">
        <v>157</v>
      </c>
    </row>
    <row r="21" ht="18" spans="1:3">
      <c r="A21" s="25"/>
      <c r="B21" s="23" t="s">
        <v>158</v>
      </c>
    </row>
    <row r="22" ht="18" spans="1:3">
      <c r="A22" s="25"/>
      <c r="B22" s="27" t="s">
        <v>159</v>
      </c>
    </row>
    <row r="23" ht="18" spans="1:3">
      <c r="A23" s="25"/>
      <c r="B23" s="28"/>
    </row>
    <row r="24" ht="18" spans="1:3">
      <c r="A24" s="21" t="s">
        <v>160</v>
      </c>
      <c r="B24" s="21"/>
    </row>
    <row r="25" ht="43.5" spans="1:3">
      <c r="A25" s="25"/>
      <c r="B25" s="23" t="s">
        <v>161</v>
      </c>
    </row>
    <row r="26" ht="18" spans="1:3">
      <c r="A26" s="25"/>
      <c r="B26" s="23"/>
    </row>
    <row r="27" ht="18" spans="1:3">
      <c r="A27" s="25"/>
      <c r="B27" s="29" t="s">
        <v>162</v>
      </c>
    </row>
    <row r="28" ht="18" spans="1:3">
      <c r="A28" s="25"/>
      <c r="B28" s="23" t="s">
        <v>163</v>
      </c>
    </row>
    <row r="29" ht="28.5" spans="1:3">
      <c r="A29" s="25"/>
      <c r="B29" s="23" t="s">
        <v>164</v>
      </c>
    </row>
    <row r="30" ht="18" spans="1:3">
      <c r="A30" s="25"/>
      <c r="B30" s="23"/>
    </row>
    <row r="31" ht="18" spans="1:3">
      <c r="A31" s="25"/>
      <c r="B31" s="29" t="s">
        <v>165</v>
      </c>
    </row>
    <row r="32" ht="18" spans="1:3">
      <c r="A32" s="25"/>
      <c r="B32" s="23" t="s">
        <v>166</v>
      </c>
    </row>
    <row r="33" ht="18" spans="1:2">
      <c r="A33" s="25"/>
      <c r="B33" s="23" t="s">
        <v>167</v>
      </c>
    </row>
    <row r="34" ht="18" spans="1:2">
      <c r="A34" s="25"/>
      <c r="B34" s="28"/>
    </row>
    <row r="35" ht="28.5" spans="1:2">
      <c r="A35" s="25"/>
      <c r="B35" s="23" t="s">
        <v>168</v>
      </c>
    </row>
    <row r="36" ht="18" spans="1:2">
      <c r="A36" s="25"/>
      <c r="B36" s="30" t="s">
        <v>169</v>
      </c>
    </row>
    <row r="37" ht="18" spans="1:2">
      <c r="A37" s="25"/>
      <c r="B37" s="28"/>
    </row>
    <row r="38" ht="18" spans="1:2">
      <c r="A38" s="21" t="s">
        <v>170</v>
      </c>
      <c r="B38" s="21"/>
    </row>
    <row r="39" ht="28.5" spans="1:2">
      <c r="B39" s="23" t="s">
        <v>171</v>
      </c>
    </row>
    <row r="41" ht="14.25" spans="1:2">
      <c r="B41" s="23" t="s">
        <v>172</v>
      </c>
    </row>
    <row r="43" ht="28.5" spans="1:2">
      <c r="B43" s="23" t="s">
        <v>173</v>
      </c>
    </row>
    <row r="45" ht="28.5" spans="1:2">
      <c r="B45" s="23" t="s">
        <v>174</v>
      </c>
    </row>
    <row r="46" spans="1:2">
      <c r="B46" s="31"/>
    </row>
    <row r="47" ht="28.5" spans="1:2">
      <c r="B47" s="23" t="s">
        <v>175</v>
      </c>
    </row>
    <row r="49" ht="18" spans="1:2">
      <c r="A49" s="21" t="s">
        <v>176</v>
      </c>
      <c r="B49" s="21"/>
    </row>
    <row r="50" ht="28.5" spans="1:2">
      <c r="B50" s="23" t="s">
        <v>177</v>
      </c>
    </row>
    <row r="52" ht="14.25" spans="1:2">
      <c r="A52" s="32" t="s">
        <v>178</v>
      </c>
      <c r="B52" s="23" t="s">
        <v>179</v>
      </c>
    </row>
    <row r="53" ht="14.25" spans="1:2">
      <c r="A53" s="32" t="s">
        <v>180</v>
      </c>
      <c r="B53" s="23" t="s">
        <v>181</v>
      </c>
    </row>
    <row r="54" ht="14.25" spans="1:2">
      <c r="A54" s="32" t="s">
        <v>182</v>
      </c>
      <c r="B54" s="23" t="s">
        <v>183</v>
      </c>
    </row>
    <row r="55" ht="28.5" spans="1:2">
      <c r="A55" s="20"/>
      <c r="B55" s="23" t="s">
        <v>184</v>
      </c>
    </row>
    <row r="56" ht="28.5" spans="1:2">
      <c r="A56" s="20"/>
      <c r="B56" s="23" t="s">
        <v>185</v>
      </c>
    </row>
    <row r="57" ht="14.25" spans="1:2">
      <c r="A57" s="32" t="s">
        <v>186</v>
      </c>
      <c r="B57" s="23" t="s">
        <v>187</v>
      </c>
    </row>
    <row r="58" ht="14.25" spans="1:2">
      <c r="A58" s="20"/>
      <c r="B58" s="23" t="s">
        <v>188</v>
      </c>
    </row>
    <row r="59" ht="14.25" spans="1:2">
      <c r="A59" s="20"/>
      <c r="B59" s="23" t="s">
        <v>189</v>
      </c>
    </row>
    <row r="60" ht="14.25" spans="1:2">
      <c r="A60" s="32" t="s">
        <v>190</v>
      </c>
      <c r="B60" s="23" t="s">
        <v>191</v>
      </c>
    </row>
    <row r="61" ht="28.5" spans="1:2">
      <c r="A61" s="20"/>
      <c r="B61" s="23" t="s">
        <v>192</v>
      </c>
    </row>
    <row r="62" ht="14.25" spans="1:2">
      <c r="A62" s="32" t="s">
        <v>193</v>
      </c>
      <c r="B62" s="23" t="s">
        <v>194</v>
      </c>
    </row>
    <row r="63" ht="14.25" spans="1:2">
      <c r="A63" s="33"/>
      <c r="B63" s="23" t="s">
        <v>195</v>
      </c>
    </row>
    <row r="64" spans="1:2">
      <c r="B64" s="34"/>
    </row>
    <row r="65" ht="18" spans="1:2">
      <c r="A65" s="21" t="s">
        <v>196</v>
      </c>
      <c r="B65" s="21"/>
    </row>
    <row r="66" ht="42.75" spans="1:2">
      <c r="B66" s="23" t="s">
        <v>197</v>
      </c>
    </row>
    <row r="68" ht="18" spans="1:2">
      <c r="A68" s="21" t="s">
        <v>198</v>
      </c>
      <c r="B68" s="21"/>
    </row>
    <row r="69" ht="15" spans="1:2">
      <c r="A69" s="35" t="s">
        <v>199</v>
      </c>
      <c r="B69" s="36" t="s">
        <v>200</v>
      </c>
    </row>
    <row r="70" ht="28.5" spans="1:2">
      <c r="A70" s="33"/>
      <c r="B70" s="37" t="s">
        <v>201</v>
      </c>
    </row>
    <row r="71" ht="14.25" spans="1:2">
      <c r="A71" s="33"/>
      <c r="B71" s="38"/>
    </row>
    <row r="72" ht="15" spans="1:2">
      <c r="A72" s="35" t="s">
        <v>199</v>
      </c>
      <c r="B72" s="36" t="s">
        <v>202</v>
      </c>
    </row>
    <row r="73" ht="28.5" spans="1:2">
      <c r="A73" s="33"/>
      <c r="B73" s="37" t="s">
        <v>203</v>
      </c>
    </row>
    <row r="74" ht="14.25" spans="1:2">
      <c r="A74" s="33"/>
      <c r="B74" s="38"/>
    </row>
    <row r="75" ht="15" spans="1:2">
      <c r="A75" s="35" t="s">
        <v>199</v>
      </c>
      <c r="B75" s="39" t="s">
        <v>204</v>
      </c>
    </row>
    <row r="76" ht="42.75" spans="1:2">
      <c r="A76" s="33"/>
      <c r="B76" s="19" t="s">
        <v>205</v>
      </c>
    </row>
    <row r="77" ht="14.25" spans="1:2">
      <c r="A77" s="33"/>
      <c r="B77" s="33"/>
    </row>
    <row r="78" ht="15" spans="1:2">
      <c r="A78" s="35" t="s">
        <v>199</v>
      </c>
      <c r="B78" s="39" t="s">
        <v>206</v>
      </c>
    </row>
    <row r="79" ht="28.5" spans="1:2">
      <c r="A79" s="33"/>
      <c r="B79" s="19" t="s">
        <v>207</v>
      </c>
    </row>
    <row r="80" ht="14.25" spans="1:2">
      <c r="A80" s="33"/>
      <c r="B80" s="33"/>
    </row>
    <row r="81" ht="15" spans="1:2">
      <c r="A81" s="35" t="s">
        <v>199</v>
      </c>
      <c r="B81" s="39" t="s">
        <v>208</v>
      </c>
    </row>
    <row r="82" ht="14.25" spans="1:2">
      <c r="A82" s="33"/>
      <c r="B82" s="40" t="s">
        <v>209</v>
      </c>
    </row>
    <row r="83" ht="14.25" spans="1:2">
      <c r="A83" s="33"/>
      <c r="B83" s="40" t="s">
        <v>210</v>
      </c>
    </row>
    <row r="84" ht="14.25" spans="1:2">
      <c r="A84" s="33"/>
      <c r="B84" s="40" t="s">
        <v>211</v>
      </c>
    </row>
    <row r="85" ht="15" spans="1:2">
      <c r="A85" s="33"/>
      <c r="B85" s="41"/>
    </row>
    <row r="86" ht="15" spans="1:2">
      <c r="A86" s="35" t="s">
        <v>199</v>
      </c>
      <c r="B86" s="39" t="s">
        <v>212</v>
      </c>
    </row>
    <row r="87" ht="42.75" spans="1:2">
      <c r="A87" s="33"/>
      <c r="B87" s="19" t="s">
        <v>213</v>
      </c>
    </row>
    <row r="88" ht="14.25" spans="1:2">
      <c r="A88" s="33"/>
      <c r="B88" s="116" t="s">
        <v>214</v>
      </c>
    </row>
    <row r="89" ht="57" spans="1:2">
      <c r="A89" s="33"/>
      <c r="B89" s="117" t="s">
        <v>215</v>
      </c>
    </row>
    <row r="90" ht="14.25" spans="1:2">
      <c r="A90" s="33"/>
      <c r="B90" s="33"/>
    </row>
    <row r="91" ht="15" spans="1:2">
      <c r="A91" s="35" t="s">
        <v>199</v>
      </c>
      <c r="B91" s="39" t="s">
        <v>216</v>
      </c>
    </row>
    <row r="92" ht="28.5" spans="1:2">
      <c r="A92" s="20"/>
      <c r="B92" s="40" t="s">
        <v>217</v>
      </c>
    </row>
    <row r="94" spans="1:2">
      <c r="A94" s="43" t="s">
        <v>218</v>
      </c>
    </row>
  </sheetData>
  <mergeCells count="6">
    <mergeCell ref="A13:B13"/>
    <mergeCell ref="A24:B24"/>
    <mergeCell ref="A38:B38"/>
    <mergeCell ref="A49:B49"/>
    <mergeCell ref="A65:B65"/>
    <mergeCell ref="A68:B68"/>
  </mergeCells>
  <hyperlinks>
    <hyperlink ref="B9" r:id="rId4" display="Watch Demo Videos of the Pro Version on Vertex42.com"/>
    <hyperlink ref="A2" r:id="rId5" display="https://www.vertex42.com/ExcelTemplates/excel-gantt-chart.html"/>
    <hyperlink ref="B36" r:id="rId6" display="Help improve Excel by voting on a suggestion to fix this problem."/>
  </hyperlinks>
  <pageMargins left="0.5" right="0.5" top="0.25" bottom="0.25" header="0.5" footer="0.5"/>
  <pageSetup paperSize="1" orientation="portrait"/>
  <headerFooter alignWithMargins="0"/>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C29"/>
  <sheetViews>
    <sheetView showGridLines="0" workbookViewId="0">
      <selection activeCell="A1" sqref="A1"/>
    </sheetView>
  </sheetViews>
  <sheetFormatPr defaultColWidth="8.85714285714286" defaultRowHeight="12.75" outlineLevelCol="2"/>
  <cols>
    <col min="1" max="1" width="5.57142857142857" customWidth="1"/>
    <col min="2" max="2" width="82.1428571428571" customWidth="1"/>
  </cols>
  <sheetData>
    <row r="1" ht="30" customHeight="1" spans="1:3">
      <c r="A1" s="3" t="s">
        <v>219</v>
      </c>
      <c r="B1" s="3"/>
    </row>
    <row r="2" ht="15" spans="1:3">
      <c r="B2" s="4"/>
    </row>
    <row r="3" ht="15" spans="1:3">
      <c r="A3" s="5"/>
      <c r="B3" s="6" t="s">
        <v>220</v>
      </c>
      <c r="C3" s="5"/>
    </row>
    <row r="4" ht="14.25" spans="1:3">
      <c r="A4" s="7"/>
      <c r="B4" s="8" t="s">
        <v>115</v>
      </c>
      <c r="C4" s="7"/>
    </row>
    <row r="5" ht="15" spans="1:3">
      <c r="A5" s="7"/>
      <c r="B5" s="9"/>
      <c r="C5" s="7"/>
    </row>
    <row r="6" ht="15.75" spans="1:3">
      <c r="A6" s="7"/>
      <c r="B6" s="10" t="s">
        <v>218</v>
      </c>
      <c r="C6" s="7"/>
    </row>
    <row r="7" ht="15" spans="1:3">
      <c r="A7" s="7"/>
      <c r="B7" s="9"/>
      <c r="C7" s="7"/>
    </row>
    <row r="8" ht="30" spans="1:3">
      <c r="A8" s="7"/>
      <c r="B8" s="9" t="s">
        <v>221</v>
      </c>
      <c r="C8" s="7"/>
    </row>
    <row r="9" ht="15" spans="1:3">
      <c r="A9" s="7"/>
      <c r="B9" s="9"/>
      <c r="C9" s="7"/>
    </row>
    <row r="10" ht="46.5" spans="1:3">
      <c r="A10" s="7"/>
      <c r="B10" s="9" t="s">
        <v>222</v>
      </c>
      <c r="C10" s="7"/>
    </row>
    <row r="11" ht="15" spans="1:3">
      <c r="A11" s="7"/>
      <c r="B11" s="9"/>
      <c r="C11" s="7"/>
    </row>
    <row r="12" ht="45" spans="1:3">
      <c r="A12" s="7"/>
      <c r="B12" s="9" t="s">
        <v>223</v>
      </c>
      <c r="C12" s="7"/>
    </row>
    <row r="13" ht="15" spans="1:3">
      <c r="A13" s="7"/>
      <c r="B13" s="9"/>
      <c r="C13" s="7"/>
    </row>
    <row r="14" ht="60" spans="1:3">
      <c r="A14" s="7"/>
      <c r="B14" s="9" t="s">
        <v>224</v>
      </c>
      <c r="C14" s="7"/>
    </row>
    <row r="15" ht="15" spans="1:3">
      <c r="A15" s="7"/>
      <c r="B15" s="9"/>
      <c r="C15" s="7"/>
    </row>
    <row r="16" ht="30.75" spans="1:3">
      <c r="A16" s="7"/>
      <c r="B16" s="9" t="s">
        <v>225</v>
      </c>
      <c r="C16" s="7"/>
    </row>
    <row r="17" ht="15" spans="1:3">
      <c r="A17" s="7"/>
      <c r="B17" s="9"/>
      <c r="C17" s="7"/>
    </row>
    <row r="18" ht="15.75" spans="1:3">
      <c r="A18" s="7"/>
      <c r="B18" s="10" t="s">
        <v>226</v>
      </c>
      <c r="C18" s="7"/>
    </row>
    <row r="19" ht="15" spans="1:3">
      <c r="A19" s="7"/>
      <c r="B19" s="11" t="s">
        <v>227</v>
      </c>
      <c r="C19" s="7"/>
    </row>
    <row r="20" ht="15" spans="1:3">
      <c r="A20" s="7"/>
      <c r="B20" s="12"/>
      <c r="C20" s="7"/>
    </row>
    <row r="21" spans="1:3">
      <c r="A21" s="7"/>
      <c r="B21" s="7"/>
      <c r="C21" s="7"/>
    </row>
    <row r="22" spans="1:3">
      <c r="A22" s="7"/>
      <c r="B22" s="7"/>
      <c r="C22" s="7"/>
    </row>
    <row r="23" spans="1:3">
      <c r="A23" s="7"/>
      <c r="B23" s="7"/>
      <c r="C23" s="7"/>
    </row>
    <row r="24" spans="1:3">
      <c r="A24" s="7"/>
      <c r="B24" s="7"/>
      <c r="C24" s="7"/>
    </row>
    <row r="25" spans="1:3">
      <c r="A25" s="7"/>
      <c r="B25" s="7"/>
      <c r="C25" s="7"/>
    </row>
    <row r="26" spans="1:3">
      <c r="A26" s="7"/>
      <c r="B26" s="7"/>
      <c r="C26" s="7"/>
    </row>
    <row r="27" spans="1:3">
      <c r="A27" s="7"/>
      <c r="B27" s="7"/>
      <c r="C27" s="7"/>
    </row>
    <row r="28" spans="1:3">
      <c r="A28" s="7"/>
      <c r="B28" s="7"/>
      <c r="C28" s="7"/>
    </row>
    <row r="29" spans="1:3">
      <c r="A29" s="7"/>
      <c r="B29" s="7"/>
      <c r="C29" s="7"/>
    </row>
  </sheetData>
  <hyperlinks>
    <hyperlink ref="B4" r:id="rId2" display="https://www.vertex42.com/ExcelTemplates/excel-gantt-chart.html"/>
    <hyperlink ref="B19" r:id="rId3" display="https://www.vertex42.com/licensing/EULA_privateuse.html"/>
  </hyperlinks>
  <pageMargins left="0.7" right="0.7" top="0.75" bottom="0.75" header="0.3" footer="0.3"/>
  <pageSetup paperSize="1"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
  <sheetViews>
    <sheetView workbookViewId="0">
      <selection activeCell="A2" sqref="A2"/>
    </sheetView>
  </sheetViews>
  <sheetFormatPr defaultColWidth="9" defaultRowHeight="12.75" outlineLevelRow="6"/>
  <cols>
    <col min="1" max="1" width="49.7142857142857" customWidth="1"/>
  </cols>
  <sheetData>
    <row r="1" ht="37.5" customHeight="1" spans="1:13">
      <c r="A1" s="1" t="s">
        <v>228</v>
      </c>
      <c r="B1" s="1"/>
      <c r="C1" s="1"/>
      <c r="D1" s="1"/>
      <c r="E1" s="1"/>
      <c r="F1" s="1"/>
      <c r="G1" s="1"/>
      <c r="H1" s="1"/>
      <c r="I1" s="1"/>
      <c r="J1" s="1"/>
      <c r="K1" s="1"/>
      <c r="L1" s="1"/>
      <c r="M1" s="1"/>
    </row>
    <row r="3" spans="1:13">
      <c r="A3" s="118" t="s">
        <v>229</v>
      </c>
    </row>
    <row r="4" spans="1:13">
      <c r="A4" s="2" t="s">
        <v>230</v>
      </c>
    </row>
    <row r="5" spans="1:13">
      <c r="A5" t="s">
        <v>231</v>
      </c>
    </row>
    <row r="6" spans="1:13">
      <c r="A6" t="s">
        <v>232</v>
      </c>
    </row>
    <row r="7" spans="1:13">
      <c r="A7" t="s">
        <v>233</v>
      </c>
    </row>
  </sheetData>
  <mergeCells count="1">
    <mergeCell ref="A1:M1"/>
  </mergeCell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Company>Vertex42 LLC</Company>
  <Application>Microsoft Excel</Application>
  <HeadingPairs>
    <vt:vector size="2" baseType="variant">
      <vt:variant>
        <vt:lpstr>工作表</vt:lpstr>
      </vt:variant>
      <vt:variant>
        <vt:i4>5</vt:i4>
      </vt:variant>
    </vt:vector>
  </HeadingPairs>
  <TitlesOfParts>
    <vt:vector size="5" baseType="lpstr">
      <vt:lpstr>GanttChart</vt:lpstr>
      <vt:lpstr>GanttChartPro</vt:lpstr>
      <vt:lpstr>Help</vt:lpstr>
      <vt:lpstr>TermsOfUse</vt:lpstr>
      <vt:lpstr>Update Project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2006-2025 Vertex42 LLC. All Rights Reserved.</dc:description>
  <cp:lastModifiedBy>BC</cp:lastModifiedBy>
  <dcterms:created xsi:type="dcterms:W3CDTF">2010-06-09T16:05:00Z</dcterms:created>
  <cp:lastPrinted>2025-11-24T02:54:00Z</cp:lastPrinted>
  <dcterms:modified xsi:type="dcterms:W3CDTF">2026-02-13T00:52:20Z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y fmtid="{D5CDD505-2E9C-101B-9397-08002B2CF9AE}" pid="5" name="ICV">
    <vt:lpwstr>5E4F88696BF640A487FEBE7E35EB5237_13</vt:lpwstr>
  </property>
  <property fmtid="{D5CDD505-2E9C-101B-9397-08002B2CF9AE}" pid="6" name="KSOProductBuildVer">
    <vt:lpwstr>1033-12.1.0.25242</vt:lpwstr>
  </property>
  <property fmtid="{D5CDD505-2E9C-101B-9397-08002B2CF9AE}" pid="7" name="CalculationRule">
    <vt:i4>0</vt:i4>
  </property>
</Properties>
</file>
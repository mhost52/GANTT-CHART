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19635" windowHeight="7620"/>
  </bookViews>
  <sheets>
    <sheet name="GanttChart" sheetId="9" r:id="rId1"/>
    <sheet name="GanttChartPro" sheetId="12" state="hidden" r:id="rId2"/>
    <sheet name="Help" sheetId="6" state="hidden" r:id="rId3"/>
    <sheet name="TermsOfUse" sheetId="11" state="hidden" r:id="rId4"/>
    <sheet name="Update Project" sheetId="13" r:id="rId5"/>
    <sheet name="etc" sheetId="14" state="hidden" r:id="rId6"/>
  </sheets>
  <definedNames>
    <definedName name="_xlnm._FilterDatabase" localSheetId="0" hidden="1">GanttChart!$A$7:$I$60</definedName>
    <definedName name="prevWBS" localSheetId="5">etc!$A1048576</definedName>
    <definedName name="prevWBS" localSheetId="0">GanttChart!$A1048576</definedName>
    <definedName name="_xlnm.Print_Area" localSheetId="0">GanttChart!$A$1:$BN$83</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9" l="1"/>
  <c r="I19" i="9" s="1"/>
  <c r="A19" i="9"/>
  <c r="F18" i="9"/>
  <c r="I18" i="9" s="1"/>
  <c r="A18" i="9"/>
  <c r="F17" i="9"/>
  <c r="I17" i="9" s="1"/>
  <c r="A17" i="9"/>
  <c r="F16" i="9"/>
  <c r="I16" i="9" s="1"/>
  <c r="A16" i="9"/>
  <c r="F15" i="9"/>
  <c r="I15" i="9" s="1"/>
  <c r="A15" i="9"/>
  <c r="F14" i="9"/>
  <c r="I14" i="9" s="1"/>
  <c r="A14" i="9"/>
  <c r="F13" i="9"/>
  <c r="I13" i="9" s="1"/>
  <c r="A13" i="9"/>
  <c r="F12" i="9"/>
  <c r="I12" i="9" s="1"/>
  <c r="A12" i="9"/>
  <c r="F11" i="9"/>
  <c r="I11" i="9" s="1"/>
  <c r="A11" i="9"/>
  <c r="A17" i="14" l="1"/>
  <c r="A16" i="14"/>
  <c r="A15" i="14"/>
  <c r="A14" i="14"/>
  <c r="A13" i="14"/>
  <c r="F115" i="9"/>
  <c r="F114" i="9"/>
  <c r="I114" i="9" s="1"/>
  <c r="F113" i="9"/>
  <c r="F112" i="9"/>
  <c r="F111" i="9"/>
  <c r="F110" i="9"/>
  <c r="F109" i="9"/>
  <c r="F108" i="9"/>
  <c r="I108" i="9" s="1"/>
  <c r="F107" i="9"/>
  <c r="F106" i="9"/>
  <c r="F105" i="9"/>
  <c r="I105" i="9" s="1"/>
  <c r="F104" i="9"/>
  <c r="I104" i="9" s="1"/>
  <c r="I103" i="9"/>
  <c r="F103" i="9"/>
  <c r="F102" i="9"/>
  <c r="I102" i="9" s="1"/>
  <c r="F101" i="9"/>
  <c r="I101" i="9" s="1"/>
  <c r="F100" i="9"/>
  <c r="I100" i="9" s="1"/>
  <c r="F99" i="9"/>
  <c r="I99" i="9" s="1"/>
  <c r="F98" i="9"/>
  <c r="I98" i="9" s="1"/>
  <c r="F97" i="9"/>
  <c r="I97" i="9" s="1"/>
  <c r="F96" i="9"/>
  <c r="I96" i="9" s="1"/>
  <c r="F95" i="9"/>
  <c r="I95" i="9" s="1"/>
  <c r="F94" i="9"/>
  <c r="I94" i="9" s="1"/>
  <c r="F93" i="9"/>
  <c r="I93" i="9" s="1"/>
  <c r="F92" i="9"/>
  <c r="I92" i="9" s="1"/>
  <c r="F91" i="9"/>
  <c r="I91" i="9" s="1"/>
  <c r="F90" i="9"/>
  <c r="I90" i="9" s="1"/>
  <c r="F89" i="9"/>
  <c r="I89" i="9" s="1"/>
  <c r="F88" i="9"/>
  <c r="I88" i="9" s="1"/>
  <c r="I87" i="9"/>
  <c r="F87" i="9"/>
  <c r="F86" i="9"/>
  <c r="I86" i="9" s="1"/>
  <c r="F85" i="9"/>
  <c r="I85" i="9" s="1"/>
  <c r="F84" i="9"/>
  <c r="I84" i="9" s="1"/>
  <c r="F83" i="9"/>
  <c r="I83" i="9" s="1"/>
  <c r="F82" i="9"/>
  <c r="I82" i="9" s="1"/>
  <c r="F81" i="9"/>
  <c r="I81" i="9" s="1"/>
  <c r="F80" i="9"/>
  <c r="I80" i="9" s="1"/>
  <c r="F79" i="9"/>
  <c r="I79" i="9" s="1"/>
  <c r="F78" i="9"/>
  <c r="I78" i="9" s="1"/>
  <c r="F77" i="9"/>
  <c r="I77" i="9" s="1"/>
  <c r="F76" i="9"/>
  <c r="I76" i="9" s="1"/>
  <c r="A76" i="9"/>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F10" i="9"/>
  <c r="I10" i="9" s="1"/>
  <c r="F9" i="9"/>
  <c r="I9" i="9" s="1"/>
  <c r="F8" i="9"/>
  <c r="I8" i="9" s="1"/>
  <c r="A8" i="9"/>
  <c r="A9" i="9" s="1"/>
  <c r="A10" i="9" s="1"/>
  <c r="K6" i="9"/>
  <c r="L6" i="9" s="1"/>
  <c r="K4" i="9" l="1"/>
  <c r="K5" i="9"/>
  <c r="M6" i="9"/>
  <c r="L7" i="9"/>
  <c r="K7" i="9"/>
  <c r="M7" i="9" l="1"/>
  <c r="N6" i="9"/>
  <c r="O6" i="9" l="1"/>
  <c r="N7" i="9"/>
  <c r="P6" i="9" l="1"/>
  <c r="O7" i="9"/>
  <c r="Q6" i="9" l="1"/>
  <c r="P7" i="9"/>
  <c r="Q7" i="9" l="1"/>
  <c r="R6" i="9"/>
  <c r="R5" i="9" l="1"/>
  <c r="R4" i="9"/>
  <c r="S6" i="9"/>
  <c r="R7" i="9"/>
  <c r="T6" i="9" l="1"/>
  <c r="S7" i="9"/>
  <c r="U6" i="9" l="1"/>
  <c r="T7" i="9"/>
  <c r="U7" i="9" l="1"/>
  <c r="V6" i="9"/>
  <c r="W6" i="9" l="1"/>
  <c r="V7" i="9"/>
  <c r="X6" i="9" l="1"/>
  <c r="W7" i="9"/>
  <c r="Y6" i="9" l="1"/>
  <c r="X7" i="9"/>
  <c r="Y7" i="9" l="1"/>
  <c r="Y5" i="9"/>
  <c r="Y4" i="9"/>
  <c r="Z6" i="9"/>
  <c r="AA6" i="9" l="1"/>
  <c r="Z7" i="9"/>
  <c r="AB6" i="9" l="1"/>
  <c r="AA7" i="9"/>
  <c r="AC6" i="9" l="1"/>
  <c r="AB7" i="9"/>
  <c r="E13" i="14"/>
  <c r="F13" i="14" s="1"/>
  <c r="AC7" i="9" l="1"/>
  <c r="AD6" i="9"/>
  <c r="I13" i="14"/>
  <c r="E15" i="14"/>
  <c r="F15" i="14" s="1"/>
  <c r="E14" i="14"/>
  <c r="F14" i="14" s="1"/>
  <c r="AE6" i="9" l="1"/>
  <c r="AD7" i="9"/>
  <c r="E16" i="14"/>
  <c r="F16" i="14" s="1"/>
  <c r="I16" i="14" s="1"/>
  <c r="I14" i="14"/>
  <c r="E17" i="14"/>
  <c r="F17" i="14" s="1"/>
  <c r="I17" i="14" s="1"/>
  <c r="I15" i="14"/>
  <c r="AF6" i="9" l="1"/>
  <c r="AE7" i="9"/>
  <c r="AG6" i="9" l="1"/>
  <c r="AF7" i="9"/>
  <c r="AF4" i="9"/>
  <c r="AF5" i="9"/>
  <c r="AG7" i="9" l="1"/>
  <c r="AH6" i="9"/>
  <c r="AI6" i="9" l="1"/>
  <c r="AH7" i="9"/>
  <c r="AJ6" i="9" l="1"/>
  <c r="AI7" i="9"/>
  <c r="AK6" i="9" l="1"/>
  <c r="AJ7" i="9"/>
  <c r="AK7" i="9" l="1"/>
  <c r="AL6" i="9"/>
  <c r="AM6" i="9" l="1"/>
  <c r="AL7" i="9"/>
  <c r="AN6" i="9" l="1"/>
  <c r="AM7" i="9"/>
  <c r="AM5" i="9"/>
  <c r="AM4" i="9"/>
  <c r="AO6" i="9" l="1"/>
  <c r="AN7" i="9"/>
  <c r="AO7" i="9" l="1"/>
  <c r="AP6" i="9"/>
  <c r="AQ6" i="9" l="1"/>
  <c r="AP7" i="9"/>
  <c r="AR6" i="9" l="1"/>
  <c r="AQ7" i="9"/>
  <c r="AS6" i="9" l="1"/>
  <c r="AR7" i="9"/>
  <c r="AS7" i="9" l="1"/>
  <c r="AT6" i="9"/>
  <c r="AT5" i="9" l="1"/>
  <c r="AT4" i="9"/>
  <c r="AU6" i="9"/>
  <c r="AT7" i="9"/>
  <c r="AV6" i="9" l="1"/>
  <c r="AU7" i="9"/>
  <c r="AW6" i="9" l="1"/>
  <c r="AV7" i="9"/>
  <c r="AW7" i="9" l="1"/>
  <c r="AX6" i="9"/>
  <c r="AY6" i="9" l="1"/>
  <c r="AX7" i="9"/>
  <c r="AZ6" i="9" l="1"/>
  <c r="AY7" i="9"/>
  <c r="BA6" i="9" l="1"/>
  <c r="AZ7" i="9"/>
  <c r="BA7" i="9" l="1"/>
  <c r="BA5" i="9"/>
  <c r="BA4" i="9"/>
  <c r="BB6" i="9"/>
  <c r="BC6" i="9" l="1"/>
  <c r="BB7" i="9"/>
  <c r="BD6" i="9" l="1"/>
  <c r="BC7" i="9"/>
  <c r="BE6" i="9" l="1"/>
  <c r="BD7" i="9"/>
  <c r="BE7" i="9" l="1"/>
  <c r="BF6" i="9"/>
  <c r="BG6" i="9" l="1"/>
  <c r="BF7" i="9"/>
  <c r="BH6" i="9" l="1"/>
  <c r="BG7" i="9"/>
  <c r="BI6" i="9" l="1"/>
  <c r="BH7" i="9"/>
  <c r="BH4" i="9"/>
  <c r="BH5" i="9"/>
  <c r="BI7" i="9" l="1"/>
  <c r="BJ6" i="9"/>
  <c r="BK6" i="9" l="1"/>
  <c r="BJ7" i="9"/>
  <c r="BL6" i="9" l="1"/>
  <c r="BK7" i="9"/>
  <c r="BM6" i="9" l="1"/>
  <c r="BL7" i="9"/>
  <c r="BM7" i="9" l="1"/>
  <c r="BN6" i="9"/>
  <c r="BN7" i="9" s="1"/>
</calcChain>
</file>

<file path=xl/comments1.xml><?xml version="1.0" encoding="utf-8"?>
<comments xmlns="http://schemas.openxmlformats.org/spreadsheetml/2006/main">
  <authors>
    <author>Vertex42</author>
    <author>Vertex42.com Templates</author>
    <author>BC</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45" authorId="2">
      <text>
        <r>
          <rPr>
            <b/>
            <sz val="9"/>
            <rFont val="Tahoma"/>
            <charset val="1"/>
          </rPr>
          <t>BC:</t>
        </r>
        <r>
          <rPr>
            <sz val="9"/>
            <rFont val="Tahoma"/>
            <charset val="1"/>
          </rPr>
          <t xml:space="preserve">
$url = "https://my430621-api.s4hana.cloud.sap/sap/opu/odata/sap/API_MATERIAL_STOCK_SRV/A_MatlStkInAcctMod";
$username = "LEUWITEX_US_SAP_COM_0947";
$password = "qyUUYn%4be7bl&gt;m(VT/9nuW#3/342j~W9{C/88jL";
CREATE TABLE pz_material_stock (
    id SERIAL PRIMARY KEY, -- optional, untuk unique identifier
    material VARCHAR(100) NOT NULL,
    plant VARCHAR(10) NOT NULL,
    storage_location VARCHAR(20),
    batch VARCHAR(50),
    inventory_stock_type VARCHAR(5),
    base_unit VARCHAR(10),
    warehouse_stock_qty NUMERIC(18,3) DEFAULT 0
);</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<sst xmlns="http://schemas.openxmlformats.org/spreadsheetml/2006/main" count="267" uniqueCount="197">
  <si>
    <t xml:space="preserve">Project Start Date </t>
  </si>
  <si>
    <t xml:space="preserve">Display Week </t>
  </si>
  <si>
    <t xml:space="preserve">Project Lead </t>
  </si>
  <si>
    <t>Billy</t>
  </si>
  <si>
    <t>WBS</t>
  </si>
  <si>
    <t>TASK</t>
  </si>
  <si>
    <t>PIC</t>
  </si>
  <si>
    <t>START</t>
  </si>
  <si>
    <t>END</t>
  </si>
  <si>
    <t>DAYS</t>
  </si>
  <si>
    <t>% DONE</t>
  </si>
  <si>
    <t>WORK DAYS</t>
  </si>
  <si>
    <t>Baim</t>
  </si>
  <si>
    <t>Budi</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</si>
  <si>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</si>
  <si>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</si>
  <si>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</si>
  <si>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</si>
  <si>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</si>
  <si>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</si>
  <si>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</si>
  <si>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</si>
  <si>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</si>
  <si>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</si>
  <si>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</si>
  <si>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</si>
  <si>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</si>
  <si>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</si>
  <si>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</si>
  <si>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</si>
  <si>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</si>
  <si>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</si>
  <si>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</si>
  <si>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</si>
  <si>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</si>
  <si>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</si>
  <si>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</si>
  <si>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</si>
  <si>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</si>
  <si>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</si>
  <si>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</si>
  <si>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</si>
  <si>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</si>
  <si>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</si>
  <si>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</si>
  <si>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</si>
  <si>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</si>
  <si>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</si>
  <si>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</si>
  <si>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</si>
  <si>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</si>
  <si>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</si>
  <si>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</si>
  <si>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</si>
  <si>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</si>
  <si>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</si>
  <si>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</si>
  <si>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</si>
  <si>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</si>
  <si>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</si>
  <si>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</si>
  <si>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</si>
  <si>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</si>
  <si>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</si>
  <si>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</si>
  <si>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</si>
  <si>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</si>
  <si>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</si>
  <si>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</si>
  <si>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</si>
  <si>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</si>
  <si>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</si>
  <si>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</si>
  <si>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</si>
  <si>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</si>
  <si>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</si>
  <si>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</si>
  <si>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</si>
  <si>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</si>
  <si>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</si>
  <si>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</si>
  <si>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</si>
  <si>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</si>
  <si>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</si>
  <si>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</si>
  <si>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</si>
  <si>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</si>
  <si>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</si>
  <si>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</si>
  <si>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</si>
  <si>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</si>
  <si>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</si>
  <si>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</si>
  <si>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</si>
  <si>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</si>
  <si>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</si>
  <si>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</si>
  <si>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</si>
  <si>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</si>
  <si>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</si>
  <si>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</si>
  <si>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</si>
  <si>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</si>
  <si>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</si>
  <si>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</si>
  <si>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</si>
  <si>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</si>
  <si>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</si>
  <si>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</si>
  <si>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</si>
  <si>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</si>
  <si>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</si>
  <si>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</si>
  <si>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</si>
  <si>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</si>
  <si>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</si>
  <si>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</si>
  <si>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</si>
  <si>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</si>
  <si>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</si>
  <si>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</si>
  <si>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</si>
  <si>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</si>
  <si>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</si>
  <si>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</si>
  <si>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</si>
  <si>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</si>
  <si>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</si>
  <si>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</si>
  <si>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</si>
  <si>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</si>
  <si>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</si>
  <si>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</si>
  <si>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</si>
  <si>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</si>
  <si>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</si>
  <si>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</si>
  <si>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</si>
  <si>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</si>
  <si>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</si>
  <si>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</si>
  <si>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</si>
  <si>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</si>
  <si>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</si>
  <si>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</si>
  <si>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</si>
  <si>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</si>
  <si>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</si>
  <si>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</si>
  <si>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</si>
  <si>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</si>
  <si>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</si>
  <si>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</si>
  <si>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</si>
  <si>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</si>
  <si>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</si>
  <si>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</si>
  <si>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</si>
  <si>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</si>
  <si>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</si>
  <si>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</si>
  <si>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</si>
  <si>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</si>
  <si>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</si>
  <si>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</si>
  <si>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</si>
  <si>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</si>
  <si>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</si>
  <si>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</si>
  <si>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</si>
  <si>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</si>
  <si>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</si>
  <si>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</si>
  <si>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</si>
  <si>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Modifikasi Form Transfer Posting</t>
  </si>
  <si>
    <t>Modifikasi Form Purchase Order</t>
  </si>
  <si>
    <t xml:space="preserve">Modifikasi Form Good Receipt </t>
  </si>
  <si>
    <t xml:space="preserve">Modifikasi Form Good Issue </t>
  </si>
  <si>
    <t xml:space="preserve">Modifikasi Form Bukti Tanda Terima </t>
  </si>
  <si>
    <t>Libur lebaran 18-26 February</t>
  </si>
  <si>
    <t>Update per 17 Maret 2026</t>
  </si>
  <si>
    <t>BC app development</t>
  </si>
  <si>
    <t>11/UAK/03/2026</t>
  </si>
  <si>
    <t>MEMO</t>
  </si>
  <si>
    <t>02/UAK/11/2025</t>
  </si>
  <si>
    <t>BC(75% BC, 25% SAP)</t>
  </si>
  <si>
    <t>1a Menambah kolom : Asal Doc , No Daftar dan Tanggal daftar(/pzzl/index.php/Warehouse/laporanKeluar)</t>
  </si>
  <si>
    <t>1b Menambah menu Edit untuk Pengisian Asal DOC, No Daftar dan Tanggal Daftar(/pzzl/index.php/Warehouse/laporanMasuk)</t>
  </si>
  <si>
    <t>2 Belum tersedia untuk user LJK(/pzzl/index.php/MIT/dashboard)</t>
  </si>
  <si>
    <t>3a penambahan kolom dengan nama QTY Keluar Tunggu Doc BC(/pzzl/index.php/Reporting/reportMR)</t>
  </si>
  <si>
    <t>3b saldo buku belum berkurang jika doc bc belum terupdate(/pzzl/index.php/Reporting/reportMR)</t>
  </si>
  <si>
    <t>4 Laporan mutasi yg muncul sesuai dengan user yang digunakan(/pzzl/index.php/Reporting/reportMR)</t>
  </si>
  <si>
    <t>Menu Beacukai, Sub Menu Update Dok Keluar Market, Form Traceability Belum Ada Di MCS LJK [http://192.168.255.84/pzzl/index.php/Legal/updateKeluar2]</t>
  </si>
  <si>
    <t>Menu Beacukai, Sub Menu Update Dok Non-Keluar Market, Form Traceability Belum Ada Di MCS LJK[http://192.168.255.84/pzzl/index.php/Legal/updateKeluar]</t>
  </si>
  <si>
    <t>Menu Laporan Keluar/Masuk, Sub Menu Balance Lokal Belum Ada Di MCS LJK[http://192.168.255.84/pzzl/index.php/Legal/balancing\_local]</t>
  </si>
  <si>
    <t>Menu Print, Sub menu Packing List Dan Invoice Belum Ada Di MCS LJK [http://192.168.255.84/pzzl/index.php/Legal/packingListInvoice]</t>
  </si>
  <si>
    <t>Menu Mutasi, Sub menu Bahan Bakar Belum Ada Di IT INVENTORY LJK[http://192.168.255.84/leuwitex/beacukai/rMutBBM]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</si>
</sst>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ddd\ m/dd/yy"/>
    <numFmt numFmtId="165" formatCode="m/d/yyyy\ \(dddd\)"/>
    <numFmt numFmtId="166" formatCode="d\ mmm\ yyyy"/>
    <numFmt numFmtId="167" formatCode="d"/>
    <numFmt numFmtId="168" formatCode="ddd\ dd/m/yy"/>
  </numFmts>
  <fonts count="51">
    <font>
      <sz val="10"/>
      <name val="Arial"/>
      <charset val="134"/>
    </font>
    <font>
      <sz val="9"/>
      <name val="Arial"/>
      <charset val="134"/>
      <scheme val="minor"/>
    </font>
    <font>
      <sz val="9"/>
      <name val="Arial"/>
      <charset val="134"/>
    </font>
    <font>
      <sz val="11"/>
      <color indexed="8"/>
      <name val="Calibri"/>
      <charset val="134"/>
    </font>
    <font>
      <sz val="9"/>
      <color rgb="FF000000"/>
      <name val="Arial"/>
      <charset val="134"/>
      <scheme val="minor"/>
    </font>
    <font>
      <sz val="14"/>
      <color rgb="FF000000"/>
      <name val="Arial"/>
      <charset val="134"/>
      <scheme val="minor"/>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16"/>
      <color theme="4" tint="-0.249977111117893"/>
      <name val="Arial"/>
      <charset val="134"/>
      <scheme val="major"/>
    </font>
    <font>
      <sz val="14"/>
      <color indexed="56"/>
      <name val="Arial"/>
      <charset val="134"/>
    </font>
    <font>
      <i/>
      <sz val="8"/>
      <color theme="0" tint="-0.34998626667073579"/>
      <name val="Arial"/>
      <charset val="134"/>
    </font>
    <font>
      <sz val="11"/>
      <name val="Arial"/>
      <charset val="134"/>
      <scheme val="major"/>
    </font>
    <font>
      <u/>
      <sz val="8"/>
      <color indexed="12"/>
      <name val="Arial"/>
      <charset val="134"/>
    </font>
    <font>
      <sz val="7"/>
      <color indexed="55"/>
      <name val="Arial"/>
      <charset val="134"/>
    </font>
    <font>
      <u/>
      <sz val="10"/>
      <color indexed="12"/>
      <name val="Arial"/>
      <charset val="134"/>
    </font>
    <font>
      <sz val="10"/>
      <name val="Arial"/>
      <charset val="134"/>
      <scheme val="major"/>
    </font>
    <font>
      <sz val="10"/>
      <name val="Arial"/>
      <charset val="134"/>
      <scheme val="minor"/>
    </font>
    <font>
      <sz val="11"/>
      <name val="Arial"/>
      <charset val="134"/>
      <scheme val="minor"/>
    </font>
    <font>
      <b/>
      <sz val="9"/>
      <name val="Arial"/>
      <charset val="134"/>
      <scheme val="major"/>
    </font>
    <font>
      <b/>
      <sz val="8"/>
      <name val="Arial"/>
      <charset val="134"/>
      <scheme val="major"/>
    </font>
    <font>
      <b/>
      <sz val="11"/>
      <name val="Arial"/>
      <charset val="134"/>
      <scheme val="minor"/>
    </font>
    <font>
      <sz val="14"/>
      <name val="Arial"/>
      <charset val="134"/>
      <scheme val="minor"/>
    </font>
    <font>
      <i/>
      <sz val="11"/>
      <name val="Arial"/>
      <charset val="134"/>
    </font>
    <font>
      <i/>
      <sz val="11"/>
      <color rgb="FF000000"/>
      <name val="Arial"/>
      <charset val="134"/>
    </font>
    <font>
      <b/>
      <sz val="11"/>
      <color rgb="FFFF0000"/>
      <name val="Arial"/>
      <charset val="134"/>
    </font>
    <font>
      <b/>
      <i/>
      <sz val="9"/>
      <name val="Tahoma"/>
      <charset val="134"/>
    </font>
    <font>
      <sz val="9"/>
      <name val="Tahoma"/>
      <charset val="134"/>
    </font>
    <font>
      <b/>
      <sz val="9"/>
      <name val="Tahoma"/>
      <charset val="134"/>
    </font>
    <font>
      <i/>
      <sz val="9"/>
      <name val="Tahoma"/>
      <charset val="134"/>
    </font>
    <font>
      <b/>
      <sz val="9"/>
      <name val="Tahoma"/>
      <charset val="1"/>
    </font>
    <font>
      <sz val="9"/>
      <name val="Tahoma"/>
      <charset val="1"/>
    </font>
    <font>
      <sz val="8"/>
      <name val="Tahoma"/>
      <charset val="134"/>
    </font>
    <font>
      <sz val="10"/>
      <name val="Arial"/>
      <charset val="134"/>
    </font>
  </fonts>
  <fills count="10">
    <fill>
      <patternFill patternType="none"/>
    </fill>
    <fill>
      <patternFill patternType="gray125"/>
    </fill>
    <fill>
      <patternFill patternType="solid">
        <fgColor theme="3" tint="0.79970702230903046"/>
        <bgColor rgb="FFD6F4D9"/>
      </patternFill>
    </fill>
    <fill>
      <patternFill patternType="solid">
        <fgColor theme="3" tint="0.79970702230903046"/>
        <bgColor indexed="64"/>
      </patternFill>
    </fill>
    <fill>
      <patternFill patternType="solid">
        <fgColor indexed="22"/>
        <bgColor indexed="64"/>
      </patternFill>
    </fill>
    <fill>
      <patternFill patternType="solid">
        <fgColor theme="0" tint="-0.14972380748924222"/>
        <bgColor indexed="64"/>
      </patternFill>
    </fill>
    <fill>
      <patternFill patternType="solid">
        <fgColor indexed="9"/>
        <bgColor indexed="64"/>
      </patternFill>
    </fill>
    <fill>
      <patternFill patternType="solid">
        <fgColor theme="0"/>
        <bgColor indexed="64"/>
      </patternFill>
    </fill>
    <fill>
      <patternFill patternType="solid">
        <fgColor theme="0"/>
        <bgColor rgb="FFD6F4D9"/>
      </patternFill>
    </fill>
    <fill>
      <patternFill patternType="solid">
        <fgColor theme="2" tint="-0.749992370372631"/>
        <bgColor indexed="64"/>
      </patternFill>
    </fill>
  </fills>
  <borders count="16">
    <border>
      <left/>
      <right/>
      <top/>
      <bottom/>
      <diagonal/>
    </border>
    <border>
      <left/>
      <right/>
      <top style="thin">
        <color indexed="22"/>
      </top>
      <bottom style="thin">
        <color indexed="22"/>
      </bottom>
      <diagonal/>
    </border>
    <border>
      <left/>
      <right/>
      <top style="thin">
        <color rgb="FFEAEAEA"/>
      </top>
      <bottom style="thin">
        <color rgb="FFEAEAEA"/>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s>
  <cellStyleXfs count="3">
    <xf numFmtId="0" fontId="0" fillId="0" borderId="0"/>
    <xf numFmtId="9" fontId="50" fillId="0" borderId="0" applyFont="0" applyFill="0" applyBorder="0" applyAlignment="0" applyProtection="0"/>
    <xf numFmtId="0" fontId="32" fillId="0" borderId="0" applyNumberFormat="0" applyFill="0" applyBorder="0" applyAlignment="0" applyProtection="0">
      <alignment vertical="top"/>
      <protection locked="0"/>
    </xf>
  </cellStyleXfs>
  <cellXfs count="123">
    <xf numFmtId="0" fontId="0" fillId="0" borderId="0" xfId="0"/>
    <xf numFmtId="0" fontId="1" fillId="0" borderId="1" xfId="0" applyFont="1" applyBorder="1" applyAlignment="1">
      <alignment vertical="center"/>
    </xf>
    <xf numFmtId="0" fontId="2" fillId="0" borderId="2" xfId="0" applyFont="1" applyBorder="1" applyAlignment="1">
      <alignment vertical="center" wrapText="1"/>
    </xf>
    <xf numFmtId="0" fontId="3" fillId="0" borderId="0" xfId="0" applyFont="1" applyAlignment="1">
      <alignment vertical="center" wrapText="1"/>
    </xf>
    <xf numFmtId="0" fontId="1" fillId="0" borderId="1" xfId="0" applyFont="1" applyBorder="1" applyAlignment="1">
      <alignment horizontal="left" vertical="center"/>
    </xf>
    <xf numFmtId="0" fontId="4" fillId="0" borderId="3" xfId="0" applyFont="1" applyBorder="1" applyAlignment="1">
      <alignment horizontal="center" vertical="center"/>
    </xf>
    <xf numFmtId="164" fontId="4" fillId="2" borderId="3" xfId="0" applyNumberFormat="1" applyFont="1" applyFill="1" applyBorder="1" applyAlignment="1">
      <alignment horizontal="center" vertical="center"/>
    </xf>
    <xf numFmtId="164" fontId="4" fillId="0" borderId="3" xfId="0" applyNumberFormat="1" applyFont="1" applyBorder="1" applyAlignment="1">
      <alignment horizontal="center" vertical="center"/>
    </xf>
    <xf numFmtId="1" fontId="4" fillId="3" borderId="3" xfId="0" applyNumberFormat="1" applyFont="1" applyFill="1" applyBorder="1" applyAlignment="1">
      <alignment horizontal="center" vertical="center"/>
    </xf>
    <xf numFmtId="9" fontId="4" fillId="3" borderId="3" xfId="1" applyFont="1" applyFill="1" applyBorder="1" applyAlignment="1" applyProtection="1">
      <alignment horizontal="center" vertical="center"/>
    </xf>
    <xf numFmtId="1" fontId="4"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7" fillId="0" borderId="0" xfId="0" applyFont="1" applyAlignment="1">
      <alignment horizontal="left" vertical="center"/>
    </xf>
    <xf numFmtId="0" fontId="8" fillId="0" borderId="0" xfId="0" applyFont="1" applyAlignment="1">
      <alignment horizontal="left" wrapText="1"/>
    </xf>
    <xf numFmtId="0" fontId="0" fillId="0" borderId="4" xfId="0" applyBorder="1"/>
    <xf numFmtId="0" fontId="8" fillId="0" borderId="4" xfId="0" applyFont="1" applyBorder="1" applyAlignment="1">
      <alignment horizontal="left" wrapText="1"/>
    </xf>
    <xf numFmtId="0" fontId="0" fillId="0" borderId="5" xfId="0" applyBorder="1"/>
    <xf numFmtId="0" fontId="9" fillId="0" borderId="4" xfId="2" applyFont="1" applyBorder="1" applyAlignment="1" applyProtection="1">
      <alignment wrapText="1"/>
    </xf>
    <xf numFmtId="0" fontId="8" fillId="0" borderId="5" xfId="0" applyFont="1" applyBorder="1" applyAlignment="1">
      <alignment horizontal="left" wrapText="1"/>
    </xf>
    <xf numFmtId="0" fontId="10" fillId="0" borderId="5" xfId="0" applyFont="1" applyBorder="1" applyAlignment="1">
      <alignment horizontal="left" wrapText="1"/>
    </xf>
    <xf numFmtId="0" fontId="11" fillId="0" borderId="5" xfId="2" applyFont="1" applyBorder="1" applyAlignment="1" applyProtection="1">
      <alignment horizontal="left" wrapText="1"/>
    </xf>
    <xf numFmtId="0" fontId="8" fillId="0" borderId="5" xfId="0" applyFont="1" applyBorder="1" applyAlignment="1">
      <alignment horizontal="left"/>
    </xf>
    <xf numFmtId="0" fontId="0" fillId="0" borderId="0" xfId="0" applyAlignment="1">
      <alignment vertical="center"/>
    </xf>
    <xf numFmtId="0" fontId="12" fillId="0" borderId="0" xfId="0" applyFont="1" applyAlignment="1">
      <alignment horizontal="left" vertical="center"/>
    </xf>
    <xf numFmtId="0" fontId="9" fillId="0" borderId="0" xfId="2" applyFont="1" applyAlignment="1" applyProtection="1"/>
    <xf numFmtId="0" fontId="13" fillId="0" borderId="0" xfId="0" applyFont="1" applyAlignment="1">
      <alignment horizontal="right"/>
    </xf>
    <xf numFmtId="0" fontId="14" fillId="0" borderId="0" xfId="0" applyFont="1"/>
    <xf numFmtId="0" fontId="15" fillId="0" borderId="0" xfId="0" applyFont="1"/>
    <xf numFmtId="0" fontId="16" fillId="0" borderId="0" xfId="0" applyFont="1" applyAlignment="1">
      <alignment horizontal="left" wrapText="1"/>
    </xf>
    <xf numFmtId="0" fontId="16" fillId="0" borderId="0" xfId="0" applyFont="1" applyAlignment="1">
      <alignment wrapText="1"/>
    </xf>
    <xf numFmtId="0" fontId="17" fillId="0" borderId="0" xfId="0" applyFont="1" applyAlignment="1">
      <alignment vertical="center"/>
    </xf>
    <xf numFmtId="0" fontId="16" fillId="0" borderId="0" xfId="0" applyFont="1" applyAlignment="1">
      <alignment vertical="center" wrapText="1"/>
    </xf>
    <xf numFmtId="0" fontId="0" fillId="4" borderId="0" xfId="0" applyFill="1" applyAlignment="1">
      <alignment horizontal="center" vertical="center"/>
    </xf>
    <xf numFmtId="0" fontId="17" fillId="0" borderId="0" xfId="0" applyFont="1"/>
    <xf numFmtId="0" fontId="0" fillId="3" borderId="0" xfId="0" applyFill="1" applyAlignment="1">
      <alignment horizontal="center" vertical="center"/>
    </xf>
    <xf numFmtId="0" fontId="18" fillId="0" borderId="0" xfId="0" applyFont="1" applyAlignment="1">
      <alignment vertical="center" wrapText="1"/>
    </xf>
    <xf numFmtId="0" fontId="19" fillId="0" borderId="0" xfId="0" applyFont="1"/>
    <xf numFmtId="0" fontId="20" fillId="0" borderId="0" xfId="0" applyFont="1"/>
    <xf numFmtId="0" fontId="9" fillId="0" borderId="0" xfId="2" applyFont="1" applyFill="1" applyBorder="1" applyAlignment="1" applyProtection="1">
      <alignment vertical="center"/>
    </xf>
    <xf numFmtId="0" fontId="13" fillId="0" borderId="0" xfId="0" applyFont="1" applyAlignment="1">
      <alignment wrapText="1"/>
    </xf>
    <xf numFmtId="0" fontId="21" fillId="0" borderId="0" xfId="0" applyFont="1" applyAlignment="1">
      <alignment horizontal="right"/>
    </xf>
    <xf numFmtId="0" fontId="16" fillId="0" borderId="0" xfId="0" applyFont="1"/>
    <xf numFmtId="0" fontId="0" fillId="0" borderId="0" xfId="0" applyAlignment="1">
      <alignment horizontal="left" wrapText="1" indent="1"/>
    </xf>
    <xf numFmtId="0" fontId="20" fillId="0" borderId="0" xfId="0" applyFont="1" applyAlignment="1">
      <alignment horizontal="right"/>
    </xf>
    <xf numFmtId="0" fontId="22"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left" indent="1"/>
    </xf>
    <xf numFmtId="0" fontId="22" fillId="0" borderId="0" xfId="0" applyFont="1"/>
    <xf numFmtId="0" fontId="21" fillId="0" borderId="0" xfId="0" applyFont="1" applyAlignment="1">
      <alignment horizontal="left" wrapText="1"/>
    </xf>
    <xf numFmtId="0" fontId="23" fillId="0" borderId="0" xfId="0" applyFont="1" applyAlignment="1">
      <alignment horizontal="left" indent="1"/>
    </xf>
    <xf numFmtId="0" fontId="13" fillId="0" borderId="0" xfId="0" applyFont="1" applyAlignment="1">
      <alignment horizontal="left" vertical="center"/>
    </xf>
    <xf numFmtId="0" fontId="7" fillId="0" borderId="0" xfId="0" applyFont="1" applyAlignment="1">
      <alignment vertical="center"/>
    </xf>
    <xf numFmtId="0" fontId="24" fillId="0" borderId="0" xfId="2" applyFont="1" applyAlignment="1" applyProtection="1"/>
    <xf numFmtId="0" fontId="25" fillId="0" borderId="0" xfId="0" applyFont="1"/>
    <xf numFmtId="0" fontId="23" fillId="0" borderId="0" xfId="0" applyFont="1"/>
    <xf numFmtId="0" fontId="1" fillId="5" borderId="1" xfId="0" applyFont="1" applyFill="1" applyBorder="1" applyAlignment="1">
      <alignment vertical="center"/>
    </xf>
    <xf numFmtId="0" fontId="26" fillId="0" borderId="0" xfId="0" applyFont="1" applyAlignment="1" applyProtection="1">
      <alignment vertical="center"/>
      <protection locked="0"/>
    </xf>
    <xf numFmtId="0" fontId="27" fillId="0" borderId="0" xfId="0" applyFont="1" applyAlignment="1" applyProtection="1">
      <alignment vertical="center"/>
      <protection locked="0"/>
    </xf>
    <xf numFmtId="0" fontId="0" fillId="0" borderId="0" xfId="0" applyAlignment="1">
      <alignment horizontal="right" vertical="center"/>
    </xf>
    <xf numFmtId="0" fontId="29" fillId="0" borderId="0" xfId="0" applyFont="1" applyAlignment="1" applyProtection="1">
      <alignment vertical="center"/>
      <protection locked="0"/>
    </xf>
    <xf numFmtId="0" fontId="2" fillId="0" borderId="0" xfId="0" applyFont="1" applyProtection="1">
      <protection locked="0"/>
    </xf>
    <xf numFmtId="0" fontId="30" fillId="6" borderId="0" xfId="2" applyNumberFormat="1" applyFont="1" applyFill="1" applyAlignment="1" applyProtection="1">
      <alignment horizontal="right"/>
      <protection locked="0"/>
    </xf>
    <xf numFmtId="0" fontId="31" fillId="0" borderId="0" xfId="0" applyFont="1" applyProtection="1">
      <protection locked="0"/>
    </xf>
    <xf numFmtId="0" fontId="0" fillId="6" borderId="0" xfId="0" applyFill="1"/>
    <xf numFmtId="0" fontId="32" fillId="0" borderId="0" xfId="2" applyAlignment="1" applyProtection="1">
      <alignment horizontal="left"/>
    </xf>
    <xf numFmtId="0" fontId="33" fillId="0" borderId="0" xfId="0" applyFont="1"/>
    <xf numFmtId="0" fontId="33" fillId="0" borderId="0" xfId="0" applyFont="1" applyAlignment="1">
      <alignment horizontal="right" vertical="center"/>
    </xf>
    <xf numFmtId="0" fontId="34" fillId="0" borderId="6" xfId="0" applyFont="1" applyBorder="1" applyAlignment="1" applyProtection="1">
      <alignment horizontal="center" vertical="center"/>
      <protection locked="0"/>
    </xf>
    <xf numFmtId="167" fontId="13" fillId="0" borderId="7" xfId="0" applyNumberFormat="1" applyFont="1" applyBorder="1" applyAlignment="1">
      <alignment horizontal="center" vertical="center" shrinkToFit="1"/>
    </xf>
    <xf numFmtId="167" fontId="13" fillId="0" borderId="8" xfId="0" applyNumberFormat="1" applyFont="1" applyBorder="1" applyAlignment="1">
      <alignment horizontal="center" vertical="center" shrinkToFit="1"/>
    </xf>
    <xf numFmtId="167" fontId="13" fillId="0" borderId="9" xfId="0" applyNumberFormat="1" applyFont="1" applyBorder="1" applyAlignment="1">
      <alignment horizontal="center" vertical="center" shrinkToFit="1"/>
    </xf>
    <xf numFmtId="0" fontId="36" fillId="0" borderId="11" xfId="0" applyFont="1" applyBorder="1" applyAlignment="1">
      <alignment horizontal="left" vertical="center"/>
    </xf>
    <xf numFmtId="0" fontId="36"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36" fillId="0" borderId="11" xfId="0" applyFont="1" applyBorder="1" applyAlignment="1">
      <alignment horizontal="center" vertical="center"/>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4" xfId="0" applyFont="1" applyBorder="1" applyAlignment="1">
      <alignment horizontal="center" vertical="center" shrinkToFit="1"/>
    </xf>
    <xf numFmtId="0" fontId="38" fillId="5" borderId="15" xfId="0" applyFont="1" applyFill="1" applyBorder="1" applyAlignment="1">
      <alignment horizontal="left" vertical="center"/>
    </xf>
    <xf numFmtId="0" fontId="38" fillId="5" borderId="15" xfId="0" applyFont="1" applyFill="1" applyBorder="1" applyAlignment="1">
      <alignment vertical="center"/>
    </xf>
    <xf numFmtId="0" fontId="1" fillId="5" borderId="15" xfId="0" applyFont="1" applyFill="1" applyBorder="1" applyAlignment="1">
      <alignment vertical="center"/>
    </xf>
    <xf numFmtId="0" fontId="1" fillId="5" borderId="15" xfId="0" applyFont="1" applyFill="1" applyBorder="1" applyAlignment="1">
      <alignment horizontal="center" vertical="center"/>
    </xf>
    <xf numFmtId="168" fontId="1" fillId="5" borderId="15" xfId="0" applyNumberFormat="1" applyFont="1" applyFill="1" applyBorder="1" applyAlignment="1">
      <alignment horizontal="right" vertical="center"/>
    </xf>
    <xf numFmtId="168" fontId="1" fillId="5" borderId="15" xfId="0" applyNumberFormat="1" applyFont="1" applyFill="1" applyBorder="1" applyAlignment="1">
      <alignment horizontal="center" vertical="center"/>
    </xf>
    <xf numFmtId="1" fontId="1" fillId="5" borderId="15" xfId="1" applyNumberFormat="1" applyFont="1" applyFill="1" applyBorder="1" applyAlignment="1" applyProtection="1">
      <alignment horizontal="center" vertical="center"/>
    </xf>
    <xf numFmtId="9" fontId="1" fillId="5" borderId="15" xfId="1" applyFont="1" applyFill="1" applyBorder="1" applyAlignment="1" applyProtection="1">
      <alignment horizontal="center" vertical="center"/>
    </xf>
    <xf numFmtId="1" fontId="1" fillId="5" borderId="15" xfId="0" applyNumberFormat="1" applyFont="1" applyFill="1" applyBorder="1" applyAlignment="1">
      <alignment horizontal="center" vertical="center"/>
    </xf>
    <xf numFmtId="1" fontId="39" fillId="5" borderId="15" xfId="0" applyNumberFormat="1" applyFont="1" applyFill="1" applyBorder="1" applyAlignment="1">
      <alignment horizontal="center" vertical="center"/>
    </xf>
    <xf numFmtId="0" fontId="1" fillId="5" borderId="15" xfId="0" applyFont="1" applyFill="1" applyBorder="1" applyAlignment="1">
      <alignment horizontal="left" vertical="center"/>
    </xf>
    <xf numFmtId="0" fontId="1" fillId="0" borderId="1" xfId="0" applyFont="1" applyBorder="1" applyAlignment="1">
      <alignment vertical="center" wrapText="1"/>
    </xf>
    <xf numFmtId="0" fontId="1" fillId="7" borderId="1" xfId="0" applyFont="1" applyFill="1" applyBorder="1" applyAlignment="1">
      <alignment vertical="center"/>
    </xf>
    <xf numFmtId="0" fontId="38" fillId="5" borderId="1" xfId="0" applyFont="1" applyFill="1" applyBorder="1" applyAlignment="1">
      <alignment horizontal="left" vertical="center"/>
    </xf>
    <xf numFmtId="0" fontId="38" fillId="5" borderId="1" xfId="0" applyFont="1" applyFill="1" applyBorder="1" applyAlignment="1">
      <alignment vertical="center"/>
    </xf>
    <xf numFmtId="0" fontId="1"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1" fontId="1" fillId="5" borderId="1" xfId="1" applyNumberFormat="1" applyFont="1" applyFill="1" applyBorder="1" applyAlignment="1" applyProtection="1">
      <alignment horizontal="center" vertical="center"/>
    </xf>
    <xf numFmtId="9" fontId="1" fillId="5" borderId="1" xfId="1" applyFont="1" applyFill="1" applyBorder="1" applyAlignment="1" applyProtection="1">
      <alignment horizontal="center" vertical="center"/>
    </xf>
    <xf numFmtId="1" fontId="1" fillId="5" borderId="1" xfId="0" applyNumberFormat="1" applyFont="1" applyFill="1" applyBorder="1" applyAlignment="1">
      <alignment horizontal="center" vertical="center"/>
    </xf>
    <xf numFmtId="1" fontId="39" fillId="5" borderId="1" xfId="0" applyNumberFormat="1" applyFont="1" applyFill="1" applyBorder="1" applyAlignment="1">
      <alignment horizontal="center" vertical="center"/>
    </xf>
    <xf numFmtId="0" fontId="1" fillId="5" borderId="1" xfId="0" applyFont="1" applyFill="1" applyBorder="1" applyAlignment="1">
      <alignment horizontal="left" vertical="center"/>
    </xf>
    <xf numFmtId="0" fontId="16" fillId="0" borderId="0" xfId="0" quotePrefix="1" applyFont="1" applyAlignment="1">
      <alignment horizontal="left" wrapText="1" indent="1"/>
    </xf>
    <xf numFmtId="0" fontId="16" fillId="0" borderId="0" xfId="0" quotePrefix="1" applyFont="1" applyAlignment="1">
      <alignment wrapText="1"/>
    </xf>
    <xf numFmtId="164" fontId="4" fillId="8" borderId="3" xfId="0" applyNumberFormat="1" applyFont="1" applyFill="1" applyBorder="1" applyAlignment="1">
      <alignment horizontal="center" vertical="center"/>
    </xf>
    <xf numFmtId="164" fontId="4" fillId="7" borderId="3" xfId="0" applyNumberFormat="1" applyFont="1" applyFill="1" applyBorder="1" applyAlignment="1">
      <alignment horizontal="center" vertical="center"/>
    </xf>
    <xf numFmtId="1" fontId="4" fillId="7" borderId="3" xfId="0" applyNumberFormat="1" applyFont="1" applyFill="1" applyBorder="1" applyAlignment="1">
      <alignment horizontal="center" vertical="center"/>
    </xf>
    <xf numFmtId="9" fontId="4" fillId="7" borderId="3" xfId="1" applyFont="1" applyFill="1" applyBorder="1" applyAlignment="1" applyProtection="1">
      <alignment horizontal="center" vertical="center"/>
    </xf>
    <xf numFmtId="0" fontId="1" fillId="9" borderId="1" xfId="0" applyFont="1" applyFill="1" applyBorder="1" applyAlignment="1">
      <alignment horizontal="left" vertical="center"/>
    </xf>
    <xf numFmtId="0" fontId="1" fillId="7" borderId="1" xfId="0" applyFont="1" applyFill="1" applyBorder="1" applyAlignment="1">
      <alignment vertical="center" wrapText="1"/>
    </xf>
    <xf numFmtId="0" fontId="28" fillId="0" borderId="0" xfId="2" applyFont="1" applyBorder="1" applyAlignment="1" applyProtection="1">
      <alignment horizontal="left" vertical="center"/>
    </xf>
    <xf numFmtId="165" fontId="34" fillId="0" borderId="6" xfId="0" applyNumberFormat="1" applyFont="1" applyBorder="1" applyAlignment="1" applyProtection="1">
      <alignment horizontal="center" vertical="center" shrinkToFit="1"/>
      <protection locked="0"/>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5" fillId="0" borderId="9" xfId="0" applyFont="1" applyBorder="1" applyAlignment="1">
      <alignment horizontal="center" vertical="center"/>
    </xf>
    <xf numFmtId="166" fontId="34" fillId="0" borderId="7" xfId="0" applyNumberFormat="1" applyFont="1" applyBorder="1" applyAlignment="1">
      <alignment horizontal="center" vertical="center"/>
    </xf>
    <xf numFmtId="166" fontId="34" fillId="0" borderId="8" xfId="0" applyNumberFormat="1" applyFont="1" applyBorder="1" applyAlignment="1">
      <alignment horizontal="center" vertical="center"/>
    </xf>
    <xf numFmtId="166" fontId="34" fillId="0" borderId="9" xfId="0" applyNumberFormat="1" applyFont="1" applyBorder="1" applyAlignment="1">
      <alignment horizontal="center" vertical="center"/>
    </xf>
    <xf numFmtId="165" fontId="34" fillId="0" borderId="10" xfId="0" applyNumberFormat="1" applyFont="1" applyBorder="1" applyAlignment="1" applyProtection="1">
      <alignment horizontal="center" vertical="center" shrinkToFit="1"/>
      <protection locked="0"/>
    </xf>
    <xf numFmtId="0" fontId="14" fillId="0" borderId="0" xfId="0" applyFont="1" applyAlignment="1">
      <alignment horizontal="left"/>
    </xf>
    <xf numFmtId="0" fontId="6" fillId="0" borderId="0" xfId="0" applyFont="1" applyAlignment="1">
      <alignment horizontal="center"/>
    </xf>
    <xf numFmtId="0" fontId="4" fillId="7" borderId="3" xfId="0" applyFont="1" applyFill="1" applyBorder="1" applyAlignment="1">
      <alignment horizontal="center" vertical="center"/>
    </xf>
    <xf numFmtId="49" fontId="33" fillId="7" borderId="0" xfId="0" applyNumberFormat="1" applyFont="1" applyFill="1" applyAlignment="1">
      <alignment horizontal="left" vertical="center" wrapText="1"/>
    </xf>
    <xf numFmtId="0" fontId="1" fillId="7" borderId="15" xfId="0" applyFont="1" applyFill="1" applyBorder="1" applyAlignment="1">
      <alignment vertical="center" wrapText="1"/>
    </xf>
    <xf numFmtId="9" fontId="4" fillId="7" borderId="3" xfId="1" applyNumberFormat="1" applyFont="1" applyFill="1" applyBorder="1" applyAlignment="1" applyProtection="1">
      <alignment horizontal="center" vertical="center"/>
    </xf>
  </cellXfs>
  <cellStyles count="3">
    <cellStyle name="Hyperlink" xfId="2" builtinId="8"/>
    <cellStyle name="Normal" xfId="0" builtinId="0"/>
    <cellStyle name="Percent" xfId="1" builtinId="5"/>
  </cellStyles>
  <dxfs count="62">
    <dxf>
      <fill>
        <patternFill patternType="solid">
          <bgColor rgb="FF0070C0"/>
        </patternFill>
      </fill>
    </dxf>
    <dxf>
      <fill>
        <patternFill patternType="solid">
          <bgColor theme="0" tint="-0.499984740745262"/>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border>
        <left style="thin">
          <color rgb="FFC00000"/>
        </left>
        <right style="thin">
          <color rgb="FFC00000"/>
        </right>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5</xdr:col>
      <xdr:colOff>684068</xdr:colOff>
      <xdr:row>9</xdr:row>
      <xdr:rowOff>71774</xdr:rowOff>
    </xdr:to>
    <xdr:sp macro="" textlink="">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Lst>
            </xdr:cNvPr>
            <xdr:cNvSpPr/>
          </xdr:nvSpPr>
          <xdr:spPr>
            <a:xfrm>
              <a:off x="0" y="0"/>
              <a:ext cx="0" cy="0"/>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304800</xdr:colOff>
      <xdr:row>4</xdr:row>
      <xdr:rowOff>142875</xdr:rowOff>
    </xdr:to>
    <xdr:sp macro="" textlink="">
      <xdr:nvSpPr>
        <xdr:cNvPr id="12289" name="AutoShape 1" descr="blob:https://web.whatsapp.com/4841a61e-759f-484d-9013-f081556103c8"/>
        <xdr:cNvSpPr>
          <a:spLocks noChangeAspect="1" noChangeArrowheads="1"/>
        </xdr:cNvSpPr>
      </xdr:nvSpPr>
      <xdr:spPr>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142875</xdr:rowOff>
    </xdr:to>
    <xdr:sp macro="" textlink="">
      <xdr:nvSpPr>
        <xdr:cNvPr id="12291" name="AutoShape 3" descr="blob:https://web.whatsapp.com/4841a61e-759f-484d-9013-f081556103c8"/>
        <xdr:cNvSpPr>
          <a:spLocks noChangeAspect="1" noChangeArrowheads="1"/>
        </xdr:cNvSpPr>
      </xdr:nvSpPr>
      <xdr:spPr>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115"/>
  <sheetViews>
    <sheetView showGridLines="0" tabSelected="1" zoomScale="110" zoomScaleNormal="110" workbookViewId="0">
      <pane ySplit="7" topLeftCell="A11" activePane="bottomLeft" state="frozen"/>
      <selection pane="bottomLeft" activeCell="B13" sqref="B13"/>
    </sheetView>
  </sheetViews>
  <sheetFormatPr defaultColWidth="9.140625" defaultRowHeight="12.75"/>
  <cols>
    <col min="1" max="1" width="6.85546875" customWidth="1"/>
    <col min="2" max="2" width="59.85546875" customWidth="1"/>
    <col min="3" max="3" width="13.42578125" customWidth="1"/>
    <col min="4" max="4" width="23.140625" customWidth="1"/>
    <col min="5" max="6" width="12" customWidth="1"/>
    <col min="7" max="7" width="6" customWidth="1"/>
    <col min="8" max="8" width="6.7109375" customWidth="1"/>
    <col min="9" max="9" width="6.42578125" customWidth="1"/>
    <col min="10" max="10" width="1.85546875" customWidth="1"/>
    <col min="11" max="66" width="2.42578125" customWidth="1"/>
  </cols>
  <sheetData>
    <row r="1" spans="1:66" ht="30" customHeight="1">
      <c r="A1" s="56" t="s">
        <v>185</v>
      </c>
      <c r="B1" s="57"/>
      <c r="C1" s="57"/>
      <c r="D1" s="57"/>
      <c r="E1" s="57"/>
      <c r="F1" s="57"/>
      <c r="I1" s="58"/>
      <c r="K1" s="108"/>
      <c r="L1" s="108"/>
      <c r="M1" s="108"/>
      <c r="N1" s="108"/>
      <c r="O1" s="108"/>
      <c r="P1" s="108"/>
      <c r="Q1" s="108"/>
      <c r="R1" s="108"/>
      <c r="S1" s="108"/>
      <c r="T1" s="108"/>
      <c r="U1" s="108"/>
      <c r="V1" s="108"/>
      <c r="W1" s="108"/>
      <c r="X1" s="108"/>
      <c r="Y1" s="108"/>
      <c r="Z1" s="108"/>
      <c r="AA1" s="108"/>
      <c r="AB1" s="108"/>
      <c r="AC1" s="108"/>
      <c r="AD1" s="108"/>
      <c r="AE1" s="108"/>
    </row>
    <row r="2" spans="1:66" ht="18" customHeight="1">
      <c r="A2" s="59"/>
      <c r="B2" s="60"/>
      <c r="C2" s="60"/>
      <c r="D2" s="61"/>
      <c r="E2" s="62"/>
      <c r="F2" s="62"/>
      <c r="H2" s="63"/>
    </row>
    <row r="3" spans="1:66" ht="14.25">
      <c r="A3" s="59"/>
      <c r="H3" s="63"/>
      <c r="K3" s="64"/>
      <c r="L3" s="64"/>
      <c r="M3" s="64"/>
      <c r="N3" s="64"/>
      <c r="O3" s="64"/>
      <c r="P3" s="64"/>
      <c r="Q3" s="64"/>
      <c r="R3" s="64"/>
      <c r="S3" s="64"/>
      <c r="T3" s="64"/>
      <c r="U3" s="64"/>
      <c r="V3" s="64"/>
      <c r="W3" s="64"/>
      <c r="X3" s="64"/>
      <c r="Y3" s="64"/>
      <c r="Z3" s="64"/>
      <c r="AA3" s="64"/>
    </row>
    <row r="4" spans="1:66" ht="17.25" customHeight="1">
      <c r="A4" s="65"/>
      <c r="B4" s="66" t="s">
        <v>0</v>
      </c>
      <c r="C4" s="109">
        <v>46107</v>
      </c>
      <c r="D4" s="109"/>
      <c r="E4" s="109"/>
      <c r="F4" s="65"/>
      <c r="G4" s="66" t="s">
        <v>1</v>
      </c>
      <c r="H4" s="67">
        <v>1</v>
      </c>
      <c r="J4" s="65"/>
      <c r="K4" s="110" t="str">
        <f>"Week "&amp;(K6-($C$4-WEEKDAY($C$4,1)+2))/7+1</f>
        <v>Week 1</v>
      </c>
      <c r="L4" s="111"/>
      <c r="M4" s="111"/>
      <c r="N4" s="111"/>
      <c r="O4" s="111"/>
      <c r="P4" s="111"/>
      <c r="Q4" s="112"/>
      <c r="R4" s="110" t="str">
        <f>"Week "&amp;(R6-($C$4-WEEKDAY($C$4,1)+2))/7+1</f>
        <v>Week 2</v>
      </c>
      <c r="S4" s="111"/>
      <c r="T4" s="111"/>
      <c r="U4" s="111"/>
      <c r="V4" s="111"/>
      <c r="W4" s="111"/>
      <c r="X4" s="112"/>
      <c r="Y4" s="110" t="str">
        <f>"Week "&amp;(Y6-($C$4-WEEKDAY($C$4,1)+2))/7+1</f>
        <v>Week 3</v>
      </c>
      <c r="Z4" s="111"/>
      <c r="AA4" s="111"/>
      <c r="AB4" s="111"/>
      <c r="AC4" s="111"/>
      <c r="AD4" s="111"/>
      <c r="AE4" s="112"/>
      <c r="AF4" s="110" t="str">
        <f>"Week "&amp;(AF6-($C$4-WEEKDAY($C$4,1)+2))/7+1</f>
        <v>Week 4</v>
      </c>
      <c r="AG4" s="111"/>
      <c r="AH4" s="111"/>
      <c r="AI4" s="111"/>
      <c r="AJ4" s="111"/>
      <c r="AK4" s="111"/>
      <c r="AL4" s="112"/>
      <c r="AM4" s="110" t="str">
        <f>"Week "&amp;(AM6-($C$4-WEEKDAY($C$4,1)+2))/7+1</f>
        <v>Week 5</v>
      </c>
      <c r="AN4" s="111"/>
      <c r="AO4" s="111"/>
      <c r="AP4" s="111"/>
      <c r="AQ4" s="111"/>
      <c r="AR4" s="111"/>
      <c r="AS4" s="112"/>
      <c r="AT4" s="110" t="str">
        <f>"Week "&amp;(AT6-($C$4-WEEKDAY($C$4,1)+2))/7+1</f>
        <v>Week 6</v>
      </c>
      <c r="AU4" s="111"/>
      <c r="AV4" s="111"/>
      <c r="AW4" s="111"/>
      <c r="AX4" s="111"/>
      <c r="AY4" s="111"/>
      <c r="AZ4" s="112"/>
      <c r="BA4" s="110" t="str">
        <f>"Week "&amp;(BA6-($C$4-WEEKDAY($C$4,1)+2))/7+1</f>
        <v>Week 7</v>
      </c>
      <c r="BB4" s="111"/>
      <c r="BC4" s="111"/>
      <c r="BD4" s="111"/>
      <c r="BE4" s="111"/>
      <c r="BF4" s="111"/>
      <c r="BG4" s="112"/>
      <c r="BH4" s="110" t="str">
        <f>"Week "&amp;(BH6-($C$4-WEEKDAY($C$4,1)+2))/7+1</f>
        <v>Week 8</v>
      </c>
      <c r="BI4" s="111"/>
      <c r="BJ4" s="111"/>
      <c r="BK4" s="111"/>
      <c r="BL4" s="111"/>
      <c r="BM4" s="111"/>
      <c r="BN4" s="112"/>
    </row>
    <row r="5" spans="1:66" ht="17.25" customHeight="1">
      <c r="A5" s="65"/>
      <c r="B5" s="66" t="s">
        <v>2</v>
      </c>
      <c r="C5" s="116" t="s">
        <v>3</v>
      </c>
      <c r="D5" s="116"/>
      <c r="E5" s="116"/>
      <c r="F5" s="65"/>
      <c r="G5" s="65"/>
      <c r="H5" s="65"/>
      <c r="I5" s="65"/>
      <c r="J5" s="65"/>
      <c r="K5" s="113">
        <f>K6</f>
        <v>46104</v>
      </c>
      <c r="L5" s="114"/>
      <c r="M5" s="114"/>
      <c r="N5" s="114"/>
      <c r="O5" s="114"/>
      <c r="P5" s="114"/>
      <c r="Q5" s="115"/>
      <c r="R5" s="113">
        <f>R6</f>
        <v>46111</v>
      </c>
      <c r="S5" s="114"/>
      <c r="T5" s="114"/>
      <c r="U5" s="114"/>
      <c r="V5" s="114"/>
      <c r="W5" s="114"/>
      <c r="X5" s="115"/>
      <c r="Y5" s="113">
        <f>Y6</f>
        <v>46118</v>
      </c>
      <c r="Z5" s="114"/>
      <c r="AA5" s="114"/>
      <c r="AB5" s="114"/>
      <c r="AC5" s="114"/>
      <c r="AD5" s="114"/>
      <c r="AE5" s="115"/>
      <c r="AF5" s="113">
        <f>AF6</f>
        <v>46125</v>
      </c>
      <c r="AG5" s="114"/>
      <c r="AH5" s="114"/>
      <c r="AI5" s="114"/>
      <c r="AJ5" s="114"/>
      <c r="AK5" s="114"/>
      <c r="AL5" s="115"/>
      <c r="AM5" s="113">
        <f>AM6</f>
        <v>46132</v>
      </c>
      <c r="AN5" s="114"/>
      <c r="AO5" s="114"/>
      <c r="AP5" s="114"/>
      <c r="AQ5" s="114"/>
      <c r="AR5" s="114"/>
      <c r="AS5" s="115"/>
      <c r="AT5" s="113">
        <f>AT6</f>
        <v>46139</v>
      </c>
      <c r="AU5" s="114"/>
      <c r="AV5" s="114"/>
      <c r="AW5" s="114"/>
      <c r="AX5" s="114"/>
      <c r="AY5" s="114"/>
      <c r="AZ5" s="115"/>
      <c r="BA5" s="113">
        <f>BA6</f>
        <v>46146</v>
      </c>
      <c r="BB5" s="114"/>
      <c r="BC5" s="114"/>
      <c r="BD5" s="114"/>
      <c r="BE5" s="114"/>
      <c r="BF5" s="114"/>
      <c r="BG5" s="115"/>
      <c r="BH5" s="113">
        <f>BH6</f>
        <v>46153</v>
      </c>
      <c r="BI5" s="114"/>
      <c r="BJ5" s="114"/>
      <c r="BK5" s="114"/>
      <c r="BL5" s="114"/>
      <c r="BM5" s="114"/>
      <c r="BN5" s="115"/>
    </row>
    <row r="6" spans="1:66">
      <c r="A6" s="65"/>
      <c r="B6" s="65"/>
      <c r="C6" s="65"/>
      <c r="D6" s="65"/>
      <c r="E6" s="65"/>
      <c r="F6" s="65"/>
      <c r="G6" s="65"/>
      <c r="H6" s="65"/>
      <c r="I6" s="65"/>
      <c r="J6" s="65"/>
      <c r="K6" s="68">
        <f>C4-WEEKDAY(C4,1)+2+7*(H4-1)</f>
        <v>46104</v>
      </c>
      <c r="L6" s="69">
        <f t="shared" ref="L6:AQ6" si="0">K6+1</f>
        <v>46105</v>
      </c>
      <c r="M6" s="69">
        <f t="shared" si="0"/>
        <v>46106</v>
      </c>
      <c r="N6" s="69">
        <f t="shared" si="0"/>
        <v>46107</v>
      </c>
      <c r="O6" s="69">
        <f t="shared" si="0"/>
        <v>46108</v>
      </c>
      <c r="P6" s="69">
        <f t="shared" si="0"/>
        <v>46109</v>
      </c>
      <c r="Q6" s="70">
        <f t="shared" si="0"/>
        <v>46110</v>
      </c>
      <c r="R6" s="68">
        <f t="shared" si="0"/>
        <v>46111</v>
      </c>
      <c r="S6" s="69">
        <f t="shared" si="0"/>
        <v>46112</v>
      </c>
      <c r="T6" s="69">
        <f t="shared" si="0"/>
        <v>46113</v>
      </c>
      <c r="U6" s="69">
        <f t="shared" si="0"/>
        <v>46114</v>
      </c>
      <c r="V6" s="69">
        <f t="shared" si="0"/>
        <v>46115</v>
      </c>
      <c r="W6" s="69">
        <f t="shared" si="0"/>
        <v>46116</v>
      </c>
      <c r="X6" s="70">
        <f t="shared" si="0"/>
        <v>46117</v>
      </c>
      <c r="Y6" s="68">
        <f t="shared" si="0"/>
        <v>46118</v>
      </c>
      <c r="Z6" s="69">
        <f t="shared" si="0"/>
        <v>46119</v>
      </c>
      <c r="AA6" s="69">
        <f t="shared" si="0"/>
        <v>46120</v>
      </c>
      <c r="AB6" s="69">
        <f t="shared" si="0"/>
        <v>46121</v>
      </c>
      <c r="AC6" s="69">
        <f t="shared" si="0"/>
        <v>46122</v>
      </c>
      <c r="AD6" s="69">
        <f t="shared" si="0"/>
        <v>46123</v>
      </c>
      <c r="AE6" s="70">
        <f t="shared" si="0"/>
        <v>46124</v>
      </c>
      <c r="AF6" s="68">
        <f t="shared" si="0"/>
        <v>46125</v>
      </c>
      <c r="AG6" s="69">
        <f t="shared" si="0"/>
        <v>46126</v>
      </c>
      <c r="AH6" s="69">
        <f t="shared" si="0"/>
        <v>46127</v>
      </c>
      <c r="AI6" s="69">
        <f t="shared" si="0"/>
        <v>46128</v>
      </c>
      <c r="AJ6" s="69">
        <f t="shared" si="0"/>
        <v>46129</v>
      </c>
      <c r="AK6" s="69">
        <f t="shared" si="0"/>
        <v>46130</v>
      </c>
      <c r="AL6" s="70">
        <f t="shared" si="0"/>
        <v>46131</v>
      </c>
      <c r="AM6" s="68">
        <f t="shared" si="0"/>
        <v>46132</v>
      </c>
      <c r="AN6" s="69">
        <f t="shared" si="0"/>
        <v>46133</v>
      </c>
      <c r="AO6" s="69">
        <f t="shared" si="0"/>
        <v>46134</v>
      </c>
      <c r="AP6" s="69">
        <f t="shared" si="0"/>
        <v>46135</v>
      </c>
      <c r="AQ6" s="69">
        <f t="shared" si="0"/>
        <v>46136</v>
      </c>
      <c r="AR6" s="69">
        <f t="shared" ref="AR6:BN6" si="1">AQ6+1</f>
        <v>46137</v>
      </c>
      <c r="AS6" s="70">
        <f t="shared" si="1"/>
        <v>46138</v>
      </c>
      <c r="AT6" s="68">
        <f t="shared" si="1"/>
        <v>46139</v>
      </c>
      <c r="AU6" s="69">
        <f t="shared" si="1"/>
        <v>46140</v>
      </c>
      <c r="AV6" s="69">
        <f t="shared" si="1"/>
        <v>46141</v>
      </c>
      <c r="AW6" s="69">
        <f t="shared" si="1"/>
        <v>46142</v>
      </c>
      <c r="AX6" s="69">
        <f t="shared" si="1"/>
        <v>46143</v>
      </c>
      <c r="AY6" s="69">
        <f t="shared" si="1"/>
        <v>46144</v>
      </c>
      <c r="AZ6" s="70">
        <f t="shared" si="1"/>
        <v>46145</v>
      </c>
      <c r="BA6" s="68">
        <f t="shared" si="1"/>
        <v>46146</v>
      </c>
      <c r="BB6" s="69">
        <f t="shared" si="1"/>
        <v>46147</v>
      </c>
      <c r="BC6" s="69">
        <f t="shared" si="1"/>
        <v>46148</v>
      </c>
      <c r="BD6" s="69">
        <f t="shared" si="1"/>
        <v>46149</v>
      </c>
      <c r="BE6" s="69">
        <f t="shared" si="1"/>
        <v>46150</v>
      </c>
      <c r="BF6" s="69">
        <f t="shared" si="1"/>
        <v>46151</v>
      </c>
      <c r="BG6" s="70">
        <f t="shared" si="1"/>
        <v>46152</v>
      </c>
      <c r="BH6" s="68">
        <f t="shared" si="1"/>
        <v>46153</v>
      </c>
      <c r="BI6" s="69">
        <f t="shared" si="1"/>
        <v>46154</v>
      </c>
      <c r="BJ6" s="69">
        <f t="shared" si="1"/>
        <v>46155</v>
      </c>
      <c r="BK6" s="69">
        <f t="shared" si="1"/>
        <v>46156</v>
      </c>
      <c r="BL6" s="69">
        <f t="shared" si="1"/>
        <v>46157</v>
      </c>
      <c r="BM6" s="69">
        <f t="shared" si="1"/>
        <v>46158</v>
      </c>
      <c r="BN6" s="70">
        <f t="shared" si="1"/>
        <v>46159</v>
      </c>
    </row>
    <row r="7" spans="1:66" ht="24">
      <c r="A7" s="71" t="s">
        <v>4</v>
      </c>
      <c r="B7" s="71" t="s">
        <v>5</v>
      </c>
      <c r="C7" s="72" t="s">
        <v>6</v>
      </c>
      <c r="D7" s="73" t="s">
        <v>183</v>
      </c>
      <c r="E7" s="74" t="s">
        <v>7</v>
      </c>
      <c r="F7" s="74" t="s">
        <v>8</v>
      </c>
      <c r="G7" s="72" t="s">
        <v>9</v>
      </c>
      <c r="H7" s="72" t="s">
        <v>10</v>
      </c>
      <c r="I7" s="72" t="s">
        <v>11</v>
      </c>
      <c r="J7" s="72"/>
      <c r="K7" s="75" t="str">
        <f t="shared" ref="K7:AP7" si="2">CHOOSE(WEEKDAY(K6,1),"S","M","T","W","T","F","S")</f>
        <v>M</v>
      </c>
      <c r="L7" s="76" t="str">
        <f t="shared" si="2"/>
        <v>T</v>
      </c>
      <c r="M7" s="76" t="str">
        <f t="shared" si="2"/>
        <v>W</v>
      </c>
      <c r="N7" s="76" t="str">
        <f t="shared" si="2"/>
        <v>T</v>
      </c>
      <c r="O7" s="76" t="str">
        <f t="shared" si="2"/>
        <v>F</v>
      </c>
      <c r="P7" s="76" t="str">
        <f t="shared" si="2"/>
        <v>S</v>
      </c>
      <c r="Q7" s="77" t="str">
        <f t="shared" si="2"/>
        <v>S</v>
      </c>
      <c r="R7" s="75" t="str">
        <f t="shared" si="2"/>
        <v>M</v>
      </c>
      <c r="S7" s="76" t="str">
        <f t="shared" si="2"/>
        <v>T</v>
      </c>
      <c r="T7" s="76" t="str">
        <f t="shared" si="2"/>
        <v>W</v>
      </c>
      <c r="U7" s="76" t="str">
        <f t="shared" si="2"/>
        <v>T</v>
      </c>
      <c r="V7" s="76" t="str">
        <f t="shared" si="2"/>
        <v>F</v>
      </c>
      <c r="W7" s="76" t="str">
        <f t="shared" si="2"/>
        <v>S</v>
      </c>
      <c r="X7" s="77" t="str">
        <f t="shared" si="2"/>
        <v>S</v>
      </c>
      <c r="Y7" s="75" t="str">
        <f t="shared" si="2"/>
        <v>M</v>
      </c>
      <c r="Z7" s="76" t="str">
        <f t="shared" si="2"/>
        <v>T</v>
      </c>
      <c r="AA7" s="76" t="str">
        <f t="shared" si="2"/>
        <v>W</v>
      </c>
      <c r="AB7" s="76" t="str">
        <f t="shared" si="2"/>
        <v>T</v>
      </c>
      <c r="AC7" s="76" t="str">
        <f t="shared" si="2"/>
        <v>F</v>
      </c>
      <c r="AD7" s="76" t="str">
        <f t="shared" si="2"/>
        <v>S</v>
      </c>
      <c r="AE7" s="77" t="str">
        <f t="shared" si="2"/>
        <v>S</v>
      </c>
      <c r="AF7" s="75" t="str">
        <f t="shared" si="2"/>
        <v>M</v>
      </c>
      <c r="AG7" s="76" t="str">
        <f t="shared" si="2"/>
        <v>T</v>
      </c>
      <c r="AH7" s="76" t="str">
        <f t="shared" si="2"/>
        <v>W</v>
      </c>
      <c r="AI7" s="76" t="str">
        <f t="shared" si="2"/>
        <v>T</v>
      </c>
      <c r="AJ7" s="76" t="str">
        <f t="shared" si="2"/>
        <v>F</v>
      </c>
      <c r="AK7" s="76" t="str">
        <f t="shared" si="2"/>
        <v>S</v>
      </c>
      <c r="AL7" s="77" t="str">
        <f t="shared" si="2"/>
        <v>S</v>
      </c>
      <c r="AM7" s="75" t="str">
        <f t="shared" si="2"/>
        <v>M</v>
      </c>
      <c r="AN7" s="76" t="str">
        <f t="shared" si="2"/>
        <v>T</v>
      </c>
      <c r="AO7" s="76" t="str">
        <f t="shared" si="2"/>
        <v>W</v>
      </c>
      <c r="AP7" s="76" t="str">
        <f t="shared" si="2"/>
        <v>T</v>
      </c>
      <c r="AQ7" s="76" t="str">
        <f t="shared" ref="AQ7:BN7" si="3">CHOOSE(WEEKDAY(AQ6,1),"S","M","T","W","T","F","S")</f>
        <v>F</v>
      </c>
      <c r="AR7" s="76" t="str">
        <f t="shared" si="3"/>
        <v>S</v>
      </c>
      <c r="AS7" s="77" t="str">
        <f t="shared" si="3"/>
        <v>S</v>
      </c>
      <c r="AT7" s="75" t="str">
        <f t="shared" si="3"/>
        <v>M</v>
      </c>
      <c r="AU7" s="76" t="str">
        <f t="shared" si="3"/>
        <v>T</v>
      </c>
      <c r="AV7" s="76" t="str">
        <f t="shared" si="3"/>
        <v>W</v>
      </c>
      <c r="AW7" s="76" t="str">
        <f t="shared" si="3"/>
        <v>T</v>
      </c>
      <c r="AX7" s="76" t="str">
        <f t="shared" si="3"/>
        <v>F</v>
      </c>
      <c r="AY7" s="76" t="str">
        <f t="shared" si="3"/>
        <v>S</v>
      </c>
      <c r="AZ7" s="77" t="str">
        <f t="shared" si="3"/>
        <v>S</v>
      </c>
      <c r="BA7" s="75" t="str">
        <f t="shared" si="3"/>
        <v>M</v>
      </c>
      <c r="BB7" s="76" t="str">
        <f t="shared" si="3"/>
        <v>T</v>
      </c>
      <c r="BC7" s="76" t="str">
        <f t="shared" si="3"/>
        <v>W</v>
      </c>
      <c r="BD7" s="76" t="str">
        <f t="shared" si="3"/>
        <v>T</v>
      </c>
      <c r="BE7" s="76" t="str">
        <f t="shared" si="3"/>
        <v>F</v>
      </c>
      <c r="BF7" s="76" t="str">
        <f t="shared" si="3"/>
        <v>S</v>
      </c>
      <c r="BG7" s="77" t="str">
        <f t="shared" si="3"/>
        <v>S</v>
      </c>
      <c r="BH7" s="75" t="str">
        <f t="shared" si="3"/>
        <v>M</v>
      </c>
      <c r="BI7" s="76" t="str">
        <f t="shared" si="3"/>
        <v>T</v>
      </c>
      <c r="BJ7" s="76" t="str">
        <f t="shared" si="3"/>
        <v>W</v>
      </c>
      <c r="BK7" s="76" t="str">
        <f t="shared" si="3"/>
        <v>T</v>
      </c>
      <c r="BL7" s="76" t="str">
        <f t="shared" si="3"/>
        <v>F</v>
      </c>
      <c r="BM7" s="76" t="str">
        <f t="shared" si="3"/>
        <v>S</v>
      </c>
      <c r="BN7" s="77" t="str">
        <f t="shared" si="3"/>
        <v>S</v>
      </c>
    </row>
    <row r="8" spans="1:66" s="55" customFormat="1" ht="18">
      <c r="A8" s="78" t="str">
        <f>IF(ISERROR(VALUE(SUBSTITUTE(prevWBS,".",""))),"1",IF(ISERROR(FIND("`",SUBSTITUTE(prevWBS,".","`",1))),TEXT(VALUE(prevWBS)+1,"#"),TEXT(VALUE(LEFT(prevWBS,FIND("`",SUBSTITUTE(prevWBS,".","`",1))-1))+1,"#")))</f>
        <v>1</v>
      </c>
      <c r="B8" s="79" t="s">
        <v>181</v>
      </c>
      <c r="C8" s="80"/>
      <c r="D8" s="81"/>
      <c r="E8" s="82"/>
      <c r="F8" s="83" t="str">
        <f t="shared" ref="F8:F16" si="4">IF(ISBLANK(E8)," - ",IF(G8=0,E8,E8+G8-1))</f>
        <v xml:space="preserve"> - </v>
      </c>
      <c r="G8" s="84"/>
      <c r="H8" s="85"/>
      <c r="I8" s="86" t="str">
        <f>IF(OR(F8=0,E8=0)," - ",NETWORKDAYS(E8,F8))</f>
        <v xml:space="preserve"> - </v>
      </c>
      <c r="J8" s="87"/>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row>
    <row r="9" spans="1:66" s="1" customFormat="1" ht="36" customHeight="1">
      <c r="A9" s="4"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107" t="s">
        <v>192</v>
      </c>
      <c r="C9" s="90" t="s">
        <v>12</v>
      </c>
      <c r="D9" s="119" t="s">
        <v>182</v>
      </c>
      <c r="E9" s="102">
        <v>46107</v>
      </c>
      <c r="F9" s="103">
        <f t="shared" si="4"/>
        <v>46107</v>
      </c>
      <c r="G9" s="104">
        <v>1</v>
      </c>
      <c r="H9" s="105">
        <v>0</v>
      </c>
      <c r="I9" s="10">
        <f>IF(OR(F9=0,E9=0)," - ",NETWORKDAYS(E9,F9))</f>
        <v>1</v>
      </c>
      <c r="J9" s="11"/>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row>
    <row r="10" spans="1:66" s="1" customFormat="1" ht="36" customHeight="1">
      <c r="A10" s="4" t="str">
        <f t="shared" si="5"/>
        <v>1.2</v>
      </c>
      <c r="B10" s="107" t="s">
        <v>193</v>
      </c>
      <c r="C10" s="90" t="s">
        <v>12</v>
      </c>
      <c r="D10" s="119" t="s">
        <v>182</v>
      </c>
      <c r="E10" s="102">
        <v>46107</v>
      </c>
      <c r="F10" s="103">
        <f t="shared" si="4"/>
        <v>46107</v>
      </c>
      <c r="G10" s="104">
        <v>1</v>
      </c>
      <c r="H10" s="105">
        <v>0</v>
      </c>
      <c r="I10" s="10">
        <f>IF(OR(F10=0,E10=0)," - ",NETWORKDAYS(E10,F10))</f>
        <v>1</v>
      </c>
      <c r="J10" s="11"/>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row>
    <row r="11" spans="1:66" s="1" customFormat="1" ht="36" customHeight="1">
      <c r="A11" s="4" t="str">
        <f t="shared" si="5"/>
        <v>1.3</v>
      </c>
      <c r="B11" s="107" t="s">
        <v>194</v>
      </c>
      <c r="C11" s="90" t="s">
        <v>12</v>
      </c>
      <c r="D11" s="119" t="s">
        <v>182</v>
      </c>
      <c r="E11" s="102">
        <v>46108</v>
      </c>
      <c r="F11" s="103">
        <f t="shared" ref="F11" si="6">IF(ISBLANK(E11)," - ",IF(G11=0,E11,E11+G11-1))</f>
        <v>46108</v>
      </c>
      <c r="G11" s="104">
        <v>1</v>
      </c>
      <c r="H11" s="105">
        <v>0</v>
      </c>
      <c r="I11" s="10">
        <f>IF(OR(F11=0,E11=0)," - ",NETWORKDAYS(E11,F11))</f>
        <v>1</v>
      </c>
      <c r="J11" s="11"/>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row>
    <row r="12" spans="1:66" s="1" customFormat="1" ht="36" customHeight="1">
      <c r="A12" s="4" t="str">
        <f t="shared" si="5"/>
        <v>1.4</v>
      </c>
      <c r="B12" s="107" t="s">
        <v>195</v>
      </c>
      <c r="C12" s="90" t="s">
        <v>12</v>
      </c>
      <c r="D12" s="119" t="s">
        <v>182</v>
      </c>
      <c r="E12" s="102">
        <v>46109</v>
      </c>
      <c r="F12" s="103">
        <f t="shared" ref="F12:F14" si="7">IF(ISBLANK(E12)," - ",IF(G12=0,E12,E12+G12-1))</f>
        <v>46111</v>
      </c>
      <c r="G12" s="104">
        <v>3</v>
      </c>
      <c r="H12" s="105">
        <v>0</v>
      </c>
      <c r="I12" s="10">
        <f>IF(OR(F12=0,E12=0)," - ",NETWORKDAYS(E12,F12))</f>
        <v>1</v>
      </c>
      <c r="J12" s="11"/>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row>
    <row r="13" spans="1:66" s="1" customFormat="1" ht="36" customHeight="1">
      <c r="A13" s="4" t="str">
        <f t="shared" si="5"/>
        <v>1.5</v>
      </c>
      <c r="B13" s="107" t="s">
        <v>196</v>
      </c>
      <c r="C13" s="90" t="s">
        <v>12</v>
      </c>
      <c r="D13" s="119" t="s">
        <v>182</v>
      </c>
      <c r="E13" s="102">
        <v>46111</v>
      </c>
      <c r="F13" s="103">
        <f t="shared" si="7"/>
        <v>46111</v>
      </c>
      <c r="G13" s="104">
        <v>1</v>
      </c>
      <c r="H13" s="105">
        <v>0</v>
      </c>
      <c r="I13" s="10">
        <f>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36" customHeight="1">
      <c r="A14" s="4" t="str">
        <f t="shared" si="5"/>
        <v>1.6</v>
      </c>
      <c r="B14" s="107" t="s">
        <v>186</v>
      </c>
      <c r="C14" s="90" t="s">
        <v>12</v>
      </c>
      <c r="D14" s="119" t="s">
        <v>184</v>
      </c>
      <c r="E14" s="102">
        <v>46112</v>
      </c>
      <c r="F14" s="103">
        <f t="shared" ref="F14" si="8">IF(ISBLANK(E14)," - ",IF(G14=0,E14,E14+G14-1))</f>
        <v>46112</v>
      </c>
      <c r="G14" s="104">
        <v>1</v>
      </c>
      <c r="H14" s="105">
        <v>0</v>
      </c>
      <c r="I14" s="10">
        <f>IF(OR(F14=0,E14=0)," - ",NETWORKDAYS(E14,F14))</f>
        <v>1</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36" customHeight="1">
      <c r="A15" s="4" t="str">
        <f t="shared" si="5"/>
        <v>1.7</v>
      </c>
      <c r="B15" s="107" t="s">
        <v>187</v>
      </c>
      <c r="C15" s="90" t="s">
        <v>12</v>
      </c>
      <c r="D15" s="119" t="s">
        <v>184</v>
      </c>
      <c r="E15" s="102">
        <v>46113</v>
      </c>
      <c r="F15" s="103">
        <f t="shared" ref="F15" si="9">IF(ISBLANK(E15)," - ",IF(G15=0,E15,E15+G15-1))</f>
        <v>46113</v>
      </c>
      <c r="G15" s="104">
        <v>1</v>
      </c>
      <c r="H15" s="105">
        <v>0</v>
      </c>
      <c r="I15" s="10">
        <f>IF(OR(F15=0,E15=0)," - ",NETWORKDAYS(E15,F15))</f>
        <v>1</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36" customHeight="1">
      <c r="A16" s="4" t="str">
        <f t="shared" si="5"/>
        <v>1.8</v>
      </c>
      <c r="B16" s="107" t="s">
        <v>188</v>
      </c>
      <c r="C16" s="90" t="s">
        <v>12</v>
      </c>
      <c r="D16" s="119" t="s">
        <v>184</v>
      </c>
      <c r="E16" s="102">
        <v>46114</v>
      </c>
      <c r="F16" s="103">
        <f t="shared" ref="F16" si="10">IF(ISBLANK(E16)," - ",IF(G16=0,E16,E16+G16-1))</f>
        <v>46114</v>
      </c>
      <c r="G16" s="104">
        <v>1</v>
      </c>
      <c r="H16" s="105">
        <v>0</v>
      </c>
      <c r="I16" s="10">
        <f>IF(OR(F16=0,E16=0)," - ",NETWORKDAYS(E16,F16))</f>
        <v>1</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36" customHeight="1">
      <c r="A17" s="4" t="str">
        <f t="shared" si="5"/>
        <v>1.9</v>
      </c>
      <c r="B17" s="107" t="s">
        <v>189</v>
      </c>
      <c r="C17" s="90" t="s">
        <v>12</v>
      </c>
      <c r="D17" s="119" t="s">
        <v>184</v>
      </c>
      <c r="E17" s="102">
        <v>46115</v>
      </c>
      <c r="F17" s="103">
        <f t="shared" ref="F17" si="11">IF(ISBLANK(E17)," - ",IF(G17=0,E17,E17+G17-1))</f>
        <v>46115</v>
      </c>
      <c r="G17" s="104">
        <v>1</v>
      </c>
      <c r="H17" s="105">
        <v>0</v>
      </c>
      <c r="I17" s="10">
        <f>IF(OR(F17=0,E17=0)," - ",NETWORKDAYS(E17,F17))</f>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18" spans="1:66" s="1" customFormat="1" ht="36" customHeight="1">
      <c r="A18" s="4" t="str">
        <f t="shared" si="5"/>
        <v>1.10</v>
      </c>
      <c r="B18" s="107" t="s">
        <v>190</v>
      </c>
      <c r="C18" s="90" t="s">
        <v>12</v>
      </c>
      <c r="D18" s="119" t="s">
        <v>184</v>
      </c>
      <c r="E18" s="102">
        <v>46116</v>
      </c>
      <c r="F18" s="103">
        <f t="shared" ref="F18" si="12">IF(ISBLANK(E18)," - ",IF(G18=0,E18,E18+G18-1))</f>
        <v>46116</v>
      </c>
      <c r="G18" s="104">
        <v>1</v>
      </c>
      <c r="H18" s="105">
        <v>0</v>
      </c>
      <c r="I18" s="10">
        <f>IF(OR(F18=0,E18=0)," - ",NETWORKDAYS(E18,F18))</f>
        <v>0</v>
      </c>
      <c r="J18" s="1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row>
    <row r="19" spans="1:66" s="1" customFormat="1" ht="36" customHeight="1">
      <c r="A19" s="4" t="str">
        <f t="shared" si="5"/>
        <v>1.11</v>
      </c>
      <c r="B19" s="107" t="s">
        <v>191</v>
      </c>
      <c r="C19" s="90" t="s">
        <v>12</v>
      </c>
      <c r="D19" s="119" t="s">
        <v>184</v>
      </c>
      <c r="E19" s="102">
        <v>46117</v>
      </c>
      <c r="F19" s="103">
        <f t="shared" ref="F19" si="13">IF(ISBLANK(E19)," - ",IF(G19=0,E19,E19+G19-1))</f>
        <v>46117</v>
      </c>
      <c r="G19" s="104">
        <v>1</v>
      </c>
      <c r="H19" s="105">
        <v>0</v>
      </c>
      <c r="I19" s="10">
        <f>IF(OR(F19=0,E19=0)," - ",NETWORKDAYS(E19,F19))</f>
        <v>0</v>
      </c>
      <c r="J19" s="1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pans="1:66" s="1" customFormat="1" ht="24" customHeight="1">
      <c r="A20" s="4"/>
      <c r="B20" s="107"/>
      <c r="C20" s="90"/>
      <c r="D20" s="119"/>
      <c r="E20" s="102"/>
      <c r="F20" s="103"/>
      <c r="G20" s="104"/>
      <c r="H20" s="105"/>
      <c r="I20" s="10"/>
      <c r="J20" s="11"/>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row>
    <row r="21" spans="1:66" s="1" customFormat="1" ht="24" customHeight="1">
      <c r="A21" s="4"/>
      <c r="B21" s="107"/>
      <c r="C21" s="90"/>
      <c r="D21" s="119"/>
      <c r="E21" s="102"/>
      <c r="F21" s="103"/>
      <c r="G21" s="104"/>
      <c r="H21" s="105"/>
      <c r="I21" s="10"/>
      <c r="J21" s="11"/>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row>
    <row r="22" spans="1:66" s="1" customFormat="1" ht="24" customHeight="1">
      <c r="A22" s="4"/>
      <c r="B22" s="107"/>
      <c r="C22" s="90"/>
      <c r="D22" s="119"/>
      <c r="E22" s="102"/>
      <c r="F22" s="103"/>
      <c r="G22" s="104"/>
      <c r="H22" s="105"/>
      <c r="I22" s="10"/>
      <c r="J22" s="11"/>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pans="1:66" s="1" customFormat="1" ht="24" customHeight="1">
      <c r="A23" s="4"/>
      <c r="B23" s="107"/>
      <c r="C23" s="90"/>
      <c r="D23" s="119"/>
      <c r="E23" s="102"/>
      <c r="F23" s="103"/>
      <c r="G23" s="104"/>
      <c r="H23" s="105"/>
      <c r="I23" s="10"/>
      <c r="J23" s="11"/>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pans="1:66" s="1" customFormat="1" ht="24" customHeight="1">
      <c r="A24" s="4"/>
      <c r="B24" s="107"/>
      <c r="C24" s="90"/>
      <c r="D24" s="119"/>
      <c r="E24" s="102"/>
      <c r="F24" s="103"/>
      <c r="G24" s="104"/>
      <c r="H24" s="105"/>
      <c r="I24" s="10"/>
      <c r="J24" s="11"/>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s="1" customFormat="1" ht="24" customHeight="1">
      <c r="A25" s="4"/>
      <c r="B25" s="107"/>
      <c r="C25" s="90"/>
      <c r="D25" s="119"/>
      <c r="E25" s="102"/>
      <c r="F25" s="103"/>
      <c r="G25" s="104"/>
      <c r="H25" s="105"/>
      <c r="I25" s="10"/>
      <c r="J25" s="11"/>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pans="1:66" s="1" customFormat="1" ht="24" customHeight="1">
      <c r="A26" s="4"/>
      <c r="B26" s="107"/>
      <c r="C26" s="90"/>
      <c r="D26" s="119"/>
      <c r="E26" s="102"/>
      <c r="F26" s="103"/>
      <c r="G26" s="104"/>
      <c r="H26" s="105"/>
      <c r="I26" s="10"/>
      <c r="J26" s="11"/>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pans="1:66" s="1" customFormat="1" ht="24" customHeight="1">
      <c r="A27" s="4"/>
      <c r="B27" s="107"/>
      <c r="C27" s="90"/>
      <c r="D27" s="119"/>
      <c r="E27" s="102"/>
      <c r="F27" s="103"/>
      <c r="G27" s="104"/>
      <c r="H27" s="105"/>
      <c r="I27" s="10"/>
      <c r="J27" s="11"/>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pans="1:66" s="1" customFormat="1" ht="24" customHeight="1">
      <c r="A28" s="4"/>
      <c r="B28" s="107"/>
      <c r="C28" s="90"/>
      <c r="D28" s="119"/>
      <c r="E28" s="102"/>
      <c r="F28" s="103"/>
      <c r="G28" s="104"/>
      <c r="H28" s="105"/>
      <c r="I28" s="10"/>
      <c r="J28" s="11"/>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pans="1:66" s="1" customFormat="1" ht="24" customHeight="1">
      <c r="A29" s="4"/>
      <c r="B29" s="107"/>
      <c r="C29" s="90"/>
      <c r="D29" s="119"/>
      <c r="E29" s="102"/>
      <c r="F29" s="103"/>
      <c r="G29" s="104"/>
      <c r="H29" s="105"/>
      <c r="I29" s="10"/>
      <c r="J29" s="11"/>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row>
    <row r="30" spans="1:66" s="1" customFormat="1" ht="24" customHeight="1">
      <c r="A30" s="4"/>
      <c r="B30" s="107"/>
      <c r="C30" s="90"/>
      <c r="D30" s="119"/>
      <c r="E30" s="102"/>
      <c r="F30" s="103"/>
      <c r="G30" s="104"/>
      <c r="H30" s="105"/>
      <c r="I30" s="10"/>
      <c r="J30" s="11"/>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row>
    <row r="31" spans="1:66" s="1" customFormat="1" ht="24" customHeight="1">
      <c r="A31" s="4"/>
      <c r="B31" s="107"/>
      <c r="C31" s="90"/>
      <c r="D31" s="119"/>
      <c r="E31" s="102"/>
      <c r="F31" s="103"/>
      <c r="G31" s="104"/>
      <c r="H31" s="105"/>
      <c r="I31" s="10"/>
      <c r="J31" s="11"/>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row>
    <row r="32" spans="1:66" s="1" customFormat="1" ht="24" customHeight="1">
      <c r="A32" s="4"/>
      <c r="B32" s="107"/>
      <c r="C32" s="90"/>
      <c r="D32" s="119"/>
      <c r="E32" s="102"/>
      <c r="F32" s="103"/>
      <c r="G32" s="104"/>
      <c r="H32" s="105"/>
      <c r="I32" s="10"/>
      <c r="J32" s="11"/>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row>
    <row r="33" spans="1:66" s="1" customFormat="1" ht="24" customHeight="1">
      <c r="A33" s="4"/>
      <c r="B33" s="120"/>
      <c r="C33" s="90"/>
      <c r="D33" s="119"/>
      <c r="E33" s="102"/>
      <c r="F33" s="103"/>
      <c r="G33" s="104"/>
      <c r="H33" s="105"/>
      <c r="I33" s="10"/>
      <c r="J33" s="11"/>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row>
    <row r="34" spans="1:66" s="1" customFormat="1" ht="24" customHeight="1">
      <c r="A34" s="4"/>
      <c r="B34" s="121"/>
      <c r="C34" s="90"/>
      <c r="D34" s="119"/>
      <c r="E34" s="102"/>
      <c r="F34" s="103"/>
      <c r="G34" s="104"/>
      <c r="H34" s="105"/>
      <c r="I34" s="10"/>
      <c r="J34" s="11"/>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row>
    <row r="35" spans="1:66" s="1" customFormat="1" ht="24" customHeight="1">
      <c r="A35" s="4"/>
      <c r="B35" s="107"/>
      <c r="C35" s="90"/>
      <c r="D35" s="119"/>
      <c r="E35" s="102"/>
      <c r="F35" s="103"/>
      <c r="G35" s="104"/>
      <c r="H35" s="105"/>
      <c r="I35" s="10"/>
      <c r="J35" s="11"/>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row>
    <row r="36" spans="1:66" s="1" customFormat="1" ht="24" customHeight="1">
      <c r="A36" s="4"/>
      <c r="B36" s="107"/>
      <c r="C36" s="90"/>
      <c r="D36" s="119"/>
      <c r="E36" s="102"/>
      <c r="F36" s="103"/>
      <c r="G36" s="104"/>
      <c r="H36" s="105"/>
      <c r="I36" s="10"/>
      <c r="J36" s="11"/>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row>
    <row r="37" spans="1:66" s="1" customFormat="1" ht="24" customHeight="1">
      <c r="A37" s="4"/>
      <c r="B37" s="107"/>
      <c r="C37" s="90"/>
      <c r="D37" s="119"/>
      <c r="E37" s="102"/>
      <c r="F37" s="103"/>
      <c r="G37" s="104"/>
      <c r="H37" s="105"/>
      <c r="I37" s="10"/>
      <c r="J37" s="11"/>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row>
    <row r="38" spans="1:66" s="1" customFormat="1" ht="24" customHeight="1">
      <c r="A38" s="4"/>
      <c r="B38" s="107"/>
      <c r="C38" s="90"/>
      <c r="D38" s="119"/>
      <c r="E38" s="102"/>
      <c r="F38" s="103"/>
      <c r="G38" s="104"/>
      <c r="H38" s="105"/>
      <c r="I38" s="10"/>
      <c r="J38" s="11"/>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row>
    <row r="39" spans="1:66" s="1" customFormat="1" ht="24" customHeight="1">
      <c r="A39" s="4"/>
      <c r="B39" s="107"/>
      <c r="C39" s="90"/>
      <c r="D39" s="119"/>
      <c r="E39" s="102"/>
      <c r="F39" s="103"/>
      <c r="G39" s="104"/>
      <c r="H39" s="105"/>
      <c r="I39" s="10"/>
      <c r="J39" s="11"/>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row>
    <row r="40" spans="1:66" s="1" customFormat="1" ht="24" customHeight="1">
      <c r="A40" s="4"/>
      <c r="B40" s="107"/>
      <c r="C40" s="90"/>
      <c r="D40" s="119"/>
      <c r="E40" s="102"/>
      <c r="F40" s="103"/>
      <c r="G40" s="104"/>
      <c r="H40" s="105"/>
      <c r="I40" s="10"/>
      <c r="J40" s="11"/>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row>
    <row r="41" spans="1:66" s="1" customFormat="1" ht="24" customHeight="1">
      <c r="A41" s="4"/>
      <c r="B41" s="107"/>
      <c r="C41" s="90"/>
      <c r="D41" s="119"/>
      <c r="E41" s="102"/>
      <c r="F41" s="103"/>
      <c r="G41" s="104"/>
      <c r="H41" s="122"/>
      <c r="I41" s="10"/>
      <c r="J41" s="11"/>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row>
    <row r="42" spans="1:66" s="1" customFormat="1" ht="24" customHeight="1">
      <c r="A42" s="4"/>
      <c r="B42" s="107"/>
      <c r="C42" s="90"/>
      <c r="D42" s="119"/>
      <c r="E42" s="102"/>
      <c r="F42" s="103"/>
      <c r="G42" s="104"/>
      <c r="H42" s="105"/>
      <c r="I42" s="10"/>
      <c r="J42" s="11"/>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row>
    <row r="43" spans="1:66" s="1" customFormat="1" ht="24" customHeight="1">
      <c r="A43" s="4"/>
      <c r="B43" s="107"/>
      <c r="C43" s="90"/>
      <c r="D43" s="119"/>
      <c r="E43" s="102"/>
      <c r="F43" s="103"/>
      <c r="G43" s="104"/>
      <c r="H43" s="105"/>
      <c r="I43" s="10"/>
      <c r="J43" s="11"/>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row>
    <row r="44" spans="1:66" s="1" customFormat="1" ht="24" customHeight="1">
      <c r="A44" s="4"/>
      <c r="B44" s="107"/>
      <c r="C44" s="90"/>
      <c r="D44" s="119"/>
      <c r="E44" s="102"/>
      <c r="F44" s="103"/>
      <c r="G44" s="104"/>
      <c r="H44" s="105"/>
      <c r="I44" s="10"/>
      <c r="J44" s="11"/>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row>
    <row r="45" spans="1:66" s="1" customFormat="1" ht="24" customHeight="1">
      <c r="A45" s="4"/>
      <c r="B45" s="107"/>
      <c r="C45" s="90"/>
      <c r="D45" s="119"/>
      <c r="E45" s="102"/>
      <c r="F45" s="103"/>
      <c r="G45" s="104"/>
      <c r="H45" s="105"/>
      <c r="I45" s="10"/>
      <c r="J45" s="11"/>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row>
    <row r="46" spans="1:66" s="1" customFormat="1" ht="24" customHeight="1">
      <c r="A46" s="106"/>
      <c r="B46" s="107"/>
      <c r="C46" s="90"/>
      <c r="D46" s="119"/>
      <c r="E46" s="102"/>
      <c r="F46" s="103"/>
      <c r="G46" s="104"/>
      <c r="H46" s="105"/>
      <c r="I46" s="10"/>
      <c r="J46" s="11"/>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row>
    <row r="47" spans="1:66" s="1" customFormat="1" ht="24" customHeight="1">
      <c r="A47" s="106"/>
      <c r="B47" s="107"/>
      <c r="C47" s="90"/>
      <c r="D47" s="119"/>
      <c r="E47" s="102"/>
      <c r="F47" s="103"/>
      <c r="G47" s="104"/>
      <c r="H47" s="105"/>
      <c r="I47" s="10"/>
      <c r="J47" s="11"/>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row>
    <row r="48" spans="1:66" s="1" customFormat="1" ht="24" customHeight="1">
      <c r="A48" s="4"/>
      <c r="B48" s="107"/>
      <c r="C48" s="90"/>
      <c r="D48" s="119"/>
      <c r="E48" s="102"/>
      <c r="F48" s="103"/>
      <c r="G48" s="104"/>
      <c r="H48" s="105"/>
      <c r="I48" s="10"/>
      <c r="J48" s="11"/>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row>
    <row r="49" spans="1:66" s="1" customFormat="1" ht="24" customHeight="1">
      <c r="A49" s="4"/>
      <c r="B49" s="107"/>
      <c r="C49" s="90"/>
      <c r="D49" s="119"/>
      <c r="E49" s="102"/>
      <c r="F49" s="103"/>
      <c r="G49" s="104"/>
      <c r="H49" s="105"/>
      <c r="I49" s="10"/>
      <c r="J49" s="11"/>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row>
    <row r="50" spans="1:66" s="1" customFormat="1" ht="24" customHeight="1">
      <c r="A50" s="4"/>
      <c r="B50" s="107"/>
      <c r="C50" s="90"/>
      <c r="D50" s="119"/>
      <c r="E50" s="102"/>
      <c r="F50" s="103"/>
      <c r="G50" s="104"/>
      <c r="H50" s="105"/>
      <c r="I50" s="10"/>
      <c r="J50" s="11"/>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row>
    <row r="51" spans="1:66" s="1" customFormat="1" ht="24" customHeight="1">
      <c r="A51" s="4"/>
      <c r="B51" s="107"/>
      <c r="C51" s="90"/>
      <c r="D51" s="119"/>
      <c r="E51" s="102"/>
      <c r="F51" s="103"/>
      <c r="G51" s="104"/>
      <c r="H51" s="105"/>
      <c r="I51" s="10"/>
      <c r="J51" s="11"/>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row>
    <row r="52" spans="1:66" s="1" customFormat="1" ht="24" customHeight="1">
      <c r="A52" s="4"/>
      <c r="B52" s="107"/>
      <c r="C52" s="90"/>
      <c r="D52" s="119"/>
      <c r="E52" s="102"/>
      <c r="F52" s="103"/>
      <c r="G52" s="104"/>
      <c r="H52" s="105"/>
      <c r="I52" s="10"/>
      <c r="J52" s="11"/>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row>
    <row r="53" spans="1:66" s="1" customFormat="1" ht="24" customHeight="1">
      <c r="A53" s="4"/>
      <c r="B53" s="107"/>
      <c r="C53" s="90"/>
      <c r="D53" s="119"/>
      <c r="E53" s="102"/>
      <c r="F53" s="103"/>
      <c r="G53" s="104"/>
      <c r="H53" s="105"/>
      <c r="I53" s="10"/>
      <c r="J53" s="11"/>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row>
    <row r="54" spans="1:66" s="1" customFormat="1" ht="24" customHeight="1">
      <c r="A54" s="4"/>
      <c r="B54" s="107"/>
      <c r="C54" s="90"/>
      <c r="D54" s="119"/>
      <c r="E54" s="102"/>
      <c r="F54" s="103"/>
      <c r="G54" s="104"/>
      <c r="H54" s="105"/>
      <c r="I54" s="10"/>
      <c r="J54" s="11"/>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row>
    <row r="55" spans="1:66" s="1" customFormat="1" ht="24" customHeight="1">
      <c r="A55" s="4"/>
      <c r="B55" s="107"/>
      <c r="C55" s="90"/>
      <c r="D55" s="119"/>
      <c r="E55" s="102"/>
      <c r="F55" s="103"/>
      <c r="G55" s="104"/>
      <c r="H55" s="105"/>
      <c r="I55" s="10"/>
      <c r="J55" s="11"/>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row>
    <row r="56" spans="1:66" s="1" customFormat="1" ht="24" customHeight="1">
      <c r="A56" s="4"/>
      <c r="B56" s="107"/>
      <c r="C56" s="90"/>
      <c r="D56" s="119"/>
      <c r="E56" s="102"/>
      <c r="F56" s="103"/>
      <c r="G56" s="104"/>
      <c r="H56" s="105"/>
      <c r="I56" s="10"/>
      <c r="J56" s="11"/>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row>
    <row r="57" spans="1:66" s="1" customFormat="1" ht="24" customHeight="1">
      <c r="A57" s="4"/>
      <c r="B57" s="107"/>
      <c r="C57" s="90"/>
      <c r="D57" s="119"/>
      <c r="E57" s="102"/>
      <c r="F57" s="103"/>
      <c r="G57" s="104"/>
      <c r="H57" s="105"/>
      <c r="I57" s="10"/>
      <c r="J57" s="11"/>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row>
    <row r="58" spans="1:66" s="1" customFormat="1" ht="24" customHeight="1">
      <c r="A58" s="4"/>
      <c r="B58" s="107"/>
      <c r="C58" s="90"/>
      <c r="D58" s="119"/>
      <c r="E58" s="102"/>
      <c r="F58" s="103"/>
      <c r="G58" s="104"/>
      <c r="H58" s="105"/>
      <c r="I58" s="10"/>
      <c r="J58" s="11"/>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row>
    <row r="59" spans="1:66" s="1" customFormat="1" ht="24" customHeight="1">
      <c r="A59" s="4"/>
      <c r="B59" s="107"/>
      <c r="C59" s="90"/>
      <c r="D59" s="119"/>
      <c r="E59" s="102"/>
      <c r="F59" s="103"/>
      <c r="G59" s="104"/>
      <c r="H59" s="105"/>
      <c r="I59" s="10"/>
      <c r="J59" s="11"/>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row>
    <row r="60" spans="1:66" s="1" customFormat="1" ht="24" customHeight="1">
      <c r="A60" s="4"/>
      <c r="B60" s="107"/>
      <c r="C60" s="90"/>
      <c r="D60" s="119"/>
      <c r="E60" s="102"/>
      <c r="F60" s="103"/>
      <c r="G60" s="104"/>
      <c r="H60" s="105"/>
      <c r="I60" s="10"/>
      <c r="J60" s="11"/>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row>
    <row r="61" spans="1:66" s="1" customFormat="1" ht="24" customHeight="1">
      <c r="A61" s="4"/>
      <c r="B61" s="107"/>
      <c r="C61" s="90"/>
      <c r="D61" s="119"/>
      <c r="E61" s="102"/>
      <c r="F61" s="103"/>
      <c r="G61" s="104"/>
      <c r="H61" s="105"/>
      <c r="I61" s="10"/>
      <c r="J61" s="11"/>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row>
    <row r="62" spans="1:66" s="1" customFormat="1" ht="18">
      <c r="A62" s="4"/>
      <c r="B62" s="107"/>
      <c r="C62" s="90"/>
      <c r="D62" s="119"/>
      <c r="E62" s="102"/>
      <c r="F62" s="103"/>
      <c r="G62" s="104"/>
      <c r="H62" s="105"/>
      <c r="I62" s="10"/>
      <c r="J62" s="11"/>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row>
    <row r="63" spans="1:66" s="1" customFormat="1" ht="18">
      <c r="A63" s="4"/>
      <c r="B63" s="107"/>
      <c r="C63" s="90"/>
      <c r="D63" s="119"/>
      <c r="E63" s="102"/>
      <c r="F63" s="103"/>
      <c r="G63" s="104"/>
      <c r="H63" s="105"/>
      <c r="I63" s="10"/>
      <c r="J63" s="11"/>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row>
    <row r="64" spans="1:66" s="1" customFormat="1" ht="18">
      <c r="A64" s="4"/>
      <c r="B64" s="89"/>
      <c r="D64" s="5"/>
      <c r="E64" s="102"/>
      <c r="F64" s="103"/>
      <c r="G64" s="104"/>
      <c r="H64" s="105"/>
      <c r="I64" s="10"/>
      <c r="J64" s="11"/>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row>
    <row r="65" spans="1:66" s="1" customFormat="1" ht="18">
      <c r="A65" s="4"/>
      <c r="B65" s="89"/>
      <c r="D65" s="5"/>
      <c r="E65" s="102"/>
      <c r="F65" s="103"/>
      <c r="G65" s="104"/>
      <c r="H65" s="105"/>
      <c r="I65" s="10"/>
      <c r="J65" s="11"/>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row>
    <row r="66" spans="1:66" s="1" customFormat="1" ht="18">
      <c r="A66" s="4"/>
      <c r="B66" s="89"/>
      <c r="D66" s="5"/>
      <c r="E66" s="102"/>
      <c r="F66" s="103"/>
      <c r="G66" s="104"/>
      <c r="H66" s="105"/>
      <c r="I66" s="10"/>
      <c r="J66" s="11"/>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row>
    <row r="67" spans="1:66" s="1" customFormat="1" ht="18">
      <c r="A67" s="4"/>
      <c r="B67" s="89"/>
      <c r="D67" s="5"/>
      <c r="E67" s="102"/>
      <c r="F67" s="103"/>
      <c r="G67" s="104"/>
      <c r="H67" s="105"/>
      <c r="I67" s="10"/>
      <c r="J67" s="11"/>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row>
    <row r="68" spans="1:66" s="1" customFormat="1" ht="18">
      <c r="A68" s="4"/>
      <c r="B68" s="89"/>
      <c r="D68" s="5"/>
      <c r="E68" s="102"/>
      <c r="F68" s="103"/>
      <c r="G68" s="104"/>
      <c r="H68" s="105"/>
      <c r="I68" s="10"/>
      <c r="J68" s="11"/>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row>
    <row r="69" spans="1:66" s="1" customFormat="1" ht="18">
      <c r="A69" s="4"/>
      <c r="B69" s="89"/>
      <c r="D69" s="5"/>
      <c r="E69" s="102"/>
      <c r="F69" s="103"/>
      <c r="G69" s="104"/>
      <c r="H69" s="105"/>
      <c r="I69" s="10"/>
      <c r="J69" s="11"/>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row>
    <row r="70" spans="1:66" s="1" customFormat="1" ht="18">
      <c r="A70" s="4"/>
      <c r="B70" s="89"/>
      <c r="D70" s="5"/>
      <c r="E70" s="102"/>
      <c r="F70" s="103"/>
      <c r="G70" s="104"/>
      <c r="H70" s="105"/>
      <c r="I70" s="10"/>
      <c r="J70" s="11"/>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row>
    <row r="71" spans="1:66" s="1" customFormat="1" ht="18">
      <c r="A71" s="4"/>
      <c r="B71" s="89"/>
      <c r="D71" s="5"/>
      <c r="E71" s="102"/>
      <c r="F71" s="103"/>
      <c r="G71" s="104"/>
      <c r="H71" s="105"/>
      <c r="I71" s="10"/>
      <c r="J71" s="11"/>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pans="1:66" s="1" customFormat="1" ht="18">
      <c r="A72" s="4"/>
      <c r="B72" s="89"/>
      <c r="D72" s="5"/>
      <c r="E72" s="102"/>
      <c r="F72" s="103"/>
      <c r="G72" s="104"/>
      <c r="H72" s="105"/>
      <c r="I72" s="10"/>
      <c r="J72" s="11"/>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pans="1:66" s="1" customFormat="1" ht="18">
      <c r="A73" s="4"/>
      <c r="B73" s="89"/>
      <c r="D73" s="5"/>
      <c r="E73" s="102"/>
      <c r="F73" s="103"/>
      <c r="G73" s="104"/>
      <c r="H73" s="105"/>
      <c r="I73" s="10"/>
      <c r="J73" s="11"/>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pans="1:66" s="1" customFormat="1" ht="18">
      <c r="A74" s="4"/>
      <c r="B74" s="89"/>
      <c r="D74" s="5"/>
      <c r="E74" s="102"/>
      <c r="F74" s="103"/>
      <c r="G74" s="104"/>
      <c r="H74" s="105"/>
      <c r="I74" s="10"/>
      <c r="J74" s="11"/>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5" spans="1:66" s="1" customFormat="1" ht="18">
      <c r="A75" s="4"/>
      <c r="B75" s="89"/>
      <c r="D75" s="5"/>
      <c r="E75" s="102"/>
      <c r="F75" s="103"/>
      <c r="G75" s="104"/>
      <c r="H75" s="105"/>
      <c r="I75" s="10"/>
      <c r="J75" s="11"/>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row>
    <row r="76" spans="1:66" s="55" customFormat="1" ht="18" hidden="1">
      <c r="A76" s="91" t="str">
        <f>IF(ISERROR(VALUE(SUBSTITUTE(prevWBS,".",""))),"1",IF(ISERROR(FIND("`",SUBSTITUTE(prevWBS,".","`",1))),TEXT(VALUE(prevWBS)+1,"#"),TEXT(VALUE(LEFT(prevWBS,FIND("`",SUBSTITUTE(prevWBS,".","`",1))-1))+1,"#")))</f>
        <v>1</v>
      </c>
      <c r="B76" s="92" t="s">
        <v>14</v>
      </c>
      <c r="D76" s="93"/>
      <c r="E76" s="94"/>
      <c r="F76" s="94" t="str">
        <f t="shared" ref="F76:F81" si="14">IF(ISBLANK(E76)," - ",IF(G76=0,E76,E76+G76-1))</f>
        <v xml:space="preserve"> - </v>
      </c>
      <c r="G76" s="95"/>
      <c r="H76" s="96"/>
      <c r="I76" s="97" t="str">
        <f t="shared" ref="I76:I81" si="15">IF(OR(F76=0,E76=0)," - ",NETWORKDAYS(E76,F76))</f>
        <v xml:space="preserve"> - </v>
      </c>
      <c r="J76" s="98"/>
      <c r="K76" s="99"/>
      <c r="L76" s="99"/>
      <c r="M76" s="99"/>
      <c r="N76" s="99"/>
      <c r="O76" s="99"/>
      <c r="P76" s="99"/>
      <c r="Q76" s="99"/>
      <c r="R76" s="99"/>
      <c r="S76" s="99"/>
      <c r="T76" s="99"/>
      <c r="U76" s="99"/>
      <c r="V76" s="99"/>
      <c r="W76" s="99"/>
      <c r="X76" s="99"/>
      <c r="Y76" s="99"/>
      <c r="Z76" s="99"/>
      <c r="AA76" s="99"/>
      <c r="AB76" s="99"/>
      <c r="AC76" s="99"/>
      <c r="AD76" s="99"/>
      <c r="AE76" s="99"/>
      <c r="AF76" s="99"/>
      <c r="AG76" s="99"/>
      <c r="AH76" s="99"/>
      <c r="AI76" s="99"/>
      <c r="AJ76" s="99"/>
      <c r="AK76" s="99"/>
      <c r="AL76" s="99"/>
      <c r="AM76" s="99"/>
      <c r="AN76" s="99"/>
      <c r="AO76" s="99"/>
      <c r="AP76" s="99"/>
      <c r="AQ76" s="99"/>
      <c r="AR76" s="99"/>
      <c r="AS76" s="99"/>
      <c r="AT76" s="99"/>
      <c r="AU76" s="99"/>
      <c r="AV76" s="99"/>
      <c r="AW76" s="99"/>
      <c r="AX76" s="99"/>
      <c r="AY76" s="99"/>
      <c r="AZ76" s="99"/>
      <c r="BA76" s="99"/>
      <c r="BB76" s="99"/>
      <c r="BC76" s="99"/>
      <c r="BD76" s="99"/>
      <c r="BE76" s="99"/>
      <c r="BF76" s="99"/>
      <c r="BG76" s="99"/>
      <c r="BH76" s="99"/>
      <c r="BI76" s="99"/>
      <c r="BJ76" s="99"/>
      <c r="BK76" s="99"/>
      <c r="BL76" s="99"/>
      <c r="BM76" s="99"/>
      <c r="BN76" s="99"/>
    </row>
    <row r="77" spans="1:66" s="1" customFormat="1" ht="18" hidden="1">
      <c r="A77" s="4" t="str">
        <f t="shared" ref="A77:A115" si="1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7" s="89" t="s">
        <v>15</v>
      </c>
      <c r="C77" s="1" t="s">
        <v>16</v>
      </c>
      <c r="D77" s="5"/>
      <c r="E77" s="6">
        <v>46057</v>
      </c>
      <c r="F77" s="7">
        <f t="shared" si="14"/>
        <v>46063</v>
      </c>
      <c r="G77" s="8">
        <v>7</v>
      </c>
      <c r="H77" s="9">
        <v>0</v>
      </c>
      <c r="I77" s="10">
        <f t="shared" si="15"/>
        <v>5</v>
      </c>
      <c r="J77" s="11"/>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row>
    <row r="78" spans="1:66" s="1" customFormat="1" ht="18" hidden="1">
      <c r="A78" s="4" t="str">
        <f t="shared" si="16"/>
        <v>1.2</v>
      </c>
      <c r="B78" s="89" t="s">
        <v>17</v>
      </c>
      <c r="C78" s="1" t="s">
        <v>12</v>
      </c>
      <c r="D78" s="5"/>
      <c r="E78" s="6">
        <v>46064</v>
      </c>
      <c r="F78" s="7">
        <f t="shared" si="14"/>
        <v>46070</v>
      </c>
      <c r="G78" s="8">
        <v>7</v>
      </c>
      <c r="H78" s="9">
        <v>0</v>
      </c>
      <c r="I78" s="10">
        <f t="shared" si="15"/>
        <v>5</v>
      </c>
      <c r="J78" s="11"/>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row>
    <row r="79" spans="1:66" s="1" customFormat="1" ht="44.25" hidden="1" customHeight="1">
      <c r="A79" s="4" t="str">
        <f t="shared" si="16"/>
        <v>1.3</v>
      </c>
      <c r="B79" s="89" t="s">
        <v>18</v>
      </c>
      <c r="C79" s="1" t="s">
        <v>13</v>
      </c>
      <c r="D79" s="5"/>
      <c r="E79" s="6">
        <v>46064</v>
      </c>
      <c r="F79" s="7">
        <f t="shared" si="14"/>
        <v>46070</v>
      </c>
      <c r="G79" s="8">
        <v>7</v>
      </c>
      <c r="H79" s="9">
        <v>0</v>
      </c>
      <c r="I79" s="10">
        <f t="shared" si="15"/>
        <v>5</v>
      </c>
      <c r="J79" s="11"/>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row>
    <row r="80" spans="1:66" s="1" customFormat="1" ht="18" hidden="1">
      <c r="A80" s="4" t="str">
        <f t="shared" si="16"/>
        <v>1.4</v>
      </c>
      <c r="B80" s="89" t="s">
        <v>19</v>
      </c>
      <c r="C80" s="1" t="s">
        <v>12</v>
      </c>
      <c r="D80" s="5"/>
      <c r="E80" s="6">
        <v>46071</v>
      </c>
      <c r="F80" s="7">
        <f t="shared" si="14"/>
        <v>46077</v>
      </c>
      <c r="G80" s="8">
        <v>7</v>
      </c>
      <c r="H80" s="9">
        <v>0</v>
      </c>
      <c r="I80" s="10">
        <f t="shared" si="15"/>
        <v>5</v>
      </c>
      <c r="J80" s="11"/>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row>
    <row r="81" spans="1:66" s="1" customFormat="1" ht="18" hidden="1">
      <c r="A81" s="4" t="str">
        <f t="shared" si="16"/>
        <v>1.5</v>
      </c>
      <c r="B81" s="89" t="s">
        <v>20</v>
      </c>
      <c r="C81" s="1" t="s">
        <v>13</v>
      </c>
      <c r="D81" s="5"/>
      <c r="E81" s="6">
        <v>46071</v>
      </c>
      <c r="F81" s="7">
        <f t="shared" si="14"/>
        <v>46077</v>
      </c>
      <c r="G81" s="8">
        <v>7</v>
      </c>
      <c r="H81" s="9">
        <v>0</v>
      </c>
      <c r="I81" s="10">
        <f t="shared" si="15"/>
        <v>5</v>
      </c>
      <c r="J81" s="11"/>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row>
    <row r="82" spans="1:66" s="1" customFormat="1" ht="18" hidden="1">
      <c r="A82" s="4" t="str">
        <f t="shared" si="16"/>
        <v>1.6</v>
      </c>
      <c r="B82" s="89" t="s">
        <v>21</v>
      </c>
      <c r="C82" s="1" t="s">
        <v>12</v>
      </c>
      <c r="D82" s="5"/>
      <c r="E82" s="6">
        <v>46078</v>
      </c>
      <c r="F82" s="7">
        <f t="shared" ref="F82:F96" si="17">IF(ISBLANK(E82)," - ",IF(G82=0,E82,E82+G82-1))</f>
        <v>46084</v>
      </c>
      <c r="G82" s="8">
        <v>7</v>
      </c>
      <c r="H82" s="9">
        <v>0</v>
      </c>
      <c r="I82" s="10">
        <f t="shared" ref="I82:I96" si="18">IF(OR(F82=0,E82=0)," - ",NETWORKDAYS(E82,F82))</f>
        <v>5</v>
      </c>
      <c r="J82" s="11"/>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row>
    <row r="83" spans="1:66" s="1" customFormat="1" ht="18" hidden="1">
      <c r="A83" s="4" t="str">
        <f t="shared" si="16"/>
        <v>1.7</v>
      </c>
      <c r="B83" s="89" t="s">
        <v>22</v>
      </c>
      <c r="C83" s="1" t="s">
        <v>13</v>
      </c>
      <c r="D83" s="5"/>
      <c r="E83" s="6">
        <v>46078</v>
      </c>
      <c r="F83" s="7">
        <f t="shared" si="17"/>
        <v>46084</v>
      </c>
      <c r="G83" s="8">
        <v>7</v>
      </c>
      <c r="H83" s="9">
        <v>0</v>
      </c>
      <c r="I83" s="10">
        <f t="shared" si="18"/>
        <v>5</v>
      </c>
      <c r="J83" s="11"/>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row>
    <row r="84" spans="1:66" s="1" customFormat="1" ht="18" hidden="1">
      <c r="A84" s="4" t="str">
        <f t="shared" si="16"/>
        <v>1.8</v>
      </c>
      <c r="B84" s="89" t="s">
        <v>23</v>
      </c>
      <c r="C84" s="1" t="s">
        <v>24</v>
      </c>
      <c r="D84" s="5"/>
      <c r="E84" s="6">
        <v>46057</v>
      </c>
      <c r="F84" s="7">
        <f t="shared" si="17"/>
        <v>46063</v>
      </c>
      <c r="G84" s="8">
        <v>7</v>
      </c>
      <c r="H84" s="9">
        <v>0</v>
      </c>
      <c r="I84" s="10">
        <f t="shared" si="18"/>
        <v>5</v>
      </c>
      <c r="J84" s="11"/>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s="1" customFormat="1" ht="18" hidden="1">
      <c r="A85" s="4" t="str">
        <f t="shared" si="16"/>
        <v>1.9</v>
      </c>
      <c r="B85" s="89" t="s">
        <v>25</v>
      </c>
      <c r="C85" s="1" t="s">
        <v>12</v>
      </c>
      <c r="D85" s="5"/>
      <c r="E85" s="6">
        <v>46085</v>
      </c>
      <c r="F85" s="7">
        <f t="shared" si="17"/>
        <v>46091</v>
      </c>
      <c r="G85" s="8">
        <v>7</v>
      </c>
      <c r="H85" s="9">
        <v>0</v>
      </c>
      <c r="I85" s="10">
        <f t="shared" si="18"/>
        <v>5</v>
      </c>
      <c r="J85" s="11"/>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s="1" customFormat="1" ht="18" hidden="1">
      <c r="A86" s="4" t="str">
        <f t="shared" si="16"/>
        <v>1.10</v>
      </c>
      <c r="B86" s="89" t="s">
        <v>26</v>
      </c>
      <c r="C86" s="1" t="s">
        <v>13</v>
      </c>
      <c r="D86" s="5"/>
      <c r="E86" s="6">
        <v>46085</v>
      </c>
      <c r="F86" s="7">
        <f t="shared" si="17"/>
        <v>46091</v>
      </c>
      <c r="G86" s="8">
        <v>7</v>
      </c>
      <c r="H86" s="9">
        <v>0</v>
      </c>
      <c r="I86" s="10">
        <f t="shared" si="18"/>
        <v>5</v>
      </c>
      <c r="J86" s="11"/>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s="1" customFormat="1" ht="18" hidden="1">
      <c r="A87" s="4" t="str">
        <f t="shared" si="16"/>
        <v>1.11</v>
      </c>
      <c r="B87" s="89" t="s">
        <v>27</v>
      </c>
      <c r="C87" s="1" t="s">
        <v>13</v>
      </c>
      <c r="D87" s="5"/>
      <c r="E87" s="6">
        <v>46092</v>
      </c>
      <c r="F87" s="7">
        <f t="shared" si="17"/>
        <v>46098</v>
      </c>
      <c r="G87" s="8">
        <v>7</v>
      </c>
      <c r="H87" s="9">
        <v>0</v>
      </c>
      <c r="I87" s="10">
        <f t="shared" si="18"/>
        <v>5</v>
      </c>
      <c r="J87" s="11"/>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s="1" customFormat="1" ht="18" hidden="1">
      <c r="A88" s="4" t="str">
        <f t="shared" si="16"/>
        <v>1.12</v>
      </c>
      <c r="B88" s="89" t="s">
        <v>28</v>
      </c>
      <c r="C88" s="1" t="s">
        <v>12</v>
      </c>
      <c r="D88" s="5"/>
      <c r="E88" s="6">
        <v>46092</v>
      </c>
      <c r="F88" s="7">
        <f t="shared" si="17"/>
        <v>46098</v>
      </c>
      <c r="G88" s="8">
        <v>7</v>
      </c>
      <c r="H88" s="9">
        <v>0</v>
      </c>
      <c r="I88" s="10">
        <f t="shared" si="18"/>
        <v>5</v>
      </c>
      <c r="J88" s="11"/>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s="1" customFormat="1" ht="18" hidden="1">
      <c r="A89" s="4" t="str">
        <f t="shared" si="16"/>
        <v>1.13</v>
      </c>
      <c r="B89" s="89" t="s">
        <v>29</v>
      </c>
      <c r="C89" s="1" t="s">
        <v>13</v>
      </c>
      <c r="D89" s="5"/>
      <c r="E89" s="6">
        <v>46099</v>
      </c>
      <c r="F89" s="7">
        <f t="shared" si="17"/>
        <v>46105</v>
      </c>
      <c r="G89" s="8">
        <v>7</v>
      </c>
      <c r="H89" s="9">
        <v>0</v>
      </c>
      <c r="I89" s="10">
        <f t="shared" si="18"/>
        <v>5</v>
      </c>
      <c r="J89" s="11"/>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s="1" customFormat="1" ht="18" hidden="1">
      <c r="A90" s="4" t="str">
        <f t="shared" si="16"/>
        <v>1.14</v>
      </c>
      <c r="B90" s="89" t="s">
        <v>30</v>
      </c>
      <c r="C90" s="1" t="s">
        <v>13</v>
      </c>
      <c r="D90" s="5"/>
      <c r="E90" s="6">
        <v>46106</v>
      </c>
      <c r="F90" s="7">
        <f t="shared" ref="F90" si="19">IF(ISBLANK(E90)," - ",IF(G90=0,E90,E90+G90-1))</f>
        <v>46112</v>
      </c>
      <c r="G90" s="8">
        <v>7</v>
      </c>
      <c r="H90" s="9">
        <v>0</v>
      </c>
      <c r="I90" s="10">
        <f t="shared" ref="I90" si="20">IF(OR(F90=0,E90=0)," - ",NETWORKDAYS(E90,F90))</f>
        <v>5</v>
      </c>
      <c r="J90" s="11"/>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s="1" customFormat="1" ht="18" hidden="1">
      <c r="A91" s="4" t="str">
        <f t="shared" si="16"/>
        <v>1.15</v>
      </c>
      <c r="B91" s="89" t="s">
        <v>31</v>
      </c>
      <c r="C91" s="1" t="s">
        <v>13</v>
      </c>
      <c r="D91" s="5"/>
      <c r="E91" s="6">
        <v>46106</v>
      </c>
      <c r="F91" s="7">
        <f t="shared" ref="F91" si="21">IF(ISBLANK(E91)," - ",IF(G91=0,E91,E91+G91-1))</f>
        <v>46112</v>
      </c>
      <c r="G91" s="8">
        <v>7</v>
      </c>
      <c r="H91" s="9">
        <v>0</v>
      </c>
      <c r="I91" s="10">
        <f t="shared" ref="I91" si="22">IF(OR(F91=0,E91=0)," - ",NETWORKDAYS(E91,F91))</f>
        <v>5</v>
      </c>
      <c r="J91" s="11"/>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s="1" customFormat="1" ht="18" hidden="1">
      <c r="A92" s="4" t="str">
        <f t="shared" si="16"/>
        <v>1.16</v>
      </c>
      <c r="B92" s="89" t="s">
        <v>32</v>
      </c>
      <c r="C92" s="1" t="s">
        <v>13</v>
      </c>
      <c r="D92" s="5"/>
      <c r="E92" s="6">
        <v>46113</v>
      </c>
      <c r="F92" s="7">
        <f t="shared" si="17"/>
        <v>46119</v>
      </c>
      <c r="G92" s="8">
        <v>7</v>
      </c>
      <c r="H92" s="9">
        <v>0</v>
      </c>
      <c r="I92" s="10">
        <f t="shared" si="18"/>
        <v>5</v>
      </c>
      <c r="J92" s="11"/>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s="1" customFormat="1" ht="18" hidden="1">
      <c r="A93" s="4" t="str">
        <f t="shared" si="16"/>
        <v>1.17</v>
      </c>
      <c r="B93" s="89" t="s">
        <v>33</v>
      </c>
      <c r="C93" s="1" t="s">
        <v>12</v>
      </c>
      <c r="D93" s="5"/>
      <c r="E93" s="6">
        <v>46113</v>
      </c>
      <c r="F93" s="7">
        <f t="shared" si="17"/>
        <v>46119</v>
      </c>
      <c r="G93" s="8">
        <v>7</v>
      </c>
      <c r="H93" s="9">
        <v>0</v>
      </c>
      <c r="I93" s="10">
        <f t="shared" si="18"/>
        <v>5</v>
      </c>
      <c r="J93" s="11"/>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s="1" customFormat="1" ht="18" hidden="1">
      <c r="A94" s="4" t="str">
        <f t="shared" si="16"/>
        <v>1.18</v>
      </c>
      <c r="B94" s="89" t="s">
        <v>34</v>
      </c>
      <c r="C94" s="1" t="s">
        <v>13</v>
      </c>
      <c r="D94" s="5"/>
      <c r="E94" s="6">
        <v>46120</v>
      </c>
      <c r="F94" s="7">
        <f t="shared" si="17"/>
        <v>46126</v>
      </c>
      <c r="G94" s="8">
        <v>7</v>
      </c>
      <c r="H94" s="9">
        <v>0</v>
      </c>
      <c r="I94" s="10">
        <f t="shared" si="18"/>
        <v>5</v>
      </c>
      <c r="J94" s="11"/>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s="1" customFormat="1" ht="18" hidden="1">
      <c r="A95" s="4" t="str">
        <f t="shared" si="16"/>
        <v>1.19</v>
      </c>
      <c r="B95" s="89" t="s">
        <v>35</v>
      </c>
      <c r="C95" s="1" t="s">
        <v>12</v>
      </c>
      <c r="D95" s="5"/>
      <c r="E95" s="6">
        <v>46120</v>
      </c>
      <c r="F95" s="7">
        <f t="shared" si="17"/>
        <v>46126</v>
      </c>
      <c r="G95" s="8">
        <v>7</v>
      </c>
      <c r="H95" s="9">
        <v>0</v>
      </c>
      <c r="I95" s="10">
        <f t="shared" si="18"/>
        <v>5</v>
      </c>
      <c r="J95" s="11"/>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s="1" customFormat="1" ht="18" hidden="1">
      <c r="A96" s="4" t="str">
        <f t="shared" si="16"/>
        <v>1.20</v>
      </c>
      <c r="B96" s="89" t="s">
        <v>36</v>
      </c>
      <c r="C96" s="1" t="s">
        <v>13</v>
      </c>
      <c r="D96" s="5"/>
      <c r="E96" s="6">
        <v>46127</v>
      </c>
      <c r="F96" s="7">
        <f t="shared" si="17"/>
        <v>46133</v>
      </c>
      <c r="G96" s="8">
        <v>7</v>
      </c>
      <c r="H96" s="9">
        <v>0</v>
      </c>
      <c r="I96" s="10">
        <f t="shared" si="18"/>
        <v>5</v>
      </c>
      <c r="J96" s="11"/>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s="1" customFormat="1" ht="18" hidden="1">
      <c r="A97" s="4" t="str">
        <f t="shared" si="16"/>
        <v>1.21</v>
      </c>
      <c r="B97" s="89" t="s">
        <v>37</v>
      </c>
      <c r="C97" s="1" t="s">
        <v>12</v>
      </c>
      <c r="D97" s="5"/>
      <c r="E97" s="6">
        <v>46127</v>
      </c>
      <c r="F97" s="7">
        <f t="shared" ref="F97:F107" si="23">IF(ISBLANK(E97)," - ",IF(G97=0,E97,E97+G97-1))</f>
        <v>46133</v>
      </c>
      <c r="G97" s="8">
        <v>7</v>
      </c>
      <c r="H97" s="9">
        <v>0</v>
      </c>
      <c r="I97" s="10">
        <f t="shared" ref="I97:I105" si="24">IF(OR(F97=0,E97=0)," - ",NETWORKDAYS(E97,F97))</f>
        <v>5</v>
      </c>
      <c r="J97" s="11"/>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s="1" customFormat="1" ht="18" hidden="1">
      <c r="A98" s="4" t="str">
        <f t="shared" si="16"/>
        <v>1.22</v>
      </c>
      <c r="B98" s="89" t="s">
        <v>38</v>
      </c>
      <c r="C98" s="1" t="s">
        <v>13</v>
      </c>
      <c r="D98" s="5"/>
      <c r="E98" s="6">
        <v>46134</v>
      </c>
      <c r="F98" s="7">
        <f t="shared" si="23"/>
        <v>46140</v>
      </c>
      <c r="G98" s="8">
        <v>7</v>
      </c>
      <c r="H98" s="9">
        <v>0</v>
      </c>
      <c r="I98" s="10">
        <f t="shared" si="24"/>
        <v>5</v>
      </c>
      <c r="J98" s="11"/>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s="1" customFormat="1" ht="18" hidden="1">
      <c r="A99" s="4" t="str">
        <f t="shared" si="16"/>
        <v>1.23</v>
      </c>
      <c r="B99" s="89" t="s">
        <v>39</v>
      </c>
      <c r="C99" s="1" t="s">
        <v>12</v>
      </c>
      <c r="D99" s="5"/>
      <c r="E99" s="6">
        <v>46134</v>
      </c>
      <c r="F99" s="7">
        <f t="shared" ref="F99:F100" si="25">IF(ISBLANK(E99)," - ",IF(G99=0,E99,E99+G99-1))</f>
        <v>46140</v>
      </c>
      <c r="G99" s="8">
        <v>7</v>
      </c>
      <c r="H99" s="9">
        <v>0</v>
      </c>
      <c r="I99" s="10">
        <f t="shared" ref="I99:I100" si="26">IF(OR(F99=0,E99=0)," - ",NETWORKDAYS(E99,F99))</f>
        <v>5</v>
      </c>
      <c r="J99" s="11"/>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s="1" customFormat="1" ht="18" hidden="1">
      <c r="A100" s="4" t="str">
        <f t="shared" si="16"/>
        <v>1.24</v>
      </c>
      <c r="B100" s="89" t="s">
        <v>40</v>
      </c>
      <c r="C100" s="1" t="s">
        <v>13</v>
      </c>
      <c r="D100" s="5"/>
      <c r="E100" s="6">
        <v>46141</v>
      </c>
      <c r="F100" s="7">
        <f t="shared" si="25"/>
        <v>46147</v>
      </c>
      <c r="G100" s="8">
        <v>7</v>
      </c>
      <c r="H100" s="9">
        <v>0</v>
      </c>
      <c r="I100" s="10">
        <f t="shared" si="26"/>
        <v>5</v>
      </c>
      <c r="J100" s="11"/>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s="1" customFormat="1" ht="18" hidden="1">
      <c r="A101" s="4" t="str">
        <f t="shared" si="16"/>
        <v>1.25</v>
      </c>
      <c r="B101" s="89" t="s">
        <v>41</v>
      </c>
      <c r="C101" s="1" t="s">
        <v>13</v>
      </c>
      <c r="D101" s="5"/>
      <c r="E101" s="6">
        <v>46141</v>
      </c>
      <c r="F101" s="7">
        <f t="shared" ref="F101:F103" si="27">IF(ISBLANK(E101)," - ",IF(G101=0,E101,E101+G101-1))</f>
        <v>46147</v>
      </c>
      <c r="G101" s="8">
        <v>7</v>
      </c>
      <c r="H101" s="9">
        <v>0</v>
      </c>
      <c r="I101" s="10">
        <f t="shared" ref="I101:I103" si="28">IF(OR(F101=0,E101=0)," - ",NETWORKDAYS(E101,F101))</f>
        <v>5</v>
      </c>
      <c r="J101" s="11"/>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s="1" customFormat="1" ht="18" hidden="1">
      <c r="A102" s="4" t="str">
        <f t="shared" si="16"/>
        <v>1.26</v>
      </c>
      <c r="B102" s="89" t="s">
        <v>42</v>
      </c>
      <c r="C102" s="1" t="s">
        <v>13</v>
      </c>
      <c r="D102" s="5"/>
      <c r="E102" s="6">
        <v>46148</v>
      </c>
      <c r="F102" s="7">
        <f t="shared" si="27"/>
        <v>46154</v>
      </c>
      <c r="G102" s="8">
        <v>7</v>
      </c>
      <c r="H102" s="9">
        <v>0</v>
      </c>
      <c r="I102" s="10">
        <f t="shared" si="28"/>
        <v>5</v>
      </c>
      <c r="J102" s="11"/>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s="1" customFormat="1" ht="18" hidden="1">
      <c r="A103" s="4" t="str">
        <f t="shared" si="16"/>
        <v>1.27</v>
      </c>
      <c r="B103" s="89" t="s">
        <v>43</v>
      </c>
      <c r="C103" s="1" t="s">
        <v>13</v>
      </c>
      <c r="D103" s="5"/>
      <c r="E103" s="6">
        <v>46148</v>
      </c>
      <c r="F103" s="7">
        <f t="shared" si="27"/>
        <v>46154</v>
      </c>
      <c r="G103" s="8">
        <v>7</v>
      </c>
      <c r="H103" s="9">
        <v>0</v>
      </c>
      <c r="I103" s="10">
        <f t="shared" si="28"/>
        <v>5</v>
      </c>
      <c r="J103" s="11"/>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s="55" customFormat="1" ht="18" hidden="1">
      <c r="A104" s="91" t="str">
        <f>IF(ISERROR(VALUE(SUBSTITUTE(prevWBS,".",""))),"1",IF(ISERROR(FIND("`",SUBSTITUTE(prevWBS,".","`",1))),TEXT(VALUE(prevWBS)+1,"#"),TEXT(VALUE(LEFT(prevWBS,FIND("`",SUBSTITUTE(prevWBS,".","`",1))-1))+1,"#")))</f>
        <v>2</v>
      </c>
      <c r="B104" s="92" t="s">
        <v>44</v>
      </c>
      <c r="D104" s="93"/>
      <c r="E104" s="94"/>
      <c r="F104" s="94" t="str">
        <f t="shared" si="23"/>
        <v xml:space="preserve"> - </v>
      </c>
      <c r="G104" s="95"/>
      <c r="H104" s="96"/>
      <c r="I104" s="97" t="str">
        <f t="shared" si="24"/>
        <v xml:space="preserve"> - </v>
      </c>
      <c r="J104" s="98"/>
      <c r="K104" s="99"/>
      <c r="L104" s="99"/>
      <c r="M104" s="99"/>
      <c r="N104" s="99"/>
      <c r="O104" s="99"/>
      <c r="P104" s="99"/>
      <c r="Q104" s="99"/>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c r="AO104" s="99"/>
      <c r="AP104" s="99"/>
      <c r="AQ104" s="99"/>
      <c r="AR104" s="99"/>
      <c r="AS104" s="99"/>
      <c r="AT104" s="99"/>
      <c r="AU104" s="99"/>
      <c r="AV104" s="99"/>
      <c r="AW104" s="99"/>
      <c r="AX104" s="99"/>
      <c r="AY104" s="99"/>
      <c r="AZ104" s="99"/>
      <c r="BA104" s="99"/>
      <c r="BB104" s="99"/>
      <c r="BC104" s="99"/>
      <c r="BD104" s="99"/>
      <c r="BE104" s="99"/>
      <c r="BF104" s="99"/>
      <c r="BG104" s="99"/>
      <c r="BH104" s="99"/>
      <c r="BI104" s="99"/>
      <c r="BJ104" s="99"/>
      <c r="BK104" s="99"/>
      <c r="BL104" s="99"/>
      <c r="BM104" s="99"/>
      <c r="BN104" s="99"/>
    </row>
    <row r="105" spans="1:66" s="1" customFormat="1" ht="18" hidden="1">
      <c r="A105" s="4" t="str">
        <f t="shared" si="16"/>
        <v>2.1</v>
      </c>
      <c r="B105" s="3" t="s">
        <v>45</v>
      </c>
      <c r="C105" s="1" t="s">
        <v>24</v>
      </c>
      <c r="D105" s="5"/>
      <c r="E105" s="6">
        <v>46034</v>
      </c>
      <c r="F105" s="7">
        <f t="shared" si="23"/>
        <v>46038</v>
      </c>
      <c r="G105" s="8">
        <v>5</v>
      </c>
      <c r="H105" s="9">
        <v>0</v>
      </c>
      <c r="I105" s="10">
        <f t="shared" si="24"/>
        <v>5</v>
      </c>
      <c r="J105" s="11"/>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s="1" customFormat="1" ht="18" hidden="1">
      <c r="A106" s="4" t="str">
        <f t="shared" si="16"/>
        <v>2.2</v>
      </c>
      <c r="B106" s="3" t="s">
        <v>46</v>
      </c>
      <c r="C106" s="1" t="s">
        <v>47</v>
      </c>
      <c r="D106" s="5"/>
      <c r="E106" s="6">
        <v>46023</v>
      </c>
      <c r="F106" s="7">
        <f t="shared" si="23"/>
        <v>46032</v>
      </c>
      <c r="G106" s="8">
        <v>10</v>
      </c>
      <c r="H106" s="9">
        <v>0</v>
      </c>
      <c r="I106" s="10">
        <v>6</v>
      </c>
      <c r="J106" s="11"/>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s="1" customFormat="1" ht="45" hidden="1" customHeight="1">
      <c r="A107" s="4" t="str">
        <f t="shared" si="16"/>
        <v>2.3</v>
      </c>
      <c r="B107" s="3" t="s">
        <v>48</v>
      </c>
      <c r="C107" s="1" t="s">
        <v>16</v>
      </c>
      <c r="D107" s="5"/>
      <c r="E107" s="6">
        <v>46034</v>
      </c>
      <c r="F107" s="7">
        <f t="shared" si="23"/>
        <v>46038</v>
      </c>
      <c r="G107" s="8">
        <v>5</v>
      </c>
      <c r="H107" s="9">
        <v>0</v>
      </c>
      <c r="I107" s="10">
        <v>5</v>
      </c>
      <c r="J107" s="11"/>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s="55" customFormat="1" ht="18" hidden="1">
      <c r="A108" s="91" t="str">
        <f>IF(ISERROR(VALUE(SUBSTITUTE(prevWBS,".",""))),"1",IF(ISERROR(FIND("`",SUBSTITUTE(prevWBS,".","`",1))),TEXT(VALUE(prevWBS)+1,"#"),TEXT(VALUE(LEFT(prevWBS,FIND("`",SUBSTITUTE(prevWBS,".","`",1))-1))+1,"#")))</f>
        <v>3</v>
      </c>
      <c r="B108" s="92" t="s">
        <v>49</v>
      </c>
      <c r="D108" s="93"/>
      <c r="E108" s="94"/>
      <c r="F108" s="94" t="str">
        <f t="shared" ref="F108:F113" si="29">IF(ISBLANK(E108)," - ",IF(G108=0,E108,E108+G108-1))</f>
        <v xml:space="preserve"> - </v>
      </c>
      <c r="G108" s="95"/>
      <c r="H108" s="96"/>
      <c r="I108" s="97" t="str">
        <f t="shared" ref="I108" si="30">IF(OR(F108=0,E108=0)," - ",NETWORKDAYS(E108,F108))</f>
        <v xml:space="preserve"> - </v>
      </c>
      <c r="J108" s="98"/>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c r="AP108" s="99"/>
      <c r="AQ108" s="99"/>
      <c r="AR108" s="99"/>
      <c r="AS108" s="99"/>
      <c r="AT108" s="99"/>
      <c r="AU108" s="99"/>
      <c r="AV108" s="99"/>
      <c r="AW108" s="99"/>
      <c r="AX108" s="99"/>
      <c r="AY108" s="99"/>
      <c r="AZ108" s="99"/>
      <c r="BA108" s="99"/>
      <c r="BB108" s="99"/>
      <c r="BC108" s="99"/>
      <c r="BD108" s="99"/>
      <c r="BE108" s="99"/>
      <c r="BF108" s="99"/>
      <c r="BG108" s="99"/>
      <c r="BH108" s="99"/>
      <c r="BI108" s="99"/>
      <c r="BJ108" s="99"/>
      <c r="BK108" s="99"/>
      <c r="BL108" s="99"/>
      <c r="BM108" s="99"/>
      <c r="BN108" s="99"/>
    </row>
    <row r="109" spans="1:66" s="1" customFormat="1" ht="18" hidden="1">
      <c r="A109" s="4" t="str">
        <f t="shared" si="16"/>
        <v>3.1</v>
      </c>
      <c r="B109" s="3" t="s">
        <v>50</v>
      </c>
      <c r="C109" s="1" t="s">
        <v>24</v>
      </c>
      <c r="D109" s="5"/>
      <c r="E109" s="6">
        <v>46041</v>
      </c>
      <c r="F109" s="7">
        <f t="shared" si="29"/>
        <v>46044</v>
      </c>
      <c r="G109" s="8">
        <v>4</v>
      </c>
      <c r="H109" s="9">
        <v>0</v>
      </c>
      <c r="I109" s="10">
        <v>4</v>
      </c>
      <c r="J109" s="11"/>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s="1" customFormat="1" ht="18" hidden="1">
      <c r="A110" s="4" t="str">
        <f t="shared" si="16"/>
        <v>3.2</v>
      </c>
      <c r="B110" s="3" t="s">
        <v>51</v>
      </c>
      <c r="C110" s="1" t="s">
        <v>16</v>
      </c>
      <c r="D110" s="5"/>
      <c r="E110" s="6">
        <v>46041</v>
      </c>
      <c r="F110" s="7">
        <f t="shared" si="29"/>
        <v>46044</v>
      </c>
      <c r="G110" s="8">
        <v>4</v>
      </c>
      <c r="H110" s="9">
        <v>0</v>
      </c>
      <c r="I110" s="10">
        <v>4</v>
      </c>
      <c r="J110" s="11"/>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s="1" customFormat="1" ht="18" hidden="1">
      <c r="A111" s="4" t="str">
        <f t="shared" si="16"/>
        <v>3.3</v>
      </c>
      <c r="B111" s="3" t="s">
        <v>52</v>
      </c>
      <c r="C111" s="1" t="s">
        <v>12</v>
      </c>
      <c r="D111" s="5"/>
      <c r="E111" s="6">
        <v>46045</v>
      </c>
      <c r="F111" s="7">
        <f t="shared" si="29"/>
        <v>46050</v>
      </c>
      <c r="G111" s="8">
        <v>6</v>
      </c>
      <c r="H111" s="9">
        <v>0</v>
      </c>
      <c r="I111" s="10">
        <v>4</v>
      </c>
      <c r="J111" s="11"/>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s="1" customFormat="1" ht="18" hidden="1">
      <c r="A112" s="4" t="str">
        <f t="shared" si="16"/>
        <v>3.4</v>
      </c>
      <c r="B112" s="3" t="s">
        <v>53</v>
      </c>
      <c r="C112" s="1" t="s">
        <v>12</v>
      </c>
      <c r="D112" s="5"/>
      <c r="E112" s="6">
        <v>46051</v>
      </c>
      <c r="F112" s="7">
        <f t="shared" si="29"/>
        <v>46056</v>
      </c>
      <c r="G112" s="8">
        <v>6</v>
      </c>
      <c r="H112" s="9">
        <v>0</v>
      </c>
      <c r="I112" s="10">
        <v>4</v>
      </c>
      <c r="J112" s="11"/>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s="1" customFormat="1" ht="18" hidden="1">
      <c r="A113" s="4" t="str">
        <f t="shared" si="16"/>
        <v>3.5</v>
      </c>
      <c r="B113" s="3" t="s">
        <v>54</v>
      </c>
      <c r="C113" s="1" t="s">
        <v>13</v>
      </c>
      <c r="D113" s="5"/>
      <c r="E113" s="6">
        <v>46045</v>
      </c>
      <c r="F113" s="7">
        <f t="shared" si="29"/>
        <v>46050</v>
      </c>
      <c r="G113" s="8">
        <v>6</v>
      </c>
      <c r="H113" s="9">
        <v>0</v>
      </c>
      <c r="I113" s="10">
        <v>4</v>
      </c>
      <c r="J113" s="11"/>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s="55" customFormat="1" ht="18" hidden="1">
      <c r="A114" s="91" t="str">
        <f>IF(ISERROR(VALUE(SUBSTITUTE(prevWBS,".",""))),"1",IF(ISERROR(FIND("`",SUBSTITUTE(prevWBS,".","`",1))),TEXT(VALUE(prevWBS)+1,"#"),TEXT(VALUE(LEFT(prevWBS,FIND("`",SUBSTITUTE(prevWBS,".","`",1))-1))+1,"#")))</f>
        <v>4</v>
      </c>
      <c r="B114" s="92" t="s">
        <v>55</v>
      </c>
      <c r="D114" s="93"/>
      <c r="E114" s="94"/>
      <c r="F114" s="94" t="str">
        <f t="shared" ref="F114:F115" si="31">IF(ISBLANK(E114)," - ",IF(G114=0,E114,E114+G114-1))</f>
        <v xml:space="preserve"> - </v>
      </c>
      <c r="G114" s="95"/>
      <c r="H114" s="96"/>
      <c r="I114" s="97" t="str">
        <f t="shared" ref="I114" si="32">IF(OR(F114=0,E114=0)," - ",NETWORKDAYS(E114,F114))</f>
        <v xml:space="preserve"> - </v>
      </c>
      <c r="J114" s="98"/>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c r="AN114" s="99"/>
      <c r="AO114" s="99"/>
      <c r="AP114" s="99"/>
      <c r="AQ114" s="99"/>
      <c r="AR114" s="99"/>
      <c r="AS114" s="99"/>
      <c r="AT114" s="99"/>
      <c r="AU114" s="99"/>
      <c r="AV114" s="99"/>
      <c r="AW114" s="99"/>
      <c r="AX114" s="99"/>
      <c r="AY114" s="99"/>
      <c r="AZ114" s="99"/>
      <c r="BA114" s="99"/>
      <c r="BB114" s="99"/>
      <c r="BC114" s="99"/>
      <c r="BD114" s="99"/>
      <c r="BE114" s="99"/>
      <c r="BF114" s="99"/>
      <c r="BG114" s="99"/>
      <c r="BH114" s="99"/>
      <c r="BI114" s="99"/>
      <c r="BJ114" s="99"/>
      <c r="BK114" s="99"/>
      <c r="BL114" s="99"/>
      <c r="BM114" s="99"/>
      <c r="BN114" s="99"/>
    </row>
    <row r="115" spans="1:66" s="1" customFormat="1" ht="18" hidden="1">
      <c r="A115" s="4" t="str">
        <f t="shared" si="16"/>
        <v>4.1</v>
      </c>
      <c r="B115" s="3" t="s">
        <v>56</v>
      </c>
      <c r="C115" s="1" t="s">
        <v>24</v>
      </c>
      <c r="D115" s="5"/>
      <c r="E115" s="6">
        <v>46051</v>
      </c>
      <c r="F115" s="7">
        <f t="shared" si="31"/>
        <v>46056</v>
      </c>
      <c r="G115" s="8">
        <v>6</v>
      </c>
      <c r="H115" s="9">
        <v>0</v>
      </c>
      <c r="I115" s="10">
        <v>4</v>
      </c>
      <c r="J115" s="11"/>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sheetData>
  <sheetProtection formatCells="0" formatColumns="0" formatRows="0" insertRows="0" deleteRows="0"/>
  <autoFilter ref="A7:I60"/>
  <mergeCells count="19">
    <mergeCell ref="AM5:AS5"/>
    <mergeCell ref="AT5:AZ5"/>
    <mergeCell ref="BA5:BG5"/>
    <mergeCell ref="BH5:BN5"/>
    <mergeCell ref="C5:E5"/>
    <mergeCell ref="K5:Q5"/>
    <mergeCell ref="R5:X5"/>
    <mergeCell ref="Y5:AE5"/>
    <mergeCell ref="AF5:AL5"/>
    <mergeCell ref="AF4:AL4"/>
    <mergeCell ref="AM4:AS4"/>
    <mergeCell ref="AT4:AZ4"/>
    <mergeCell ref="BA4:BG4"/>
    <mergeCell ref="BH4:BN4"/>
    <mergeCell ref="K1:AE1"/>
    <mergeCell ref="C4:E4"/>
    <mergeCell ref="K4:Q4"/>
    <mergeCell ref="R4:X4"/>
    <mergeCell ref="Y4:AE4"/>
  </mergeCells>
  <conditionalFormatting sqref="H32">
    <cfRule type="dataBar" priority="136">
      <dataBar>
        <cfvo type="num" val="0"/>
        <cfvo type="num" val="1"/>
        <color theme="0" tint="-0.34998626667073579"/>
      </dataBar>
      <extLst>
        <ext xmlns:x14="http://schemas.microsoft.com/office/spreadsheetml/2009/9/main" uri="{B025F937-C7B1-47D3-B67F-A62EFF666E3E}">
          <x14:id>{64DE3F20-31B0-43D1-B0B2-3FA0FAB992EB}</x14:id>
        </ext>
      </extLst>
    </cfRule>
  </conditionalFormatting>
  <conditionalFormatting sqref="H33">
    <cfRule type="dataBar" priority="181">
      <dataBar>
        <cfvo type="num" val="0"/>
        <cfvo type="num" val="1"/>
        <color theme="0" tint="-0.34998626667073579"/>
      </dataBar>
      <extLst>
        <ext xmlns:x14="http://schemas.microsoft.com/office/spreadsheetml/2009/9/main" uri="{B025F937-C7B1-47D3-B67F-A62EFF666E3E}">
          <x14:id>{3D7DA7F9-34EF-413C-97FE-5C685264E782}</x14:id>
        </ext>
      </extLst>
    </cfRule>
  </conditionalFormatting>
  <conditionalFormatting sqref="H34">
    <cfRule type="dataBar" priority="177">
      <dataBar>
        <cfvo type="num" val="0"/>
        <cfvo type="num" val="1"/>
        <color theme="0" tint="-0.34998626667073579"/>
      </dataBar>
      <extLst>
        <ext xmlns:x14="http://schemas.microsoft.com/office/spreadsheetml/2009/9/main" uri="{B025F937-C7B1-47D3-B67F-A62EFF666E3E}">
          <x14:id>{2E4BEE17-1AD8-4EE1-ABFA-CE8DBB66F5B9}</x14:id>
        </ext>
      </extLst>
    </cfRule>
  </conditionalFormatting>
  <conditionalFormatting sqref="H35">
    <cfRule type="dataBar" priority="173">
      <dataBar>
        <cfvo type="num" val="0"/>
        <cfvo type="num" val="1"/>
        <color theme="0" tint="-0.34998626667073579"/>
      </dataBar>
      <extLst>
        <ext xmlns:x14="http://schemas.microsoft.com/office/spreadsheetml/2009/9/main" uri="{B025F937-C7B1-47D3-B67F-A62EFF666E3E}">
          <x14:id>{C34C3A4A-B2F1-4A99-BAAD-377AA832D261}</x14:id>
        </ext>
      </extLst>
    </cfRule>
  </conditionalFormatting>
  <conditionalFormatting sqref="H36">
    <cfRule type="dataBar" priority="169">
      <dataBar>
        <cfvo type="num" val="0"/>
        <cfvo type="num" val="1"/>
        <color theme="0" tint="-0.34998626667073579"/>
      </dataBar>
      <extLst>
        <ext xmlns:x14="http://schemas.microsoft.com/office/spreadsheetml/2009/9/main" uri="{B025F937-C7B1-47D3-B67F-A62EFF666E3E}">
          <x14:id>{E5CC2AB0-9781-47A5-83E2-8BB2D8186002}</x14:id>
        </ext>
      </extLst>
    </cfRule>
  </conditionalFormatting>
  <conditionalFormatting sqref="H37">
    <cfRule type="dataBar" priority="165">
      <dataBar>
        <cfvo type="num" val="0"/>
        <cfvo type="num" val="1"/>
        <color theme="0" tint="-0.34998626667073579"/>
      </dataBar>
      <extLst>
        <ext xmlns:x14="http://schemas.microsoft.com/office/spreadsheetml/2009/9/main" uri="{B025F937-C7B1-47D3-B67F-A62EFF666E3E}">
          <x14:id>{CE678E65-4430-4631-8C47-0FF523236192}</x14:id>
        </ext>
      </extLst>
    </cfRule>
  </conditionalFormatting>
  <conditionalFormatting sqref="H38">
    <cfRule type="dataBar" priority="157">
      <dataBar>
        <cfvo type="num" val="0"/>
        <cfvo type="num" val="1"/>
        <color theme="0" tint="-0.34998626667073579"/>
      </dataBar>
      <extLst>
        <ext xmlns:x14="http://schemas.microsoft.com/office/spreadsheetml/2009/9/main" uri="{B025F937-C7B1-47D3-B67F-A62EFF666E3E}">
          <x14:id>{51568B3E-4D28-4E71-862F-E0478DB892D9}</x14:id>
        </ext>
      </extLst>
    </cfRule>
  </conditionalFormatting>
  <conditionalFormatting sqref="H39">
    <cfRule type="dataBar" priority="153">
      <dataBar>
        <cfvo type="num" val="0"/>
        <cfvo type="num" val="1"/>
        <color theme="0" tint="-0.34998626667073579"/>
      </dataBar>
      <extLst>
        <ext xmlns:x14="http://schemas.microsoft.com/office/spreadsheetml/2009/9/main" uri="{B025F937-C7B1-47D3-B67F-A62EFF666E3E}">
          <x14:id>{4C8AB46A-D580-445F-8550-BA3B7D59E2CC}</x14:id>
        </ext>
      </extLst>
    </cfRule>
  </conditionalFormatting>
  <conditionalFormatting sqref="H45">
    <cfRule type="dataBar" priority="48">
      <dataBar>
        <cfvo type="num" val="0"/>
        <cfvo type="num" val="1"/>
        <color theme="0" tint="-0.34998626667073579"/>
      </dataBar>
      <extLst>
        <ext xmlns:x14="http://schemas.microsoft.com/office/spreadsheetml/2009/9/main" uri="{B025F937-C7B1-47D3-B67F-A62EFF666E3E}">
          <x14:id>{D04EE583-134D-478E-8AB2-5C89C9F8DA03}</x14:id>
        </ext>
      </extLst>
    </cfRule>
  </conditionalFormatting>
  <conditionalFormatting sqref="K45:BN45">
    <cfRule type="expression" dxfId="61" priority="45">
      <formula>K$6=TODAY()</formula>
    </cfRule>
  </conditionalFormatting>
  <conditionalFormatting sqref="H90">
    <cfRule type="dataBar" priority="241">
      <dataBar>
        <cfvo type="num" val="0"/>
        <cfvo type="num" val="1"/>
        <color theme="0" tint="-0.34998626667073579"/>
      </dataBar>
      <extLst>
        <ext xmlns:x14="http://schemas.microsoft.com/office/spreadsheetml/2009/9/main" uri="{B025F937-C7B1-47D3-B67F-A62EFF666E3E}">
          <x14:id>{3E29C452-C19C-45AA-819A-55686B848AA2}</x14:id>
        </ext>
      </extLst>
    </cfRule>
  </conditionalFormatting>
  <conditionalFormatting sqref="H91">
    <cfRule type="dataBar" priority="237">
      <dataBar>
        <cfvo type="num" val="0"/>
        <cfvo type="num" val="1"/>
        <color theme="0" tint="-0.34998626667073579"/>
      </dataBar>
      <extLst>
        <ext xmlns:x14="http://schemas.microsoft.com/office/spreadsheetml/2009/9/main" uri="{B025F937-C7B1-47D3-B67F-A62EFF666E3E}">
          <x14:id>{61761229-4066-4A43-ABBE-C3C05D55411E}</x14:id>
        </ext>
      </extLst>
    </cfRule>
  </conditionalFormatting>
  <conditionalFormatting sqref="H99">
    <cfRule type="dataBar" priority="233">
      <dataBar>
        <cfvo type="num" val="0"/>
        <cfvo type="num" val="1"/>
        <color theme="0" tint="-0.34998626667073579"/>
      </dataBar>
      <extLst>
        <ext xmlns:x14="http://schemas.microsoft.com/office/spreadsheetml/2009/9/main" uri="{B025F937-C7B1-47D3-B67F-A62EFF666E3E}">
          <x14:id>{4BD8555B-F8EF-4DEF-A90C-742D657B31B8}</x14:id>
        </ext>
      </extLst>
    </cfRule>
  </conditionalFormatting>
  <conditionalFormatting sqref="H100">
    <cfRule type="dataBar" priority="225">
      <dataBar>
        <cfvo type="num" val="0"/>
        <cfvo type="num" val="1"/>
        <color theme="0" tint="-0.34998626667073579"/>
      </dataBar>
      <extLst>
        <ext xmlns:x14="http://schemas.microsoft.com/office/spreadsheetml/2009/9/main" uri="{B025F937-C7B1-47D3-B67F-A62EFF666E3E}">
          <x14:id>{94D7114F-D901-499B-853B-A9D3F8D72229}</x14:id>
        </ext>
      </extLst>
    </cfRule>
  </conditionalFormatting>
  <conditionalFormatting sqref="H101">
    <cfRule type="dataBar" priority="221">
      <dataBar>
        <cfvo type="num" val="0"/>
        <cfvo type="num" val="1"/>
        <color theme="0" tint="-0.34998626667073579"/>
      </dataBar>
      <extLst>
        <ext xmlns:x14="http://schemas.microsoft.com/office/spreadsheetml/2009/9/main" uri="{B025F937-C7B1-47D3-B67F-A62EFF666E3E}">
          <x14:id>{28FE73B8-970E-4B74-B1CC-3AA74DA97C53}</x14:id>
        </ext>
      </extLst>
    </cfRule>
  </conditionalFormatting>
  <conditionalFormatting sqref="H102">
    <cfRule type="dataBar" priority="213">
      <dataBar>
        <cfvo type="num" val="0"/>
        <cfvo type="num" val="1"/>
        <color theme="0" tint="-0.34998626667073579"/>
      </dataBar>
      <extLst>
        <ext xmlns:x14="http://schemas.microsoft.com/office/spreadsheetml/2009/9/main" uri="{B025F937-C7B1-47D3-B67F-A62EFF666E3E}">
          <x14:id>{D563C6E6-3F8A-427E-9281-DCCE7BA88388}</x14:id>
        </ext>
      </extLst>
    </cfRule>
  </conditionalFormatting>
  <conditionalFormatting sqref="H103">
    <cfRule type="dataBar" priority="209">
      <dataBar>
        <cfvo type="num" val="0"/>
        <cfvo type="num" val="1"/>
        <color theme="0" tint="-0.34998626667073579"/>
      </dataBar>
      <extLst>
        <ext xmlns:x14="http://schemas.microsoft.com/office/spreadsheetml/2009/9/main" uri="{B025F937-C7B1-47D3-B67F-A62EFF666E3E}">
          <x14:id>{A26BCB48-3981-4275-86C9-8F9CCB05A23E}</x14:id>
        </ext>
      </extLst>
    </cfRule>
  </conditionalFormatting>
  <conditionalFormatting sqref="H104">
    <cfRule type="dataBar" priority="281">
      <dataBar>
        <cfvo type="num" val="0"/>
        <cfvo type="num" val="1"/>
        <color theme="0" tint="-0.34998626667073579"/>
      </dataBar>
      <extLst>
        <ext xmlns:x14="http://schemas.microsoft.com/office/spreadsheetml/2009/9/main" uri="{B025F937-C7B1-47D3-B67F-A62EFF666E3E}">
          <x14:id>{86DF5821-015A-4484-9B4F-444D478234BB}</x14:id>
        </ext>
      </extLst>
    </cfRule>
  </conditionalFormatting>
  <conditionalFormatting sqref="H108">
    <cfRule type="dataBar" priority="269">
      <dataBar>
        <cfvo type="num" val="0"/>
        <cfvo type="num" val="1"/>
        <color theme="0" tint="-0.34998626667073579"/>
      </dataBar>
      <extLst>
        <ext xmlns:x14="http://schemas.microsoft.com/office/spreadsheetml/2009/9/main" uri="{B025F937-C7B1-47D3-B67F-A62EFF666E3E}">
          <x14:id>{B3794FFA-68F2-4E38-B13B-C3A74F4F71CF}</x14:id>
        </ext>
      </extLst>
    </cfRule>
  </conditionalFormatting>
  <conditionalFormatting sqref="H114">
    <cfRule type="dataBar" priority="249">
      <dataBar>
        <cfvo type="num" val="0"/>
        <cfvo type="num" val="1"/>
        <color theme="0" tint="-0.34998626667073579"/>
      </dataBar>
      <extLst>
        <ext xmlns:x14="http://schemas.microsoft.com/office/spreadsheetml/2009/9/main" uri="{B025F937-C7B1-47D3-B67F-A62EFF666E3E}">
          <x14:id>{5F5C5C2F-C25C-4ED4-BA16-EDD220E27648}</x14:id>
        </ext>
      </extLst>
    </cfRule>
  </conditionalFormatting>
  <conditionalFormatting sqref="H115">
    <cfRule type="dataBar" priority="245">
      <dataBar>
        <cfvo type="num" val="0"/>
        <cfvo type="num" val="1"/>
        <color theme="0" tint="-0.34998626667073579"/>
      </dataBar>
      <extLst>
        <ext xmlns:x14="http://schemas.microsoft.com/office/spreadsheetml/2009/9/main" uri="{B025F937-C7B1-47D3-B67F-A62EFF666E3E}">
          <x14:id>{6523BA1B-CFC8-405A-93E8-D131011E3F73}</x14:id>
        </ext>
      </extLst>
    </cfRule>
  </conditionalFormatting>
  <conditionalFormatting sqref="H82:H86">
    <cfRule type="dataBar" priority="301">
      <dataBar>
        <cfvo type="num" val="0"/>
        <cfvo type="num" val="1"/>
        <color theme="0" tint="-0.34998626667073579"/>
      </dataBar>
      <extLst>
        <ext xmlns:x14="http://schemas.microsoft.com/office/spreadsheetml/2009/9/main" uri="{B025F937-C7B1-47D3-B67F-A62EFF666E3E}">
          <x14:id>{E87DE01A-8F41-4462-AF3B-619E8D6B67E5}</x14:id>
        </ext>
      </extLst>
    </cfRule>
  </conditionalFormatting>
  <conditionalFormatting sqref="H87:H89">
    <cfRule type="dataBar" priority="297">
      <dataBar>
        <cfvo type="num" val="0"/>
        <cfvo type="num" val="1"/>
        <color theme="0" tint="-0.34998626667073579"/>
      </dataBar>
      <extLst>
        <ext xmlns:x14="http://schemas.microsoft.com/office/spreadsheetml/2009/9/main" uri="{B025F937-C7B1-47D3-B67F-A62EFF666E3E}">
          <x14:id>{C078E29B-B0EA-4B50-B7F5-6A0A5CBDF788}</x14:id>
        </ext>
      </extLst>
    </cfRule>
  </conditionalFormatting>
  <conditionalFormatting sqref="H92:H96">
    <cfRule type="dataBar" priority="293">
      <dataBar>
        <cfvo type="num" val="0"/>
        <cfvo type="num" val="1"/>
        <color theme="0" tint="-0.34998626667073579"/>
      </dataBar>
      <extLst>
        <ext xmlns:x14="http://schemas.microsoft.com/office/spreadsheetml/2009/9/main" uri="{B025F937-C7B1-47D3-B67F-A62EFF666E3E}">
          <x14:id>{EC64BEEE-3E2C-4ED8-8C0A-82E233A8B6F3}</x14:id>
        </ext>
      </extLst>
    </cfRule>
  </conditionalFormatting>
  <conditionalFormatting sqref="H97:H98">
    <cfRule type="dataBar" priority="289">
      <dataBar>
        <cfvo type="num" val="0"/>
        <cfvo type="num" val="1"/>
        <color theme="0" tint="-0.34998626667073579"/>
      </dataBar>
      <extLst>
        <ext xmlns:x14="http://schemas.microsoft.com/office/spreadsheetml/2009/9/main" uri="{B025F937-C7B1-47D3-B67F-A62EFF666E3E}">
          <x14:id>{11425AF0-9CFC-42B8-84A7-DFBE45C809E7}</x14:id>
        </ext>
      </extLst>
    </cfRule>
  </conditionalFormatting>
  <conditionalFormatting sqref="H105:H107">
    <cfRule type="dataBar" priority="277">
      <dataBar>
        <cfvo type="num" val="0"/>
        <cfvo type="num" val="1"/>
        <color theme="0" tint="-0.34998626667073579"/>
      </dataBar>
      <extLst>
        <ext xmlns:x14="http://schemas.microsoft.com/office/spreadsheetml/2009/9/main" uri="{B025F937-C7B1-47D3-B67F-A62EFF666E3E}">
          <x14:id>{52AF7A61-F799-44F9-A1AE-629F62F1E696}</x14:id>
        </ext>
      </extLst>
    </cfRule>
  </conditionalFormatting>
  <conditionalFormatting sqref="H109:H113">
    <cfRule type="dataBar" priority="261">
      <dataBar>
        <cfvo type="num" val="0"/>
        <cfvo type="num" val="1"/>
        <color theme="0" tint="-0.34998626667073579"/>
      </dataBar>
      <extLst>
        <ext xmlns:x14="http://schemas.microsoft.com/office/spreadsheetml/2009/9/main" uri="{B025F937-C7B1-47D3-B67F-A62EFF666E3E}">
          <x14:id>{01264BB0-CDEA-485A-80E2-0525F0F2C226}</x14:id>
        </ext>
      </extLst>
    </cfRule>
  </conditionalFormatting>
  <conditionalFormatting sqref="K6:BN7">
    <cfRule type="expression" dxfId="60" priority="357">
      <formula>K$6=TODAY()</formula>
    </cfRule>
  </conditionalFormatting>
  <conditionalFormatting sqref="K6:BN10 K46:BN60 K20:BN44">
    <cfRule type="expression" dxfId="59" priority="49">
      <formula>K$6=TODAY()</formula>
    </cfRule>
  </conditionalFormatting>
  <conditionalFormatting sqref="H8:H10 H76:H81 H20:H31">
    <cfRule type="dataBar" priority="314">
      <dataBar>
        <cfvo type="num" val="0"/>
        <cfvo type="num" val="1"/>
        <color theme="0" tint="-0.34998626667073579"/>
      </dataBar>
      <extLst>
        <ext xmlns:x14="http://schemas.microsoft.com/office/spreadsheetml/2009/9/main" uri="{B025F937-C7B1-47D3-B67F-A62EFF666E3E}">
          <x14:id>{5629A077-AC46-4B24-A4FE-AA98EF2453D7}</x14:id>
        </ext>
      </extLst>
    </cfRule>
  </conditionalFormatting>
  <conditionalFormatting sqref="K8:BN10 K20:BN60">
    <cfRule type="expression" dxfId="58" priority="50">
      <formula>AND($E8&lt;=K$6,ROUNDDOWN(($F8-$E8+1)*$H8,0)+$E8-1&gt;=K$6)</formula>
    </cfRule>
    <cfRule type="expression" dxfId="57" priority="51">
      <formula>AND(NOT(ISBLANK($E8)),$E8&lt;=K$6,$F8&gt;=K$6)</formula>
    </cfRule>
  </conditionalFormatting>
  <conditionalFormatting sqref="H62:H75 H40:H44 H46:H60">
    <cfRule type="dataBar" priority="149">
      <dataBar>
        <cfvo type="num" val="0"/>
        <cfvo type="num" val="1"/>
        <color theme="0" tint="-0.34998626667073579"/>
      </dataBar>
      <extLst>
        <ext xmlns:x14="http://schemas.microsoft.com/office/spreadsheetml/2009/9/main" uri="{B025F937-C7B1-47D3-B67F-A62EFF666E3E}">
          <x14:id>{03F1B327-66B8-4A98-9EE4-A8FFA1EE7D03}</x14:id>
        </ext>
      </extLst>
    </cfRule>
  </conditionalFormatting>
  <conditionalFormatting sqref="K62:BN115">
    <cfRule type="expression" dxfId="56" priority="142">
      <formula>K$6=TODAY()</formula>
    </cfRule>
    <cfRule type="expression" dxfId="55" priority="143">
      <formula>AND($E62&lt;=K$6,ROUNDDOWN(($F62-$E62+1)*$H62,0)+$E62-1&gt;=K$6)</formula>
    </cfRule>
    <cfRule type="expression" dxfId="54" priority="144">
      <formula>AND(NOT(ISBLANK($E62)),$E62&lt;=K$6,$F62&gt;=K$6)</formula>
    </cfRule>
  </conditionalFormatting>
  <conditionalFormatting sqref="K61:BN61">
    <cfRule type="expression" dxfId="53" priority="41">
      <formula>K$6=TODAY()</formula>
    </cfRule>
  </conditionalFormatting>
  <conditionalFormatting sqref="K61:BN61">
    <cfRule type="expression" dxfId="52" priority="42">
      <formula>AND($E61&lt;=K$6,ROUNDDOWN(($F61-$E61+1)*$H61,0)+$E61-1&gt;=K$6)</formula>
    </cfRule>
    <cfRule type="expression" dxfId="51" priority="43">
      <formula>AND(NOT(ISBLANK($E61)),$E61&lt;=K$6,$F61&gt;=K$6)</formula>
    </cfRule>
  </conditionalFormatting>
  <conditionalFormatting sqref="H61">
    <cfRule type="dataBar" priority="44">
      <dataBar>
        <cfvo type="num" val="0"/>
        <cfvo type="num" val="1"/>
        <color theme="0" tint="-0.34998626667073579"/>
      </dataBar>
      <extLst>
        <ext xmlns:x14="http://schemas.microsoft.com/office/spreadsheetml/2009/9/main" uri="{B025F937-C7B1-47D3-B67F-A62EFF666E3E}">
          <x14:id>{C13B20E4-AE79-412E-95E4-B38A0427E8DA}</x14:id>
        </ext>
      </extLst>
    </cfRule>
  </conditionalFormatting>
  <conditionalFormatting sqref="K11:BN11">
    <cfRule type="expression" dxfId="47" priority="37">
      <formula>K$6=TODAY()</formula>
    </cfRule>
  </conditionalFormatting>
  <conditionalFormatting sqref="H11">
    <cfRule type="dataBar" priority="40">
      <dataBar>
        <cfvo type="num" val="0"/>
        <cfvo type="num" val="1"/>
        <color theme="0" tint="-0.34998626667073579"/>
      </dataBar>
      <extLst>
        <ext xmlns:x14="http://schemas.microsoft.com/office/spreadsheetml/2009/9/main" uri="{B025F937-C7B1-47D3-B67F-A62EFF666E3E}">
          <x14:id>{F8B5711A-28DA-4A45-9DA3-3BF3B281698E}</x14:id>
        </ext>
      </extLst>
    </cfRule>
  </conditionalFormatting>
  <conditionalFormatting sqref="K11:BN11">
    <cfRule type="expression" dxfId="46" priority="38">
      <formula>AND($E11&lt;=K$6,ROUNDDOWN(($F11-$E11+1)*$H11,0)+$E11-1&gt;=K$6)</formula>
    </cfRule>
    <cfRule type="expression" dxfId="45" priority="39">
      <formula>AND(NOT(ISBLANK($E11)),$E11&lt;=K$6,$F11&gt;=K$6)</formula>
    </cfRule>
  </conditionalFormatting>
  <conditionalFormatting sqref="K12:BN12">
    <cfRule type="expression" dxfId="44" priority="33">
      <formula>K$6=TODAY()</formula>
    </cfRule>
  </conditionalFormatting>
  <conditionalFormatting sqref="H12">
    <cfRule type="dataBar" priority="36">
      <dataBar>
        <cfvo type="num" val="0"/>
        <cfvo type="num" val="1"/>
        <color theme="0" tint="-0.34998626667073579"/>
      </dataBar>
      <extLst>
        <ext xmlns:x14="http://schemas.microsoft.com/office/spreadsheetml/2009/9/main" uri="{B025F937-C7B1-47D3-B67F-A62EFF666E3E}">
          <x14:id>{0D81511D-9F4B-46C8-B622-D1E2EEE4FF7C}</x14:id>
        </ext>
      </extLst>
    </cfRule>
  </conditionalFormatting>
  <conditionalFormatting sqref="K12:BN12">
    <cfRule type="expression" dxfId="43" priority="34">
      <formula>AND($E12&lt;=K$6,ROUNDDOWN(($F12-$E12+1)*$H12,0)+$E12-1&gt;=K$6)</formula>
    </cfRule>
    <cfRule type="expression" dxfId="42" priority="35">
      <formula>AND(NOT(ISBLANK($E12)),$E12&lt;=K$6,$F12&gt;=K$6)</formula>
    </cfRule>
  </conditionalFormatting>
  <conditionalFormatting sqref="K13:BN13">
    <cfRule type="expression" dxfId="41" priority="29">
      <formula>K$6=TODAY()</formula>
    </cfRule>
  </conditionalFormatting>
  <conditionalFormatting sqref="H13">
    <cfRule type="dataBar" priority="32">
      <dataBar>
        <cfvo type="num" val="0"/>
        <cfvo type="num" val="1"/>
        <color theme="0" tint="-0.34998626667073579"/>
      </dataBar>
      <extLst>
        <ext xmlns:x14="http://schemas.microsoft.com/office/spreadsheetml/2009/9/main" uri="{B025F937-C7B1-47D3-B67F-A62EFF666E3E}">
          <x14:id>{D3EB49A8-732E-4978-8490-D0E6045E5E2A}</x14:id>
        </ext>
      </extLst>
    </cfRule>
  </conditionalFormatting>
  <conditionalFormatting sqref="K13:BN13">
    <cfRule type="expression" dxfId="40" priority="30">
      <formula>AND($E13&lt;=K$6,ROUNDDOWN(($F13-$E13+1)*$H13,0)+$E13-1&gt;=K$6)</formula>
    </cfRule>
    <cfRule type="expression" dxfId="39" priority="31">
      <formula>AND(NOT(ISBLANK($E13)),$E13&lt;=K$6,$F13&gt;=K$6)</formula>
    </cfRule>
  </conditionalFormatting>
  <conditionalFormatting sqref="K14:BN14">
    <cfRule type="expression" dxfId="35" priority="21">
      <formula>K$6=TODAY()</formula>
    </cfRule>
  </conditionalFormatting>
  <conditionalFormatting sqref="H14">
    <cfRule type="dataBar" priority="24">
      <dataBar>
        <cfvo type="num" val="0"/>
        <cfvo type="num" val="1"/>
        <color theme="0" tint="-0.34998626667073579"/>
      </dataBar>
      <extLst>
        <ext xmlns:x14="http://schemas.microsoft.com/office/spreadsheetml/2009/9/main" uri="{B025F937-C7B1-47D3-B67F-A62EFF666E3E}">
          <x14:id>{245D4B9C-1887-4915-8D6C-1B34B636EF5A}</x14:id>
        </ext>
      </extLst>
    </cfRule>
  </conditionalFormatting>
  <conditionalFormatting sqref="K14:BN14">
    <cfRule type="expression" dxfId="33" priority="22">
      <formula>AND($E14&lt;=K$6,ROUNDDOWN(($F14-$E14+1)*$H14,0)+$E14-1&gt;=K$6)</formula>
    </cfRule>
    <cfRule type="expression" dxfId="32" priority="23">
      <formula>AND(NOT(ISBLANK($E14)),$E14&lt;=K$6,$F14&gt;=K$6)</formula>
    </cfRule>
  </conditionalFormatting>
  <conditionalFormatting sqref="K15:BN15">
    <cfRule type="expression" dxfId="29" priority="17">
      <formula>K$6=TODAY()</formula>
    </cfRule>
  </conditionalFormatting>
  <conditionalFormatting sqref="H15">
    <cfRule type="dataBar" priority="20">
      <dataBar>
        <cfvo type="num" val="0"/>
        <cfvo type="num" val="1"/>
        <color theme="0" tint="-0.34998626667073579"/>
      </dataBar>
      <extLst>
        <ext xmlns:x14="http://schemas.microsoft.com/office/spreadsheetml/2009/9/main" uri="{B025F937-C7B1-47D3-B67F-A62EFF666E3E}">
          <x14:id>{4568B528-59C6-4866-A20F-1846A43BEE92}</x14:id>
        </ext>
      </extLst>
    </cfRule>
  </conditionalFormatting>
  <conditionalFormatting sqref="K15:BN15">
    <cfRule type="expression" dxfId="27" priority="18">
      <formula>AND($E15&lt;=K$6,ROUNDDOWN(($F15-$E15+1)*$H15,0)+$E15-1&gt;=K$6)</formula>
    </cfRule>
    <cfRule type="expression" dxfId="26" priority="19">
      <formula>AND(NOT(ISBLANK($E15)),$E15&lt;=K$6,$F15&gt;=K$6)</formula>
    </cfRule>
  </conditionalFormatting>
  <conditionalFormatting sqref="K16:BN16">
    <cfRule type="expression" dxfId="23" priority="13">
      <formula>K$6=TODAY()</formula>
    </cfRule>
  </conditionalFormatting>
  <conditionalFormatting sqref="H16">
    <cfRule type="dataBar" priority="16">
      <dataBar>
        <cfvo type="num" val="0"/>
        <cfvo type="num" val="1"/>
        <color theme="0" tint="-0.34998626667073579"/>
      </dataBar>
      <extLst>
        <ext xmlns:x14="http://schemas.microsoft.com/office/spreadsheetml/2009/9/main" uri="{B025F937-C7B1-47D3-B67F-A62EFF666E3E}">
          <x14:id>{8B78C828-0EC9-4D27-A317-DCE5F9772278}</x14:id>
        </ext>
      </extLst>
    </cfRule>
  </conditionalFormatting>
  <conditionalFormatting sqref="K16:BN16">
    <cfRule type="expression" dxfId="21" priority="14">
      <formula>AND($E16&lt;=K$6,ROUNDDOWN(($F16-$E16+1)*$H16,0)+$E16-1&gt;=K$6)</formula>
    </cfRule>
    <cfRule type="expression" dxfId="20" priority="15">
      <formula>AND(NOT(ISBLANK($E16)),$E16&lt;=K$6,$F16&gt;=K$6)</formula>
    </cfRule>
  </conditionalFormatting>
  <conditionalFormatting sqref="K17:BN17">
    <cfRule type="expression" dxfId="17" priority="9">
      <formula>K$6=TODAY()</formula>
    </cfRule>
  </conditionalFormatting>
  <conditionalFormatting sqref="H17">
    <cfRule type="dataBar" priority="12">
      <dataBar>
        <cfvo type="num" val="0"/>
        <cfvo type="num" val="1"/>
        <color theme="0" tint="-0.34998626667073579"/>
      </dataBar>
      <extLst>
        <ext xmlns:x14="http://schemas.microsoft.com/office/spreadsheetml/2009/9/main" uri="{B025F937-C7B1-47D3-B67F-A62EFF666E3E}">
          <x14:id>{744AA1D1-2C79-46BE-B16D-F689C0C86C1F}</x14:id>
        </ext>
      </extLst>
    </cfRule>
  </conditionalFormatting>
  <conditionalFormatting sqref="K17:BN17">
    <cfRule type="expression" dxfId="15" priority="10">
      <formula>AND($E17&lt;=K$6,ROUNDDOWN(($F17-$E17+1)*$H17,0)+$E17-1&gt;=K$6)</formula>
    </cfRule>
    <cfRule type="expression" dxfId="14" priority="11">
      <formula>AND(NOT(ISBLANK($E17)),$E17&lt;=K$6,$F17&gt;=K$6)</formula>
    </cfRule>
  </conditionalFormatting>
  <conditionalFormatting sqref="K18:BN18">
    <cfRule type="expression" dxfId="11" priority="5">
      <formula>K$6=TODAY()</formula>
    </cfRule>
  </conditionalFormatting>
  <conditionalFormatting sqref="H18">
    <cfRule type="dataBar" priority="8">
      <dataBar>
        <cfvo type="num" val="0"/>
        <cfvo type="num" val="1"/>
        <color theme="0" tint="-0.34998626667073579"/>
      </dataBar>
      <extLst>
        <ext xmlns:x14="http://schemas.microsoft.com/office/spreadsheetml/2009/9/main" uri="{B025F937-C7B1-47D3-B67F-A62EFF666E3E}">
          <x14:id>{ACDA7B6A-6FEC-4DA0-9BA2-4DDD98F6040B}</x14:id>
        </ext>
      </extLst>
    </cfRule>
  </conditionalFormatting>
  <conditionalFormatting sqref="K18:BN18">
    <cfRule type="expression" dxfId="9" priority="6">
      <formula>AND($E18&lt;=K$6,ROUNDDOWN(($F18-$E18+1)*$H18,0)+$E18-1&gt;=K$6)</formula>
    </cfRule>
    <cfRule type="expression" dxfId="8" priority="7">
      <formula>AND(NOT(ISBLANK($E18)),$E18&lt;=K$6,$F18&gt;=K$6)</formula>
    </cfRule>
  </conditionalFormatting>
  <conditionalFormatting sqref="K19:BN19">
    <cfRule type="expression" dxfId="5" priority="1">
      <formula>K$6=TODAY()</formula>
    </cfRule>
  </conditionalFormatting>
  <conditionalFormatting sqref="H19">
    <cfRule type="dataBar" priority="4">
      <dataBar>
        <cfvo type="num" val="0"/>
        <cfvo type="num" val="1"/>
        <color theme="0" tint="-0.34998626667073579"/>
      </dataBar>
      <extLst>
        <ext xmlns:x14="http://schemas.microsoft.com/office/spreadsheetml/2009/9/main" uri="{B025F937-C7B1-47D3-B67F-A62EFF666E3E}">
          <x14:id>{B51E55A7-D56E-4385-BD89-10CBF8887736}</x14:id>
        </ext>
      </extLst>
    </cfRule>
  </conditionalFormatting>
  <conditionalFormatting sqref="K19:BN19">
    <cfRule type="expression" dxfId="3" priority="2">
      <formula>AND($E19&lt;=K$6,ROUNDDOWN(($F19-$E19+1)*$H19,0)+$E19-1&gt;=K$6)</formula>
    </cfRule>
    <cfRule type="expression" dxfId="2" priority="3">
      <formula>AND(NOT(ISBLANK($E19)),$E19&lt;=K$6,$F19&gt;=K$6)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75" bottom="0.75" header="0.3" footer="0.3"/>
  <pageSetup paperSize="9" scale="36" orientation="portrait" r:id="rId1"/>
  <headerFooter alignWithMargins="0"/>
  <ignoredErrors>
    <ignoredError sqref="A76" formula="1"/>
    <ignoredError sqref="H78:H80 G76:H76 E7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64DE3F20-31B0-43D1-B0B2-3FA0FAB992EB}">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3D7DA7F9-34EF-413C-97FE-5C685264E782}">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2E4BEE17-1AD8-4EE1-ABFA-CE8DBB66F5B9}">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C34C3A4A-B2F1-4A99-BAAD-377AA832D261}">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E5CC2AB0-9781-47A5-83E2-8BB2D8186002}">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CE678E65-4430-4631-8C47-0FF523236192}">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51568B3E-4D28-4E71-862F-E0478DB892D9}">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4C8AB46A-D580-445F-8550-BA3B7D59E2CC}">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D04EE583-134D-478E-8AB2-5C89C9F8DA03}">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3E29C452-C19C-45AA-819A-55686B848AA2}">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61761229-4066-4A43-ABBE-C3C05D55411E}">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4BD8555B-F8EF-4DEF-A90C-742D657B31B8}">
            <x14:dataBar minLength="0" maxLength="100" gradient="0">
              <x14:cfvo type="num">
                <xm:f>0</xm:f>
              </x14:cfvo>
              <x14:cfvo type="num">
                <xm:f>1</xm:f>
              </x14:cfvo>
              <x14:negativeFillColor rgb="FFFF0000"/>
              <x14:axisColor rgb="FF000000"/>
            </x14:dataBar>
          </x14:cfRule>
          <xm:sqref>H99</xm:sqref>
        </x14:conditionalFormatting>
        <x14:conditionalFormatting xmlns:xm="http://schemas.microsoft.com/office/excel/2006/main">
          <x14:cfRule type="dataBar" id="{94D7114F-D901-499B-853B-A9D3F8D72229}">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28FE73B8-970E-4B74-B1CC-3AA74DA97C53}">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D563C6E6-3F8A-427E-9281-DCCE7BA88388}">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A26BCB48-3981-4275-86C9-8F9CCB05A23E}">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86DF5821-015A-4484-9B4F-444D478234BB}">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B3794FFA-68F2-4E38-B13B-C3A74F4F71CF}">
            <x14:dataBar minLength="0" maxLength="100" gradient="0">
              <x14:cfvo type="num">
                <xm:f>0</xm:f>
              </x14:cfvo>
              <x14:cfvo type="num">
                <xm:f>1</xm:f>
              </x14:cfvo>
              <x14:negativeFillColor rgb="FFFF0000"/>
              <x14:axisColor rgb="FF000000"/>
            </x14:dataBar>
          </x14:cfRule>
          <xm:sqref>H108</xm:sqref>
        </x14:conditionalFormatting>
        <x14:conditionalFormatting xmlns:xm="http://schemas.microsoft.com/office/excel/2006/main">
          <x14:cfRule type="dataBar" id="{5F5C5C2F-C25C-4ED4-BA16-EDD220E27648}">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6523BA1B-CFC8-405A-93E8-D131011E3F73}">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E87DE01A-8F41-4462-AF3B-619E8D6B67E5}">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C078E29B-B0EA-4B50-B7F5-6A0A5CBDF788}">
            <x14:dataBar minLength="0" maxLength="100" gradient="0">
              <x14:cfvo type="num">
                <xm:f>0</xm:f>
              </x14:cfvo>
              <x14:cfvo type="num">
                <xm:f>1</xm:f>
              </x14:cfvo>
              <x14:negativeFillColor rgb="FFFF0000"/>
              <x14:axisColor rgb="FF000000"/>
            </x14:dataBar>
          </x14:cfRule>
          <xm:sqref>H87:H89</xm:sqref>
        </x14:conditionalFormatting>
        <x14:conditionalFormatting xmlns:xm="http://schemas.microsoft.com/office/excel/2006/main">
          <x14:cfRule type="dataBar" id="{EC64BEEE-3E2C-4ED8-8C0A-82E233A8B6F3}">
            <x14:dataBar minLength="0" maxLength="100" gradient="0">
              <x14:cfvo type="num">
                <xm:f>0</xm:f>
              </x14:cfvo>
              <x14:cfvo type="num">
                <xm:f>1</xm:f>
              </x14:cfvo>
              <x14:negativeFillColor rgb="FFFF0000"/>
              <x14:axisColor rgb="FF000000"/>
            </x14:dataBar>
          </x14:cfRule>
          <xm:sqref>H92:H96</xm:sqref>
        </x14:conditionalFormatting>
        <x14:conditionalFormatting xmlns:xm="http://schemas.microsoft.com/office/excel/2006/main">
          <x14:cfRule type="dataBar" id="{11425AF0-9CFC-42B8-84A7-DFBE45C809E7}">
            <x14:dataBar minLength="0" maxLength="100" gradient="0">
              <x14:cfvo type="num">
                <xm:f>0</xm:f>
              </x14:cfvo>
              <x14:cfvo type="num">
                <xm:f>1</xm:f>
              </x14:cfvo>
              <x14:negativeFillColor rgb="FFFF0000"/>
              <x14:axisColor rgb="FF000000"/>
            </x14:dataBar>
          </x14:cfRule>
          <xm:sqref>H97:H98</xm:sqref>
        </x14:conditionalFormatting>
        <x14:conditionalFormatting xmlns:xm="http://schemas.microsoft.com/office/excel/2006/main">
          <x14:cfRule type="dataBar" id="{52AF7A61-F799-44F9-A1AE-629F62F1E696}">
            <x14:dataBar minLength="0" maxLength="100" gradient="0">
              <x14:cfvo type="num">
                <xm:f>0</xm:f>
              </x14:cfvo>
              <x14:cfvo type="num">
                <xm:f>1</xm:f>
              </x14:cfvo>
              <x14:negativeFillColor rgb="FFFF0000"/>
              <x14:axisColor rgb="FF000000"/>
            </x14:dataBar>
          </x14:cfRule>
          <xm:sqref>H105:H107</xm:sqref>
        </x14:conditionalFormatting>
        <x14:conditionalFormatting xmlns:xm="http://schemas.microsoft.com/office/excel/2006/main">
          <x14:cfRule type="dataBar" id="{01264BB0-CDEA-485A-80E2-0525F0F2C226}">
            <x14:dataBar minLength="0" maxLength="100" gradient="0">
              <x14:cfvo type="num">
                <xm:f>0</xm:f>
              </x14:cfvo>
              <x14:cfvo type="num">
                <xm:f>1</xm:f>
              </x14:cfvo>
              <x14:negativeFillColor rgb="FFFF0000"/>
              <x14:axisColor rgb="FF000000"/>
            </x14:dataBar>
          </x14:cfRule>
          <xm:sqref>H109:H113</xm:sqref>
        </x14:conditionalFormatting>
        <x14:conditionalFormatting xmlns:xm="http://schemas.microsoft.com/office/excel/2006/main">
          <x14:cfRule type="dataBar" id="{5629A077-AC46-4B24-A4FE-AA98EF2453D7}">
            <x14:dataBar minLength="0" maxLength="100" gradient="0">
              <x14:cfvo type="num">
                <xm:f>0</xm:f>
              </x14:cfvo>
              <x14:cfvo type="num">
                <xm:f>1</xm:f>
              </x14:cfvo>
              <x14:negativeFillColor rgb="FFFF0000"/>
              <x14:axisColor rgb="FF000000"/>
            </x14:dataBar>
          </x14:cfRule>
          <xm:sqref>H8:H10 H76:H81 H20:H31</xm:sqref>
        </x14:conditionalFormatting>
        <x14:conditionalFormatting xmlns:xm="http://schemas.microsoft.com/office/excel/2006/main">
          <x14:cfRule type="dataBar" id="{03F1B327-66B8-4A98-9EE4-A8FFA1EE7D03}">
            <x14:dataBar minLength="0" maxLength="100" gradient="0">
              <x14:cfvo type="num">
                <xm:f>0</xm:f>
              </x14:cfvo>
              <x14:cfvo type="num">
                <xm:f>1</xm:f>
              </x14:cfvo>
              <x14:negativeFillColor rgb="FFFF0000"/>
              <x14:axisColor rgb="FF000000"/>
            </x14:dataBar>
          </x14:cfRule>
          <xm:sqref>H62:H75 H40:H44 H46:H60</xm:sqref>
        </x14:conditionalFormatting>
        <x14:conditionalFormatting xmlns:xm="http://schemas.microsoft.com/office/excel/2006/main">
          <x14:cfRule type="dataBar" id="{C13B20E4-AE79-412E-95E4-B38A0427E8DA}">
            <x14:dataBar minLength="0" maxLength="100" gradient="0">
              <x14:cfvo type="num">
                <xm:f>0</xm:f>
              </x14:cfvo>
              <x14:cfvo type="num">
                <xm:f>1</xm:f>
              </x14:cfvo>
              <x14:negativeFillColor rgb="FFFF0000"/>
              <x14:axisColor rgb="FF000000"/>
            </x14:dataBar>
          </x14:cfRule>
          <xm:sqref>H61</xm:sqref>
        </x14:conditionalFormatting>
        <x14:conditionalFormatting xmlns:xm="http://schemas.microsoft.com/office/excel/2006/main">
          <x14:cfRule type="dataBar" id="{F8B5711A-28DA-4A45-9DA3-3BF3B281698E}">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0D81511D-9F4B-46C8-B622-D1E2EEE4FF7C}">
            <x14:dataBar minLength="0" maxLength="100" gradient="0">
              <x14:cfvo type="num">
                <xm:f>0</xm:f>
              </x14:cfvo>
              <x14:cfvo type="num">
                <xm:f>1</xm:f>
              </x14:cfvo>
              <x14:negativeFillColor rgb="FFFF0000"/>
              <x14:axisColor rgb="FF000000"/>
            </x14:dataBar>
          </x14:cfRule>
          <xm:sqref>H12</xm:sqref>
        </x14:conditionalFormatting>
        <x14:conditionalFormatting xmlns:xm="http://schemas.microsoft.com/office/excel/2006/main">
          <x14:cfRule type="dataBar" id="{D3EB49A8-732E-4978-8490-D0E6045E5E2A}">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245D4B9C-1887-4915-8D6C-1B34B636EF5A}">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4568B528-59C6-4866-A20F-1846A43BEE92}">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8B78C828-0EC9-4D27-A317-DCE5F9772278}">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744AA1D1-2C79-46BE-B16D-F689C0C86C1F}">
            <x14:dataBar minLength="0" maxLength="100" gradient="0">
              <x14:cfvo type="num">
                <xm:f>0</xm:f>
              </x14:cfvo>
              <x14:cfvo type="num">
                <xm:f>1</xm:f>
              </x14:cfvo>
              <x14:negativeFillColor rgb="FFFF0000"/>
              <x14:axisColor rgb="FF000000"/>
            </x14:dataBar>
          </x14:cfRule>
          <xm:sqref>H17</xm:sqref>
        </x14:conditionalFormatting>
        <x14:conditionalFormatting xmlns:xm="http://schemas.microsoft.com/office/excel/2006/main">
          <x14:cfRule type="dataBar" id="{ACDA7B6A-6FEC-4DA0-9BA2-4DDD98F6040B}">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B51E55A7-D56E-4385-BD89-10CBF8887736}">
            <x14:dataBar minLength="0" maxLength="100" gradient="0">
              <x14:cfvo type="num">
                <xm:f>0</xm:f>
              </x14:cfvo>
              <x14:cfvo type="num">
                <xm:f>1</xm:f>
              </x14:cfvo>
              <x14:negativeFillColor rgb="FFFF0000"/>
              <x14:axisColor rgb="FF000000"/>
            </x14:dataBar>
          </x14:cfRule>
          <xm:sqref>H19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46"/>
  <sheetViews>
    <sheetView showGridLines="0" workbookViewId="0"/>
  </sheetViews>
  <sheetFormatPr defaultColWidth="9" defaultRowHeight="12.75"/>
  <cols>
    <col min="1" max="1" width="5.5703125" customWidth="1"/>
    <col min="2" max="2" width="37.7109375" customWidth="1"/>
    <col min="3" max="3" width="55.140625" customWidth="1"/>
    <col min="4" max="7" width="8.85546875"/>
  </cols>
  <sheetData>
    <row r="1" spans="1:3" ht="30" customHeight="1">
      <c r="A1" s="51" t="s">
        <v>57</v>
      </c>
    </row>
    <row r="4" spans="1:3">
      <c r="C4" s="36" t="s">
        <v>58</v>
      </c>
    </row>
    <row r="5" spans="1:3">
      <c r="C5" t="s">
        <v>59</v>
      </c>
    </row>
    <row r="7" spans="1:3" ht="18">
      <c r="C7" s="52" t="s">
        <v>60</v>
      </c>
    </row>
    <row r="8" spans="1:3">
      <c r="C8" s="53" t="s">
        <v>61</v>
      </c>
    </row>
    <row r="10" spans="1:3">
      <c r="C10" t="s">
        <v>62</v>
      </c>
    </row>
    <row r="11" spans="1:3">
      <c r="C11" t="s">
        <v>63</v>
      </c>
    </row>
    <row r="13" spans="1:3" ht="18">
      <c r="C13" s="52" t="s">
        <v>64</v>
      </c>
    </row>
    <row r="16" spans="1:3" ht="15.75">
      <c r="A16" s="27" t="s">
        <v>65</v>
      </c>
    </row>
    <row r="18" spans="2:2" ht="15">
      <c r="B18" s="54" t="s">
        <v>66</v>
      </c>
    </row>
    <row r="19" spans="2:2">
      <c r="B19" t="s">
        <v>67</v>
      </c>
    </row>
    <row r="20" spans="2:2">
      <c r="B20" t="s">
        <v>68</v>
      </c>
    </row>
    <row r="22" spans="2:2" ht="15">
      <c r="B22" s="54" t="s">
        <v>69</v>
      </c>
    </row>
    <row r="23" spans="2:2">
      <c r="B23" t="s">
        <v>70</v>
      </c>
    </row>
    <row r="24" spans="2:2">
      <c r="B24" t="s">
        <v>71</v>
      </c>
    </row>
    <row r="26" spans="2:2" ht="15">
      <c r="B26" s="54" t="s">
        <v>72</v>
      </c>
    </row>
    <row r="27" spans="2:2">
      <c r="B27" t="s">
        <v>73</v>
      </c>
    </row>
    <row r="28" spans="2:2">
      <c r="B28" t="s">
        <v>74</v>
      </c>
    </row>
    <row r="29" spans="2:2">
      <c r="B29" t="s">
        <v>75</v>
      </c>
    </row>
    <row r="30" spans="2:2">
      <c r="B30" t="s">
        <v>76</v>
      </c>
    </row>
    <row r="31" spans="2:2">
      <c r="B31" t="s">
        <v>77</v>
      </c>
    </row>
    <row r="32" spans="2:2">
      <c r="B32" t="s">
        <v>78</v>
      </c>
    </row>
    <row r="34" spans="2:2" ht="15">
      <c r="B34" s="54" t="s">
        <v>79</v>
      </c>
    </row>
    <row r="35" spans="2:2">
      <c r="B35" t="s">
        <v>80</v>
      </c>
    </row>
    <row r="36" spans="2:2">
      <c r="B36" t="s">
        <v>81</v>
      </c>
    </row>
    <row r="37" spans="2:2">
      <c r="B37" t="s">
        <v>82</v>
      </c>
    </row>
    <row r="39" spans="2:2" ht="15">
      <c r="B39" s="54" t="s">
        <v>83</v>
      </c>
    </row>
    <row r="40" spans="2:2">
      <c r="B40" t="s">
        <v>84</v>
      </c>
    </row>
    <row r="42" spans="2:2" ht="15">
      <c r="B42" s="54" t="s">
        <v>85</v>
      </c>
    </row>
    <row r="43" spans="2:2">
      <c r="B43" t="s">
        <v>86</v>
      </c>
    </row>
    <row r="44" spans="2:2">
      <c r="B44" t="s">
        <v>87</v>
      </c>
    </row>
    <row r="46" spans="2:2" ht="18">
      <c r="B46" s="52" t="s">
        <v>88</v>
      </c>
    </row>
  </sheetData>
  <hyperlinks>
    <hyperlink ref="C7" r:id="rId1"/>
    <hyperlink ref="B46" r:id="rId2" tooltip="Go to Vertex42.com"/>
    <hyperlink ref="C13" r:id="rId3"/>
  </hyperlinks>
  <pageMargins left="0.7" right="0.7" top="0.75" bottom="0.75" header="0.3" footer="0.3"/>
  <pageSetup scale="93"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94"/>
  <sheetViews>
    <sheetView showGridLines="0" workbookViewId="0"/>
  </sheetViews>
  <sheetFormatPr defaultColWidth="8.85546875" defaultRowHeight="12.75"/>
  <cols>
    <col min="1" max="1" width="5.5703125" customWidth="1"/>
    <col min="2" max="2" width="90.42578125" customWidth="1"/>
    <col min="3" max="3" width="16.42578125" customWidth="1"/>
  </cols>
  <sheetData>
    <row r="1" spans="1:3" ht="30" customHeight="1">
      <c r="A1" s="12" t="s">
        <v>89</v>
      </c>
      <c r="B1" s="23"/>
    </row>
    <row r="2" spans="1:3" ht="14.25">
      <c r="A2" s="24" t="s">
        <v>61</v>
      </c>
      <c r="B2" s="25"/>
    </row>
    <row r="3" spans="1:3">
      <c r="B3" s="25"/>
    </row>
    <row r="4" spans="1:3" ht="18">
      <c r="A4" s="26" t="s">
        <v>90</v>
      </c>
      <c r="B4" s="27"/>
    </row>
    <row r="5" spans="1:3" ht="57">
      <c r="B5" s="28" t="s">
        <v>91</v>
      </c>
    </row>
    <row r="7" spans="1:3" ht="28.5">
      <c r="B7" s="28" t="s">
        <v>92</v>
      </c>
    </row>
    <row r="9" spans="1:3" ht="14.25">
      <c r="B9" s="24" t="s">
        <v>93</v>
      </c>
    </row>
    <row r="11" spans="1:3" ht="28.5">
      <c r="B11" s="29" t="s">
        <v>94</v>
      </c>
    </row>
    <row r="13" spans="1:3" ht="18">
      <c r="A13" s="117" t="s">
        <v>95</v>
      </c>
      <c r="B13" s="117"/>
    </row>
    <row r="15" spans="1:3" s="22" customFormat="1" ht="18">
      <c r="A15" s="30"/>
      <c r="B15" s="31" t="s">
        <v>96</v>
      </c>
    </row>
    <row r="16" spans="1:3" s="22" customFormat="1" ht="18">
      <c r="A16" s="30"/>
      <c r="B16" s="31" t="s">
        <v>97</v>
      </c>
      <c r="C16" s="32" t="s">
        <v>98</v>
      </c>
    </row>
    <row r="17" spans="1:3" ht="18">
      <c r="A17" s="33"/>
      <c r="B17" s="31" t="s">
        <v>99</v>
      </c>
    </row>
    <row r="18" spans="1:3" ht="18">
      <c r="A18" s="33"/>
      <c r="B18" s="31" t="s">
        <v>100</v>
      </c>
    </row>
    <row r="19" spans="1:3" ht="18">
      <c r="A19" s="33"/>
      <c r="B19" s="31" t="s">
        <v>101</v>
      </c>
    </row>
    <row r="20" spans="1:3" s="22" customFormat="1" ht="18">
      <c r="A20" s="30"/>
      <c r="B20" s="31" t="s">
        <v>102</v>
      </c>
      <c r="C20" s="34" t="s">
        <v>103</v>
      </c>
    </row>
    <row r="21" spans="1:3" ht="18">
      <c r="A21" s="33"/>
      <c r="B21" s="31" t="s">
        <v>104</v>
      </c>
    </row>
    <row r="22" spans="1:3" ht="18">
      <c r="A22" s="33"/>
      <c r="B22" s="35" t="s">
        <v>105</v>
      </c>
    </row>
    <row r="23" spans="1:3" ht="18">
      <c r="A23" s="33"/>
      <c r="B23" s="36"/>
    </row>
    <row r="24" spans="1:3" ht="18">
      <c r="A24" s="117" t="s">
        <v>106</v>
      </c>
      <c r="B24" s="117"/>
    </row>
    <row r="25" spans="1:3" ht="43.5">
      <c r="A25" s="33"/>
      <c r="B25" s="31" t="s">
        <v>107</v>
      </c>
    </row>
    <row r="26" spans="1:3" ht="18">
      <c r="A26" s="33"/>
      <c r="B26" s="31"/>
    </row>
    <row r="27" spans="1:3" ht="18">
      <c r="A27" s="33"/>
      <c r="B27" s="37" t="s">
        <v>108</v>
      </c>
    </row>
    <row r="28" spans="1:3" ht="18">
      <c r="A28" s="33"/>
      <c r="B28" s="31" t="s">
        <v>109</v>
      </c>
    </row>
    <row r="29" spans="1:3" ht="28.5">
      <c r="A29" s="33"/>
      <c r="B29" s="31" t="s">
        <v>110</v>
      </c>
    </row>
    <row r="30" spans="1:3" ht="18">
      <c r="A30" s="33"/>
      <c r="B30" s="31"/>
    </row>
    <row r="31" spans="1:3" ht="18">
      <c r="A31" s="33"/>
      <c r="B31" s="37" t="s">
        <v>111</v>
      </c>
    </row>
    <row r="32" spans="1:3" ht="18">
      <c r="A32" s="33"/>
      <c r="B32" s="31" t="s">
        <v>112</v>
      </c>
    </row>
    <row r="33" spans="1:2" ht="18">
      <c r="A33" s="33"/>
      <c r="B33" s="31" t="s">
        <v>113</v>
      </c>
    </row>
    <row r="34" spans="1:2" ht="18">
      <c r="A34" s="33"/>
      <c r="B34" s="36"/>
    </row>
    <row r="35" spans="1:2" ht="28.5">
      <c r="A35" s="33"/>
      <c r="B35" s="31" t="s">
        <v>114</v>
      </c>
    </row>
    <row r="36" spans="1:2" ht="18">
      <c r="A36" s="33"/>
      <c r="B36" s="38" t="s">
        <v>115</v>
      </c>
    </row>
    <row r="37" spans="1:2" ht="18">
      <c r="A37" s="33"/>
      <c r="B37" s="36"/>
    </row>
    <row r="38" spans="1:2" ht="18">
      <c r="A38" s="117" t="s">
        <v>116</v>
      </c>
      <c r="B38" s="117"/>
    </row>
    <row r="39" spans="1:2" ht="28.5">
      <c r="B39" s="31" t="s">
        <v>117</v>
      </c>
    </row>
    <row r="41" spans="1:2" ht="14.25">
      <c r="B41" s="31" t="s">
        <v>118</v>
      </c>
    </row>
    <row r="43" spans="1:2" ht="28.5">
      <c r="B43" s="31" t="s">
        <v>119</v>
      </c>
    </row>
    <row r="45" spans="1:2" ht="28.5">
      <c r="B45" s="31" t="s">
        <v>120</v>
      </c>
    </row>
    <row r="46" spans="1:2">
      <c r="B46" s="39"/>
    </row>
    <row r="47" spans="1:2" ht="28.5">
      <c r="B47" s="31" t="s">
        <v>121</v>
      </c>
    </row>
    <row r="49" spans="1:2" ht="18">
      <c r="A49" s="117" t="s">
        <v>122</v>
      </c>
      <c r="B49" s="117"/>
    </row>
    <row r="50" spans="1:2" ht="28.5">
      <c r="B50" s="31" t="s">
        <v>123</v>
      </c>
    </row>
    <row r="52" spans="1:2" ht="14.25">
      <c r="A52" s="40" t="s">
        <v>124</v>
      </c>
      <c r="B52" s="31" t="s">
        <v>125</v>
      </c>
    </row>
    <row r="53" spans="1:2" ht="14.25">
      <c r="A53" s="40" t="s">
        <v>126</v>
      </c>
      <c r="B53" s="31" t="s">
        <v>127</v>
      </c>
    </row>
    <row r="54" spans="1:2" ht="14.25">
      <c r="A54" s="40" t="s">
        <v>128</v>
      </c>
      <c r="B54" s="31" t="s">
        <v>129</v>
      </c>
    </row>
    <row r="55" spans="1:2" ht="28.5">
      <c r="A55" s="29"/>
      <c r="B55" s="31" t="s">
        <v>130</v>
      </c>
    </row>
    <row r="56" spans="1:2" ht="28.5">
      <c r="A56" s="29"/>
      <c r="B56" s="31" t="s">
        <v>131</v>
      </c>
    </row>
    <row r="57" spans="1:2" ht="14.25">
      <c r="A57" s="40" t="s">
        <v>132</v>
      </c>
      <c r="B57" s="31" t="s">
        <v>133</v>
      </c>
    </row>
    <row r="58" spans="1:2" ht="14.25">
      <c r="A58" s="29"/>
      <c r="B58" s="31" t="s">
        <v>134</v>
      </c>
    </row>
    <row r="59" spans="1:2" ht="14.25">
      <c r="A59" s="29"/>
      <c r="B59" s="31" t="s">
        <v>135</v>
      </c>
    </row>
    <row r="60" spans="1:2" ht="14.25">
      <c r="A60" s="40" t="s">
        <v>136</v>
      </c>
      <c r="B60" s="31" t="s">
        <v>137</v>
      </c>
    </row>
    <row r="61" spans="1:2" ht="28.5">
      <c r="A61" s="29"/>
      <c r="B61" s="31" t="s">
        <v>138</v>
      </c>
    </row>
    <row r="62" spans="1:2" ht="14.25">
      <c r="A62" s="40" t="s">
        <v>139</v>
      </c>
      <c r="B62" s="31" t="s">
        <v>140</v>
      </c>
    </row>
    <row r="63" spans="1:2" ht="14.25">
      <c r="A63" s="41"/>
      <c r="B63" s="31" t="s">
        <v>141</v>
      </c>
    </row>
    <row r="64" spans="1:2">
      <c r="B64" s="42"/>
    </row>
    <row r="65" spans="1:2" ht="18">
      <c r="A65" s="117" t="s">
        <v>142</v>
      </c>
      <c r="B65" s="117"/>
    </row>
    <row r="66" spans="1:2" ht="42.75">
      <c r="B66" s="31" t="s">
        <v>143</v>
      </c>
    </row>
    <row r="68" spans="1:2" ht="18">
      <c r="A68" s="117" t="s">
        <v>144</v>
      </c>
      <c r="B68" s="117"/>
    </row>
    <row r="69" spans="1:2" ht="15">
      <c r="A69" s="43" t="s">
        <v>145</v>
      </c>
      <c r="B69" s="44" t="s">
        <v>146</v>
      </c>
    </row>
    <row r="70" spans="1:2" ht="28.5">
      <c r="A70" s="41"/>
      <c r="B70" s="45" t="s">
        <v>147</v>
      </c>
    </row>
    <row r="71" spans="1:2" ht="14.25">
      <c r="A71" s="41"/>
      <c r="B71" s="46"/>
    </row>
    <row r="72" spans="1:2" ht="15">
      <c r="A72" s="43" t="s">
        <v>145</v>
      </c>
      <c r="B72" s="44" t="s">
        <v>148</v>
      </c>
    </row>
    <row r="73" spans="1:2" ht="28.5">
      <c r="A73" s="41"/>
      <c r="B73" s="45" t="s">
        <v>149</v>
      </c>
    </row>
    <row r="74" spans="1:2" ht="14.25">
      <c r="A74" s="41"/>
      <c r="B74" s="46"/>
    </row>
    <row r="75" spans="1:2" ht="15">
      <c r="A75" s="43" t="s">
        <v>145</v>
      </c>
      <c r="B75" s="47" t="s">
        <v>150</v>
      </c>
    </row>
    <row r="76" spans="1:2" ht="42.75">
      <c r="A76" s="41"/>
      <c r="B76" s="28" t="s">
        <v>151</v>
      </c>
    </row>
    <row r="77" spans="1:2" ht="14.25">
      <c r="A77" s="41"/>
      <c r="B77" s="41"/>
    </row>
    <row r="78" spans="1:2" ht="15">
      <c r="A78" s="43" t="s">
        <v>145</v>
      </c>
      <c r="B78" s="47" t="s">
        <v>152</v>
      </c>
    </row>
    <row r="79" spans="1:2" ht="28.5">
      <c r="A79" s="41"/>
      <c r="B79" s="28" t="s">
        <v>153</v>
      </c>
    </row>
    <row r="80" spans="1:2" ht="14.25">
      <c r="A80" s="41"/>
      <c r="B80" s="41"/>
    </row>
    <row r="81" spans="1:2" ht="15">
      <c r="A81" s="43" t="s">
        <v>145</v>
      </c>
      <c r="B81" s="47" t="s">
        <v>154</v>
      </c>
    </row>
    <row r="82" spans="1:2" ht="14.25">
      <c r="A82" s="41"/>
      <c r="B82" s="48" t="s">
        <v>155</v>
      </c>
    </row>
    <row r="83" spans="1:2" ht="14.25">
      <c r="A83" s="41"/>
      <c r="B83" s="48" t="s">
        <v>156</v>
      </c>
    </row>
    <row r="84" spans="1:2" ht="14.25">
      <c r="A84" s="41"/>
      <c r="B84" s="48" t="s">
        <v>157</v>
      </c>
    </row>
    <row r="85" spans="1:2" ht="15">
      <c r="A85" s="41"/>
      <c r="B85" s="49"/>
    </row>
    <row r="86" spans="1:2" ht="15">
      <c r="A86" s="43" t="s">
        <v>145</v>
      </c>
      <c r="B86" s="47" t="s">
        <v>158</v>
      </c>
    </row>
    <row r="87" spans="1:2" ht="42.75">
      <c r="A87" s="41"/>
      <c r="B87" s="28" t="s">
        <v>159</v>
      </c>
    </row>
    <row r="88" spans="1:2" ht="14.25">
      <c r="A88" s="41"/>
      <c r="B88" s="100" t="s">
        <v>160</v>
      </c>
    </row>
    <row r="89" spans="1:2" ht="57">
      <c r="A89" s="41"/>
      <c r="B89" s="101" t="s">
        <v>161</v>
      </c>
    </row>
    <row r="90" spans="1:2" ht="14.25">
      <c r="A90" s="41"/>
      <c r="B90" s="41"/>
    </row>
    <row r="91" spans="1:2" ht="15">
      <c r="A91" s="43" t="s">
        <v>145</v>
      </c>
      <c r="B91" s="47" t="s">
        <v>162</v>
      </c>
    </row>
    <row r="92" spans="1:2" ht="28.5">
      <c r="A92" s="29"/>
      <c r="B92" s="48" t="s">
        <v>163</v>
      </c>
    </row>
    <row r="94" spans="1:2">
      <c r="A94" s="50" t="s">
        <v>164</v>
      </c>
    </row>
  </sheetData>
  <mergeCells count="6">
    <mergeCell ref="A68:B68"/>
    <mergeCell ref="A13:B13"/>
    <mergeCell ref="A24:B24"/>
    <mergeCell ref="A38:B38"/>
    <mergeCell ref="A49:B49"/>
    <mergeCell ref="A65:B65"/>
  </mergeCells>
  <hyperlinks>
    <hyperlink ref="B9" r:id="rId1"/>
    <hyperlink ref="A2" r:id="rId2"/>
    <hyperlink ref="B36" r:id="rId3"/>
  </hyperlinks>
  <pageMargins left="0.5" right="0.5" top="0.25" bottom="0.25" header="0.5" footer="0.5"/>
  <pageSetup orientation="portrait"/>
  <headerFooter alignWithMargins="0"/>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9"/>
  <sheetViews>
    <sheetView showGridLines="0" workbookViewId="0"/>
  </sheetViews>
  <sheetFormatPr defaultColWidth="8.85546875" defaultRowHeight="12.75"/>
  <cols>
    <col min="1" max="1" width="5.5703125" customWidth="1"/>
    <col min="2" max="2" width="82.140625" customWidth="1"/>
  </cols>
  <sheetData>
    <row r="1" spans="1:3" ht="30" customHeight="1">
      <c r="A1" s="12" t="s">
        <v>165</v>
      </c>
      <c r="B1" s="12"/>
    </row>
    <row r="2" spans="1:3" ht="15">
      <c r="B2" s="13"/>
    </row>
    <row r="3" spans="1:3" ht="15">
      <c r="A3" s="14"/>
      <c r="B3" s="15" t="s">
        <v>166</v>
      </c>
      <c r="C3" s="14"/>
    </row>
    <row r="4" spans="1:3" ht="14.25">
      <c r="A4" s="16"/>
      <c r="B4" s="17" t="s">
        <v>61</v>
      </c>
      <c r="C4" s="16"/>
    </row>
    <row r="5" spans="1:3" ht="15">
      <c r="A5" s="16"/>
      <c r="B5" s="18"/>
      <c r="C5" s="16"/>
    </row>
    <row r="6" spans="1:3" ht="15.75">
      <c r="A6" s="16"/>
      <c r="B6" s="19" t="s">
        <v>164</v>
      </c>
      <c r="C6" s="16"/>
    </row>
    <row r="7" spans="1:3" ht="15">
      <c r="A7" s="16"/>
      <c r="B7" s="18"/>
      <c r="C7" s="16"/>
    </row>
    <row r="8" spans="1:3" ht="30">
      <c r="A8" s="16"/>
      <c r="B8" s="18" t="s">
        <v>167</v>
      </c>
      <c r="C8" s="16"/>
    </row>
    <row r="9" spans="1:3" ht="15">
      <c r="A9" s="16"/>
      <c r="B9" s="18"/>
      <c r="C9" s="16"/>
    </row>
    <row r="10" spans="1:3" ht="46.5">
      <c r="A10" s="16"/>
      <c r="B10" s="18" t="s">
        <v>168</v>
      </c>
      <c r="C10" s="16"/>
    </row>
    <row r="11" spans="1:3" ht="15">
      <c r="A11" s="16"/>
      <c r="B11" s="18"/>
      <c r="C11" s="16"/>
    </row>
    <row r="12" spans="1:3" ht="45">
      <c r="A12" s="16"/>
      <c r="B12" s="18" t="s">
        <v>169</v>
      </c>
      <c r="C12" s="16"/>
    </row>
    <row r="13" spans="1:3" ht="15">
      <c r="A13" s="16"/>
      <c r="B13" s="18"/>
      <c r="C13" s="16"/>
    </row>
    <row r="14" spans="1:3" ht="60">
      <c r="A14" s="16"/>
      <c r="B14" s="18" t="s">
        <v>170</v>
      </c>
      <c r="C14" s="16"/>
    </row>
    <row r="15" spans="1:3" ht="15">
      <c r="A15" s="16"/>
      <c r="B15" s="18"/>
      <c r="C15" s="16"/>
    </row>
    <row r="16" spans="1:3" ht="30.75">
      <c r="A16" s="16"/>
      <c r="B16" s="18" t="s">
        <v>171</v>
      </c>
      <c r="C16" s="16"/>
    </row>
    <row r="17" spans="1:3" ht="15">
      <c r="A17" s="16"/>
      <c r="B17" s="18"/>
      <c r="C17" s="16"/>
    </row>
    <row r="18" spans="1:3" ht="15.75">
      <c r="A18" s="16"/>
      <c r="B18" s="19" t="s">
        <v>172</v>
      </c>
      <c r="C18" s="16"/>
    </row>
    <row r="19" spans="1:3" ht="15">
      <c r="A19" s="16"/>
      <c r="B19" s="20" t="s">
        <v>173</v>
      </c>
      <c r="C19" s="16"/>
    </row>
    <row r="20" spans="1:3" ht="15">
      <c r="A20" s="16"/>
      <c r="B20" s="21"/>
      <c r="C20" s="16"/>
    </row>
    <row r="21" spans="1:3">
      <c r="A21" s="16"/>
      <c r="B21" s="16"/>
      <c r="C21" s="16"/>
    </row>
    <row r="22" spans="1:3">
      <c r="A22" s="16"/>
      <c r="B22" s="16"/>
      <c r="C22" s="16"/>
    </row>
    <row r="23" spans="1:3">
      <c r="A23" s="16"/>
      <c r="B23" s="16"/>
      <c r="C23" s="16"/>
    </row>
    <row r="24" spans="1:3">
      <c r="A24" s="16"/>
      <c r="B24" s="16"/>
      <c r="C24" s="16"/>
    </row>
    <row r="25" spans="1:3">
      <c r="A25" s="16"/>
      <c r="B25" s="16"/>
      <c r="C25" s="16"/>
    </row>
    <row r="26" spans="1:3">
      <c r="A26" s="16"/>
      <c r="B26" s="16"/>
      <c r="C26" s="16"/>
    </row>
    <row r="27" spans="1:3">
      <c r="A27" s="16"/>
      <c r="B27" s="16"/>
      <c r="C27" s="16"/>
    </row>
    <row r="28" spans="1:3">
      <c r="A28" s="16"/>
      <c r="B28" s="16"/>
      <c r="C28" s="16"/>
    </row>
    <row r="29" spans="1:3">
      <c r="A29" s="16"/>
      <c r="B29" s="16"/>
      <c r="C29" s="16"/>
    </row>
  </sheetData>
  <hyperlinks>
    <hyperlink ref="B4" r:id="rId1"/>
    <hyperlink ref="B19" r:id="rId2"/>
  </hyperlinks>
  <pageMargins left="0.7" right="0.7" top="0.75" bottom="0.75" header="0.3" footer="0.3"/>
  <pageSetup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workbookViewId="0">
      <selection activeCell="C15" sqref="C15"/>
    </sheetView>
  </sheetViews>
  <sheetFormatPr defaultColWidth="9" defaultRowHeight="12.75"/>
  <cols>
    <col min="1" max="1" width="70.7109375" customWidth="1"/>
  </cols>
  <sheetData>
    <row r="1" spans="1:13" ht="37.5" customHeight="1">
      <c r="A1" s="118" t="s">
        <v>180</v>
      </c>
      <c r="B1" s="118"/>
      <c r="C1" s="118"/>
      <c r="D1" s="118"/>
      <c r="E1" s="118"/>
      <c r="F1" s="118"/>
      <c r="G1" s="118"/>
      <c r="H1" s="118"/>
      <c r="I1" s="118"/>
      <c r="J1" s="118"/>
      <c r="K1" s="118"/>
      <c r="L1" s="118"/>
      <c r="M1" s="118"/>
    </row>
    <row r="9" spans="1:13">
      <c r="A9" s="107"/>
    </row>
    <row r="10" spans="1:13">
      <c r="A10" s="107"/>
    </row>
  </sheetData>
  <mergeCells count="1">
    <mergeCell ref="A1:M1"/>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2"/>
  <sheetViews>
    <sheetView workbookViewId="0">
      <selection activeCell="A22" sqref="A22"/>
    </sheetView>
  </sheetViews>
  <sheetFormatPr defaultColWidth="9" defaultRowHeight="12.75"/>
  <cols>
    <col min="1" max="1" width="66.140625" customWidth="1"/>
    <col min="2" max="2" width="42" customWidth="1"/>
  </cols>
  <sheetData>
    <row r="1" spans="1:66" ht="15">
      <c r="A1" s="2"/>
      <c r="B1" s="3"/>
    </row>
    <row r="2" spans="1:66" ht="15">
      <c r="A2" s="2"/>
      <c r="B2" s="3"/>
    </row>
    <row r="3" spans="1:66" ht="15">
      <c r="A3" s="2" t="s">
        <v>174</v>
      </c>
      <c r="B3" s="3"/>
    </row>
    <row r="4" spans="1:66" ht="15">
      <c r="A4" s="2" t="s">
        <v>175</v>
      </c>
      <c r="B4" s="3"/>
    </row>
    <row r="5" spans="1:66" ht="15">
      <c r="A5" s="2" t="s">
        <v>176</v>
      </c>
      <c r="B5" s="3"/>
    </row>
    <row r="6" spans="1:66">
      <c r="A6" s="2" t="s">
        <v>177</v>
      </c>
    </row>
    <row r="7" spans="1:66">
      <c r="A7" s="2" t="s">
        <v>178</v>
      </c>
    </row>
    <row r="13" spans="1:66" s="1" customFormat="1" ht="18">
      <c r="A1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13" s="2" t="s">
        <v>174</v>
      </c>
      <c r="C13" s="1" t="s">
        <v>13</v>
      </c>
      <c r="D13" s="5"/>
      <c r="E13" s="6">
        <f>GanttChart!F59+1</f>
        <v>1</v>
      </c>
      <c r="F13" s="7">
        <f t="shared" ref="F13:F17" si="0">IF(ISBLANK(E13)," - ",IF(G13=0,E13,E13+G13-1))</f>
        <v>2</v>
      </c>
      <c r="G13" s="8">
        <v>2</v>
      </c>
      <c r="H13" s="9">
        <v>0</v>
      </c>
      <c r="I13" s="10">
        <f t="shared" ref="I13:I17" si="1">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0.2</v>
      </c>
      <c r="B14" s="2" t="s">
        <v>175</v>
      </c>
      <c r="C14" s="1" t="s">
        <v>12</v>
      </c>
      <c r="D14" s="5"/>
      <c r="E14" s="6">
        <f>GanttChart!F60+1</f>
        <v>1</v>
      </c>
      <c r="F14" s="7">
        <f t="shared" si="0"/>
        <v>4</v>
      </c>
      <c r="G14" s="8">
        <v>4</v>
      </c>
      <c r="H14" s="9">
        <v>0</v>
      </c>
      <c r="I14" s="10">
        <f t="shared" si="1"/>
        <v>3</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0.3</v>
      </c>
      <c r="B15" s="2" t="s">
        <v>176</v>
      </c>
      <c r="C15" s="1" t="s">
        <v>13</v>
      </c>
      <c r="D15" s="5"/>
      <c r="E15" s="6">
        <f t="shared" ref="E15:E17" si="2">F13+1</f>
        <v>3</v>
      </c>
      <c r="F15" s="7">
        <f t="shared" si="0"/>
        <v>6</v>
      </c>
      <c r="G15" s="8">
        <v>4</v>
      </c>
      <c r="H15" s="9">
        <v>0</v>
      </c>
      <c r="I15" s="10">
        <f t="shared" si="1"/>
        <v>4</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0.4</v>
      </c>
      <c r="B16" s="2" t="s">
        <v>177</v>
      </c>
      <c r="C16" s="1" t="s">
        <v>12</v>
      </c>
      <c r="D16" s="5"/>
      <c r="E16" s="6">
        <f t="shared" si="2"/>
        <v>5</v>
      </c>
      <c r="F16" s="7">
        <f t="shared" si="0"/>
        <v>6</v>
      </c>
      <c r="G16" s="8">
        <v>2</v>
      </c>
      <c r="H16" s="9">
        <v>0</v>
      </c>
      <c r="I16" s="10">
        <f t="shared" si="1"/>
        <v>2</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0.5</v>
      </c>
      <c r="B17" s="2" t="s">
        <v>178</v>
      </c>
      <c r="C17" s="1" t="s">
        <v>13</v>
      </c>
      <c r="D17" s="5"/>
      <c r="E17" s="6">
        <f t="shared" si="2"/>
        <v>7</v>
      </c>
      <c r="F17" s="7">
        <f t="shared" si="0"/>
        <v>8</v>
      </c>
      <c r="G17" s="8">
        <v>2</v>
      </c>
      <c r="H17" s="9">
        <v>0</v>
      </c>
      <c r="I17" s="10">
        <f t="shared" si="1"/>
        <v>0</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22" spans="1:66">
      <c r="A22" t="s">
        <v>179</v>
      </c>
    </row>
  </sheetData>
  <conditionalFormatting sqref="H13">
    <cfRule type="dataBar" priority="20">
      <dataBar>
        <cfvo type="num" val="0"/>
        <cfvo type="num" val="1"/>
        <color theme="0" tint="-0.34998626667073579"/>
      </dataBar>
      <extLst>
        <ext xmlns:x14="http://schemas.microsoft.com/office/spreadsheetml/2009/9/main" uri="{B025F937-C7B1-47D3-B67F-A62EFF666E3E}">
          <x14:id>{BAE600E7-FE4A-406D-A0A0-D49AD13AF25E}</x14:id>
        </ext>
      </extLst>
    </cfRule>
  </conditionalFormatting>
  <conditionalFormatting sqref="H14">
    <cfRule type="dataBar" priority="16">
      <dataBar>
        <cfvo type="num" val="0"/>
        <cfvo type="num" val="1"/>
        <color theme="0" tint="-0.34998626667073579"/>
      </dataBar>
      <extLst>
        <ext xmlns:x14="http://schemas.microsoft.com/office/spreadsheetml/2009/9/main" uri="{B025F937-C7B1-47D3-B67F-A62EFF666E3E}">
          <x14:id>{5C19D324-34A6-430A-912B-754B3A96CBE3}</x14:id>
        </ext>
      </extLst>
    </cfRule>
  </conditionalFormatting>
  <conditionalFormatting sqref="H15">
    <cfRule type="dataBar" priority="12">
      <dataBar>
        <cfvo type="num" val="0"/>
        <cfvo type="num" val="1"/>
        <color theme="0" tint="-0.34998626667073579"/>
      </dataBar>
      <extLst>
        <ext xmlns:x14="http://schemas.microsoft.com/office/spreadsheetml/2009/9/main" uri="{B025F937-C7B1-47D3-B67F-A62EFF666E3E}">
          <x14:id>{DEFBED01-472B-49D5-9EC8-A70152298A6C}</x14:id>
        </ext>
      </extLst>
    </cfRule>
  </conditionalFormatting>
  <conditionalFormatting sqref="H16">
    <cfRule type="dataBar" priority="8">
      <dataBar>
        <cfvo type="num" val="0"/>
        <cfvo type="num" val="1"/>
        <color theme="0" tint="-0.34998626667073579"/>
      </dataBar>
      <extLst>
        <ext xmlns:x14="http://schemas.microsoft.com/office/spreadsheetml/2009/9/main" uri="{B025F937-C7B1-47D3-B67F-A62EFF666E3E}">
          <x14:id>{8A0FC972-E9C5-456E-B171-44CEF3A11DAF}</x14:id>
        </ext>
      </extLst>
    </cfRule>
  </conditionalFormatting>
  <conditionalFormatting sqref="H17">
    <cfRule type="dataBar" priority="4">
      <dataBar>
        <cfvo type="num" val="0"/>
        <cfvo type="num" val="1"/>
        <color theme="0" tint="-0.34998626667073579"/>
      </dataBar>
      <extLst>
        <ext xmlns:x14="http://schemas.microsoft.com/office/spreadsheetml/2009/9/main" uri="{B025F937-C7B1-47D3-B67F-A62EFF666E3E}">
          <x14:id>{E031BC06-22B7-4628-BB42-6BBEC0C7FED9}</x14:id>
        </ext>
      </extLst>
    </cfRule>
  </conditionalFormatting>
  <conditionalFormatting sqref="K13:BN17">
    <cfRule type="expression" dxfId="50" priority="1">
      <formula>K$6=TODAY()</formula>
    </cfRule>
    <cfRule type="expression" dxfId="49" priority="2">
      <formula>AND($E13&lt;=K$6,ROUNDDOWN(($F13-$E13+1)*$H13,0)+$E13-1&gt;=K$6)</formula>
    </cfRule>
    <cfRule type="expression" dxfId="48" priority="3">
      <formula>AND(NOT(ISBLANK($E13)),$E13&lt;=K$6,$F13&gt;=K$6)</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AE600E7-FE4A-406D-A0A0-D49AD13AF25E}">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5C19D324-34A6-430A-912B-754B3A96CBE3}">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DEFBED01-472B-49D5-9EC8-A70152298A6C}">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8A0FC972-E9C5-456E-B171-44CEF3A11DAF}">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E031BC06-22B7-4628-BB42-6BBEC0C7FED9}">
            <x14:dataBar minLength="0" maxLength="100" gradient="0">
              <x14:cfvo type="num">
                <xm:f>0</xm:f>
              </x14:cfvo>
              <x14:cfvo type="num">
                <xm:f>1</xm:f>
              </x14:cfvo>
              <x14:negativeFillColor rgb="FFFF0000"/>
              <x14:axisColor rgb="FF000000"/>
            </x14:dataBar>
          </x14:cfRule>
          <xm:sqref>H17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GanttChart</vt:lpstr>
      <vt:lpstr>GanttChartPro</vt:lpstr>
      <vt:lpstr>Help</vt:lpstr>
      <vt:lpstr>TermsOfUse</vt:lpstr>
      <vt:lpstr>Update Project</vt:lpstr>
      <vt:lpstr>etc</vt:lpstr>
      <vt:lpstr>etc!prevWBS</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BC</cp:lastModifiedBy>
  <cp:lastPrinted>2026-03-17T03:15:57Z</cp:lastPrinted>
  <dcterms:created xsi:type="dcterms:W3CDTF">2010-06-09T16:05:00Z</dcterms:created>
  <dcterms:modified xsi:type="dcterms:W3CDTF">2026-03-17T06:23:43Z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89D1A92380FC4DD99C65273B46E79D1C_13</vt:lpwstr>
  </property>
  <property fmtid="{D5CDD505-2E9C-101B-9397-08002B2CF9AE}" pid="6" name="KSOProductBuildVer">
    <vt:lpwstr>1033-12.1.0.25242</vt:lpwstr>
  </property>
  <property fmtid="{D5CDD505-2E9C-101B-9397-08002B2CF9AE}" pid="7" name="CalculationRule">
    <vt:i4>0</vt:i4>
  </property>
</Properties>
</file>
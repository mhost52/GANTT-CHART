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0" yWindow="0" windowWidth="19635" windowHeight="7620"/>
  </bookViews>
  <sheets>
    <sheet name="GanttChart" sheetId="9" r:id="rId1"/>
    <sheet name="GanttChartPro" sheetId="12" state="hidden" r:id="rId2"/>
    <sheet name="Help" sheetId="6" state="hidden" r:id="rId3"/>
    <sheet name="TermsOfUse" sheetId="11" state="hidden" r:id="rId4"/>
    <sheet name="Update Project" sheetId="13" r:id="rId5"/>
    <sheet name="etc" sheetId="14" state="hidden" r:id="rId6"/>
  </sheets>
  <definedNames>
    <definedName name="_xlnm._FilterDatabase" localSheetId="0" hidden="1">GanttChart!$A$7:$I$60</definedName>
    <definedName name="prevWBS" localSheetId="5">etc!$A1048576</definedName>
    <definedName name="prevWBS" localSheetId="0">GanttChart!$A1048576</definedName>
    <definedName name="_xlnm.Print_Area" localSheetId="0">GanttChart!$A$1:$BN$83</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4452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 i="14" l="1"/>
  <c r="A16" i="14"/>
  <c r="A15" i="14"/>
  <c r="A14" i="14"/>
  <c r="A13" i="14"/>
  <c r="F115" i="9"/>
  <c r="A115" i="9"/>
  <c r="I114" i="9"/>
  <c r="F114" i="9"/>
  <c r="A114" i="9"/>
  <c r="F113" i="9"/>
  <c r="A113" i="9"/>
  <c r="F112" i="9"/>
  <c r="A112" i="9"/>
  <c r="F111" i="9"/>
  <c r="A111" i="9"/>
  <c r="F110" i="9"/>
  <c r="A110" i="9"/>
  <c r="F109" i="9"/>
  <c r="A109" i="9"/>
  <c r="I108" i="9"/>
  <c r="F108" i="9"/>
  <c r="A108" i="9"/>
  <c r="F107" i="9"/>
  <c r="A107" i="9"/>
  <c r="F106" i="9"/>
  <c r="A106" i="9"/>
  <c r="I105" i="9"/>
  <c r="F105" i="9"/>
  <c r="A105" i="9"/>
  <c r="I104" i="9"/>
  <c r="F104" i="9"/>
  <c r="A104" i="9"/>
  <c r="I103" i="9"/>
  <c r="F103" i="9"/>
  <c r="A103" i="9"/>
  <c r="I102" i="9"/>
  <c r="F102" i="9"/>
  <c r="A102" i="9"/>
  <c r="I101" i="9"/>
  <c r="F101" i="9"/>
  <c r="A101" i="9"/>
  <c r="I100" i="9"/>
  <c r="F100" i="9"/>
  <c r="A100" i="9"/>
  <c r="I99" i="9"/>
  <c r="F99" i="9"/>
  <c r="A99" i="9"/>
  <c r="I98" i="9"/>
  <c r="F98" i="9"/>
  <c r="A98" i="9"/>
  <c r="I97" i="9"/>
  <c r="F97" i="9"/>
  <c r="A97" i="9"/>
  <c r="I96" i="9"/>
  <c r="F96" i="9"/>
  <c r="A96" i="9"/>
  <c r="I95" i="9"/>
  <c r="F95" i="9"/>
  <c r="A95" i="9"/>
  <c r="I94" i="9"/>
  <c r="F94" i="9"/>
  <c r="A94" i="9"/>
  <c r="I93" i="9"/>
  <c r="F93" i="9"/>
  <c r="A93" i="9"/>
  <c r="I92" i="9"/>
  <c r="F92" i="9"/>
  <c r="A92" i="9"/>
  <c r="I91" i="9"/>
  <c r="F91" i="9"/>
  <c r="A91" i="9"/>
  <c r="I90" i="9"/>
  <c r="F90" i="9"/>
  <c r="A90" i="9"/>
  <c r="I89" i="9"/>
  <c r="F89" i="9"/>
  <c r="A89" i="9"/>
  <c r="I88" i="9"/>
  <c r="F88" i="9"/>
  <c r="A88" i="9"/>
  <c r="I87" i="9"/>
  <c r="F87" i="9"/>
  <c r="A87" i="9"/>
  <c r="I86" i="9"/>
  <c r="F86" i="9"/>
  <c r="A86" i="9"/>
  <c r="I85" i="9"/>
  <c r="F85" i="9"/>
  <c r="A85" i="9"/>
  <c r="I84" i="9"/>
  <c r="F84" i="9"/>
  <c r="A84" i="9"/>
  <c r="I83" i="9"/>
  <c r="F83" i="9"/>
  <c r="A83" i="9"/>
  <c r="I82" i="9"/>
  <c r="F82" i="9"/>
  <c r="A82" i="9"/>
  <c r="I81" i="9"/>
  <c r="F81" i="9"/>
  <c r="A81" i="9"/>
  <c r="I80" i="9"/>
  <c r="F80" i="9"/>
  <c r="A80" i="9"/>
  <c r="I79" i="9"/>
  <c r="F79" i="9"/>
  <c r="A79" i="9"/>
  <c r="I78" i="9"/>
  <c r="F78" i="9"/>
  <c r="A78" i="9"/>
  <c r="I77" i="9"/>
  <c r="F77" i="9"/>
  <c r="A77" i="9"/>
  <c r="I76" i="9"/>
  <c r="F76" i="9"/>
  <c r="A76" i="9"/>
  <c r="E26" i="9"/>
  <c r="F26" i="9" s="1"/>
  <c r="I26" i="9" s="1"/>
  <c r="F23" i="9"/>
  <c r="E27" i="9" s="1"/>
  <c r="F27" i="9" s="1"/>
  <c r="I27" i="9" s="1"/>
  <c r="F22" i="9"/>
  <c r="E24" i="9" s="1"/>
  <c r="F24" i="9" s="1"/>
  <c r="F21" i="9"/>
  <c r="I21" i="9" s="1"/>
  <c r="F20" i="9"/>
  <c r="I20" i="9" s="1"/>
  <c r="F19" i="9"/>
  <c r="I19" i="9" s="1"/>
  <c r="F18" i="9"/>
  <c r="I18" i="9" s="1"/>
  <c r="F17" i="9"/>
  <c r="I17" i="9" s="1"/>
  <c r="F16" i="9"/>
  <c r="I16" i="9" s="1"/>
  <c r="F15" i="9"/>
  <c r="I15" i="9" s="1"/>
  <c r="F14" i="9"/>
  <c r="I14" i="9" s="1"/>
  <c r="F13" i="9"/>
  <c r="I13" i="9" s="1"/>
  <c r="I12" i="9"/>
  <c r="F12" i="9"/>
  <c r="F11" i="9"/>
  <c r="I11" i="9" s="1"/>
  <c r="F10" i="9"/>
  <c r="I10" i="9" s="1"/>
  <c r="F9" i="9"/>
  <c r="I9" i="9" s="1"/>
  <c r="F8" i="9"/>
  <c r="I8" i="9" s="1"/>
  <c r="A8" i="9"/>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BN7" i="9"/>
  <c r="BM7" i="9"/>
  <c r="BL7" i="9"/>
  <c r="BK7" i="9"/>
  <c r="BJ7" i="9"/>
  <c r="BI7" i="9"/>
  <c r="BH7" i="9"/>
  <c r="BG7" i="9"/>
  <c r="BF7" i="9"/>
  <c r="BE7" i="9"/>
  <c r="BD7" i="9"/>
  <c r="BC7" i="9"/>
  <c r="BB7" i="9"/>
  <c r="BA7" i="9"/>
  <c r="AZ7" i="9"/>
  <c r="AY7" i="9"/>
  <c r="AX7" i="9"/>
  <c r="AW7" i="9"/>
  <c r="AV7" i="9"/>
  <c r="AU7" i="9"/>
  <c r="AT7" i="9"/>
  <c r="AS7" i="9"/>
  <c r="AR7" i="9"/>
  <c r="AQ7" i="9"/>
  <c r="AP7" i="9"/>
  <c r="AO7" i="9"/>
  <c r="AN7" i="9"/>
  <c r="AM7" i="9"/>
  <c r="AL7" i="9"/>
  <c r="AK7" i="9"/>
  <c r="AJ7" i="9"/>
  <c r="AI7" i="9"/>
  <c r="AH7" i="9"/>
  <c r="AG7" i="9"/>
  <c r="AF7" i="9"/>
  <c r="AE7" i="9"/>
  <c r="AD7" i="9"/>
  <c r="AC7" i="9"/>
  <c r="AB7" i="9"/>
  <c r="AA7" i="9"/>
  <c r="Z7" i="9"/>
  <c r="Y7" i="9"/>
  <c r="X7" i="9"/>
  <c r="W7" i="9"/>
  <c r="V7" i="9"/>
  <c r="U7" i="9"/>
  <c r="T7" i="9"/>
  <c r="S7" i="9"/>
  <c r="R7" i="9"/>
  <c r="Q7" i="9"/>
  <c r="P7" i="9"/>
  <c r="O7" i="9"/>
  <c r="N7" i="9"/>
  <c r="M7" i="9"/>
  <c r="L7" i="9"/>
  <c r="K7" i="9"/>
  <c r="BN6" i="9"/>
  <c r="BM6" i="9"/>
  <c r="BL6" i="9"/>
  <c r="BK6" i="9"/>
  <c r="BJ6" i="9"/>
  <c r="BI6" i="9"/>
  <c r="BH6" i="9"/>
  <c r="BG6" i="9"/>
  <c r="BF6" i="9"/>
  <c r="BE6" i="9"/>
  <c r="BD6" i="9"/>
  <c r="BC6" i="9"/>
  <c r="BB6" i="9"/>
  <c r="BA6" i="9"/>
  <c r="AZ6" i="9"/>
  <c r="AY6" i="9"/>
  <c r="AX6" i="9"/>
  <c r="AW6" i="9"/>
  <c r="AV6" i="9"/>
  <c r="AU6" i="9"/>
  <c r="AT6" i="9"/>
  <c r="AS6" i="9"/>
  <c r="AR6" i="9"/>
  <c r="AQ6" i="9"/>
  <c r="AP6" i="9"/>
  <c r="AO6" i="9"/>
  <c r="AN6" i="9"/>
  <c r="AM6" i="9"/>
  <c r="AL6" i="9"/>
  <c r="AK6" i="9"/>
  <c r="AJ6" i="9"/>
  <c r="AI6" i="9"/>
  <c r="AH6" i="9"/>
  <c r="AG6" i="9"/>
  <c r="AF6" i="9"/>
  <c r="AE6" i="9"/>
  <c r="AD6" i="9"/>
  <c r="AC6" i="9"/>
  <c r="AB6" i="9"/>
  <c r="AA6" i="9"/>
  <c r="Z6" i="9"/>
  <c r="Y6" i="9"/>
  <c r="X6" i="9"/>
  <c r="W6" i="9"/>
  <c r="V6" i="9"/>
  <c r="U6" i="9"/>
  <c r="T6" i="9"/>
  <c r="S6" i="9"/>
  <c r="R6" i="9"/>
  <c r="Q6" i="9"/>
  <c r="P6" i="9"/>
  <c r="O6" i="9"/>
  <c r="N6" i="9"/>
  <c r="M6" i="9"/>
  <c r="L6" i="9"/>
  <c r="K6" i="9"/>
  <c r="BH5" i="9"/>
  <c r="BA5" i="9"/>
  <c r="AT5" i="9"/>
  <c r="AM5" i="9"/>
  <c r="AF5" i="9"/>
  <c r="Y5" i="9"/>
  <c r="R5" i="9"/>
  <c r="K5" i="9"/>
  <c r="BH4" i="9"/>
  <c r="BA4" i="9"/>
  <c r="AT4" i="9"/>
  <c r="AM4" i="9"/>
  <c r="AF4" i="9"/>
  <c r="Y4" i="9"/>
  <c r="R4" i="9"/>
  <c r="K4" i="9"/>
  <c r="I22" i="9" l="1"/>
  <c r="I23" i="9"/>
  <c r="E28" i="9"/>
  <c r="F28" i="9" s="1"/>
  <c r="E29" i="9"/>
  <c r="F29" i="9" s="1"/>
  <c r="I24" i="9"/>
  <c r="E25" i="9"/>
  <c r="F25" i="9" s="1"/>
  <c r="I25" i="9" s="1"/>
  <c r="E31" i="9" l="1"/>
  <c r="F31" i="9" s="1"/>
  <c r="I31" i="9" s="1"/>
  <c r="I29" i="9"/>
  <c r="E30" i="9"/>
  <c r="F30" i="9" s="1"/>
  <c r="I28" i="9"/>
  <c r="E32" i="9" l="1"/>
  <c r="F32" i="9" s="1"/>
  <c r="I30" i="9"/>
  <c r="E33" i="9" l="1"/>
  <c r="F33" i="9" s="1"/>
  <c r="E34" i="9"/>
  <c r="F34" i="9" s="1"/>
  <c r="I32" i="9"/>
  <c r="E36" i="9" l="1"/>
  <c r="F36" i="9" s="1"/>
  <c r="I34" i="9"/>
  <c r="E35" i="9"/>
  <c r="F35" i="9" s="1"/>
  <c r="I33" i="9"/>
  <c r="E37" i="9" l="1"/>
  <c r="F37" i="9" s="1"/>
  <c r="I35" i="9"/>
  <c r="E38" i="9"/>
  <c r="F38" i="9" s="1"/>
  <c r="I36" i="9"/>
  <c r="E40" i="9" l="1"/>
  <c r="F40" i="9" s="1"/>
  <c r="I38" i="9"/>
  <c r="E39" i="9"/>
  <c r="F39" i="9" s="1"/>
  <c r="I37" i="9"/>
  <c r="E42" i="9" l="1"/>
  <c r="F42" i="9" s="1"/>
  <c r="I40" i="9"/>
  <c r="E41" i="9"/>
  <c r="F41" i="9" s="1"/>
  <c r="I39" i="9"/>
  <c r="E43" i="9" l="1"/>
  <c r="F43" i="9" s="1"/>
  <c r="E45" i="9"/>
  <c r="F45" i="9" s="1"/>
  <c r="I45" i="9" s="1"/>
  <c r="I41" i="9"/>
  <c r="E44" i="9"/>
  <c r="F44" i="9" s="1"/>
  <c r="I42" i="9"/>
  <c r="E47" i="9" l="1"/>
  <c r="F47" i="9" s="1"/>
  <c r="I44" i="9"/>
  <c r="I43" i="9"/>
  <c r="E46" i="9"/>
  <c r="F46" i="9" s="1"/>
  <c r="E48" i="9" l="1"/>
  <c r="F48" i="9" s="1"/>
  <c r="I46" i="9"/>
  <c r="E49" i="9"/>
  <c r="F49" i="9" s="1"/>
  <c r="I47" i="9"/>
  <c r="E51" i="9" l="1"/>
  <c r="F51" i="9" s="1"/>
  <c r="I49" i="9"/>
  <c r="E50" i="9"/>
  <c r="F50" i="9" s="1"/>
  <c r="I48" i="9"/>
  <c r="E52" i="9" l="1"/>
  <c r="F52" i="9" s="1"/>
  <c r="I50" i="9"/>
  <c r="E53" i="9"/>
  <c r="F53" i="9" s="1"/>
  <c r="I51" i="9"/>
  <c r="E55" i="9" l="1"/>
  <c r="F55" i="9" s="1"/>
  <c r="I53" i="9"/>
  <c r="E54" i="9"/>
  <c r="F54" i="9" s="1"/>
  <c r="I52" i="9"/>
  <c r="E56" i="9" l="1"/>
  <c r="F56" i="9" s="1"/>
  <c r="I54" i="9"/>
  <c r="E57" i="9"/>
  <c r="F57" i="9" s="1"/>
  <c r="I55" i="9"/>
  <c r="I57" i="9" l="1"/>
  <c r="E59" i="9"/>
  <c r="F59" i="9" s="1"/>
  <c r="I56" i="9"/>
  <c r="E58" i="9"/>
  <c r="F58" i="9" s="1"/>
  <c r="I58" i="9" l="1"/>
  <c r="E60" i="9"/>
  <c r="F60" i="9" s="1"/>
  <c r="I59" i="9"/>
  <c r="E13" i="14"/>
  <c r="F13" i="14" s="1"/>
  <c r="I13" i="14" l="1"/>
  <c r="E15" i="14"/>
  <c r="F15" i="14" s="1"/>
  <c r="E14" i="14"/>
  <c r="F14" i="14" s="1"/>
  <c r="I60" i="9"/>
  <c r="E16" i="14" l="1"/>
  <c r="F16" i="14" s="1"/>
  <c r="I16" i="14" s="1"/>
  <c r="I14" i="14"/>
  <c r="E17" i="14"/>
  <c r="F17" i="14" s="1"/>
  <c r="I17" i="14" s="1"/>
  <c r="I15" i="14"/>
</calcChain>
</file>

<file path=xl/comments1.xml><?xml version="1.0" encoding="utf-8"?>
<comments xmlns="http://schemas.openxmlformats.org/spreadsheetml/2006/main">
  <authors>
    <author>Vertex42</author>
    <author>Vertex42.com Templates</author>
    <author>BC</author>
  </authors>
  <commentList>
    <comment ref="A7" authorId="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text>
        <r>
          <rPr>
            <b/>
            <sz val="9"/>
            <rFont val="Tahoma"/>
            <charset val="134"/>
          </rPr>
          <t>Task Description</t>
        </r>
        <r>
          <rPr>
            <sz val="9"/>
            <rFont val="Tahoma"/>
            <charset val="134"/>
          </rPr>
          <t xml:space="preserve">
Enter the name of each task and sub-task. Use indents for sub-tasks.</t>
        </r>
      </text>
    </comment>
    <comment ref="C7" authorId="0">
      <text>
        <r>
          <rPr>
            <b/>
            <sz val="9"/>
            <rFont val="Tahoma"/>
            <charset val="134"/>
          </rPr>
          <t>Task Lead</t>
        </r>
        <r>
          <rPr>
            <sz val="9"/>
            <rFont val="Tahoma"/>
            <charset val="134"/>
          </rPr>
          <t xml:space="preserve">
Enter the name of the Task Lead in this column.</t>
        </r>
      </text>
    </comment>
    <comment ref="D7" authorId="0">
      <text/>
    </comment>
    <comment ref="E7" authorId="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text>
        <r>
          <rPr>
            <b/>
            <sz val="9"/>
            <rFont val="Tahoma"/>
            <charset val="134"/>
          </rPr>
          <t>End Date:</t>
        </r>
        <r>
          <rPr>
            <sz val="9"/>
            <rFont val="Tahoma"/>
            <charset val="134"/>
          </rPr>
          <t xml:space="preserve">
The End Date is calculated based on the Start Date and the Calendar Days columns.</t>
        </r>
      </text>
    </comment>
    <comment ref="G7" authorId="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text>
        <r>
          <rPr>
            <b/>
            <sz val="9"/>
            <rFont val="Tahoma"/>
            <charset val="134"/>
          </rPr>
          <t>Percent Complete</t>
        </r>
        <r>
          <rPr>
            <sz val="9"/>
            <rFont val="Tahoma"/>
            <charset val="134"/>
          </rPr>
          <t xml:space="preserve">
Update the status of this task by entering the percent complete (between 0% and 100%).</t>
        </r>
      </text>
    </comment>
    <comment ref="I7" authorId="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 ref="B23" authorId="2">
      <text>
        <r>
          <rPr>
            <b/>
            <sz val="9"/>
            <rFont val="Tahoma"/>
            <charset val="134"/>
          </rPr>
          <t xml:space="preserve">BC: </t>
        </r>
        <r>
          <rPr>
            <sz val="9"/>
            <rFont val="Tahoma"/>
            <charset val="134"/>
          </rPr>
          <t xml:space="preserve">
https://my430621-api.s4hana.cloud.sap/sap/opu/odata/sap/API_PRODUCT_SRV//A_Product --&gt; tabel pz_material
https://my430621-api.s4hana.cloud.sap/sap/opu/odata/sap/API_PRODUCT_SRV/A_ProductDescription --&gt; tabel pz_material_description
https://my430621-api.s4hana.cloud.sap/sap/opu/odata/sap/API_PRODUCT_SRV/A_ProductPlant --&gt; tabel pz_material_plant
</t>
        </r>
      </text>
    </comment>
    <comment ref="B24" authorId="2">
      <text>
        <r>
          <rPr>
            <sz val="9"/>
            <rFont val="Tahoma"/>
            <charset val="1"/>
          </rPr>
          <t xml:space="preserve">$url = "https://my430621-api.s4hana.cloud.sap/sap/opu/odata4/sap/api_warehouse_order_task_2/srvd_a2x/sap/warehouseorder/0001/WarehouseTask";
$username = "LEUWITEX_US_SAP_COM_0353";
$password = "Leuwitexsapcloud@2025";
CREATE TABLE warehouse_task (
    EWMWarehouse VARCHAR(20),
    WarehouseTask BIGINT,
    WarehouseTaskItem INT,
    WarehouseOrder BIGINT,
    WhseTaskCrtnUTCDateTime TIMESTAMP,
    WhseTaskLastChgUTCDateTime TIMESTAMP,
    WhseTaskConfUTCDateTime TIMESTAMP,
    ConfirmedByUser VARCHAR(50),
    WhseTaskPlannedClosingDateTime TIMESTAMP,
    WhseTaskGoodsReceiptDateTime TIMESTAMP,
    WarehouseTaskStatus CHAR(1),
    WarehouseProcessType VARCHAR(10),
    WarehouseProcessCategory INT,
    IsHandlingUnitWarehouseTask BOOLEAN,
    EWMHandlingUnitType VARCHAR(50),
    HomogeneousFullPalletPick VARCHAR(50),
    Product VARCHAR(50),
    Batch VARCHAR(20),
    BatchChangeIsNotAllowed BOOLEAN,
    CountryOfOrigin VARCHAR(50),
    ShelfLifeExpirationDate DATE,
    EWMStockType CHAR(1),
    EWMStockUsage VARCHAR(50),
    EWMStockOwner BIGINT,
    EntitledToDisposeParty BIGINT,
    WBSElementInternalID INT,
    WBSElementExternalID VARCHAR(50),
    SpecialStockIdfgSalesOrder VARCHAR(50),
    SpecialStockIdfgSalesOrderItem INT,
    ExecutingResource VARCHAR(50),
    WarehouseMovementsReason VARCHAR(50),
    ProductionOrder VARCHAR(50),
    EWMProductionSupplyArea VARCHAR(50),
    EWMDocumentCategory VARCHAR(10),
    EWMReferenceDocumentCategory VARCHAR(10),
    PDO VARCHAR(10),
    EWMWave INT,
    EWMWaveItem INT,
    EWMDelivery BIGINT,
    EWMDeliveryItem INT,
    PurchasingDocument BIGINT,
    PurchasingDocumentItem INT,
    SalesDocument VARCHAR(50),
    SalesDocumentItem INT,
    BaseUnit VARCHAR(10),
    EWMBaseUnitISOCode VARCHAR(10),
    AlternativeUnit VARCHAR(10),
    EWMAlternativeUnitISOCode VARCHAR(10),
    TargetQuantityInBaseUnit NUMERIC,
    TargetQuantityInAltvUnit NUMERIC,
    ActualQuantityInBaseUnit NUMERIC,
    ActualQuantityInAltvUnit NUMERIC,
    DifferenceQuantityInBaseUnit NUMERIC,
    DifferenceQuantityInAltvUnit NUMERIC,
    WhseTaskNetWeightUnitOfMeasure VARCHAR(10),
    WhseTaskNetWeight NUMERIC,
    WhseTaskNetVolumeUnitOfMeasure VARCHAR(10),
    WhseTaskNetVolume NUMERIC,
    SourceStorageType VARCHAR(10),
    SourceStorageSection VARCHAR(10),
    SourceStorageBin VARCHAR(20),
    SourceResource VARCHAR(50),
    DestinationStorageType VARCHAR(10),
    DestinationStorageSection VARCHAR(10),
    DestinationStorageBin VARCHAR(20),
    DestinationResource VARCHAR(50),
    ActivityArea VARCHAR(10),
    SourceHandlingUnit VARCHAR(50),
    DestinationHandlingUnit VARCHAR(50),
    WarehouseTaskExceptionCode VARCHAR(10),
    WhseTaskSortingSequenceValue INT,
    WarehouseOrderSequenceValue INT,
    WarehouseOrderActivityArea VARCHAR(10),
    WarehouseOrderCreationRule VARCHAR(10),
    WarehouseOrderQueue VARCHAR(50),
    WarehouseActivityType VARCHAR(10),
    EWMConsolidationGroup BIGINT,
    EWMWarehouseTaskPriority INT,
    CreatedByUser VARCHAR(50),
    EWMRoute VARCHAR(50),
    EWMWaveCategory VARCHAR(50),
    EWMCanceledWarehouseTask INT,
    SerialNumberRequiredLevel VARCHAR(10)
);
</t>
        </r>
      </text>
    </comment>
    <comment ref="B25" authorId="2">
      <text>
        <r>
          <rPr>
            <b/>
            <sz val="9"/>
            <rFont val="Tahoma"/>
            <charset val="1"/>
          </rPr>
          <t>BC:</t>
        </r>
        <r>
          <rPr>
            <sz val="9"/>
            <rFont val="Tahoma"/>
            <charset val="1"/>
          </rPr>
          <t xml:space="preserve">
https://my430621-api.s4hana.cloud.sap/sap/opu/odata4/sap/api_fixedasset/srvd_a2x/sap/fixedasset/0001/FixedAsset
Username :
LEUWITEX_US_SAP_COM_0A93
Password : Leuwitexsapcloud@2025"
tabel : pz_fixed_asset 
https://my430621-api.s4hana.cloud.sap/sap/opu/odata4/sap/api_fixedasset/srvd_a2x/sap/fixedasset/0001/FixedAssetLedger
Username :
LEUWITEX_US_SAP_COM_0A93
Password : Leuwitexsapcloud@2025"
tabel : pz_fixed_asset_ledger </t>
        </r>
      </text>
    </comment>
    <comment ref="B26" authorId="2">
      <text>
        <r>
          <rPr>
            <b/>
            <sz val="9"/>
            <rFont val="Tahoma"/>
            <charset val="1"/>
          </rPr>
          <t>BC:</t>
        </r>
        <r>
          <rPr>
            <sz val="9"/>
            <rFont val="Tahoma"/>
            <charset val="1"/>
          </rPr>
          <t xml:space="preserve">
https://my430621-api.s4hana.cloud.sap/sap/opu/odata/sap/API_BILLING_DOCUMENT_SRV/A_BillingDocument 
Comm User  : LEUWITEX_US_SAP_COM_0120
password user comm: Leuwitexsapcloud@2025
tabel : pz_billing_document
https://my430621-api.s4hana.cloud.sap/sap/opu/odata4/sap/api_billingdocument/srvd_a2x/sap/billingdocument/0001/BillingDocumentItem 
Comm User  : LEUWITEX_US_SAP_COM_0120
password user comm: Leuwitexsapcloud@2025
tabel : pz_billing_document_item
https://my430621-api.s4hana.cloud.sap/sap/opu/odata/sap/API_SALES_ORDER_SRV/A_SalesOrder 
Comm User  : LEUWITEX_US_SAP_COM_0109
password user comm: Leuwitexsapcloud@2025
tabel : pz_sales_order</t>
        </r>
      </text>
    </comment>
    <comment ref="B27" authorId="2">
      <text>
        <r>
          <rPr>
            <b/>
            <sz val="9"/>
            <rFont val="Tahoma"/>
            <charset val="134"/>
          </rPr>
          <t xml:space="preserve">https://my430621-api.s4hana.cloud.sap/sap/opu/odata/sap/API_BUSINESS_PARTNER/A_Supplier
Username :  
LEUWITEX_US_SAP_COM_0008 SupplierFullName Bechtle AG Kriek street
Password : \W+M)hw&amp;kj]WHnSJ&gt;UmhdB(f56N&gt;\Zk9caxMY=5L 
CREATE TABLE pz_supplier (
    supplier            VARCHAR(20) PRIMARY KEY,
    supplier_full_name  VARCHAR(100),
    created_at          TIMESTAMP DEFAULT CURRENT_TIMESTAMP,
    updated_at          TIMESTAMP DEFAULT CURRENT_TIMESTAMP
);
https://my430621-api.s4hana.cloud.sap/sap/opu/odata/sap/API_BUSINESS_PARTNER/A_AddressEmailAddress 
Username :
LEUWITEX_US_SAP_COM_0008  
Password : \W+M)hw&amp;kj]WHnSJ&gt;UmhdB(f56N&gt;\Zk9caxMY=5L 
CREATE TABLE pz_address_email_address (
    email_address       VARCHAR(100) NOT NULL,
    person              VARCHAR(50),
    address_id          VARCHAR(50),
    created_at          TIMESTAMP DEFAULT CURRENT_TIMESTAMP,
    updated_at          TIMESTAMP DEFAULT CURRENT_TIMESTAMP,
    PRIMARY KEY (email_address)
);
https://my430621-api.s4hana.cloud.sap/sap/opu/odata/sap/API_BUSINESS_PARTNER/A_BusinessPartnerAddress
Username :
LEUWITEX_US_SAP_COM_0008
Password : \W+M)hw&amp;kj]WHnSJ&gt;UmhdB(f56N&gt;\Zk9caxMY=5L
CREATE TABLE pz_business_partner_address (
    country             VARCHAR(50),
    postal_code         VARCHAR(20),
    region              VARCHAR(100),
    district            VARCHAR(100),
    business_partner    VARCHAR(20),
    address_id          VARCHAR(50),
    created_at          TIMESTAMP DEFAULT CURRENT_TIMESTAMP,
    updated_at          TIMESTAMP DEFAULT CURRENT_TIMESTAMP
);
https://my430621-api.s4hana.cloud.sap/sap/opu/odata/sap/API_BUSINESS_PARTNER/A_AddressHomePageURL 
Username :  
LEUWITEX_US_SAP_COM_0008  
Password : \W+M)hw&amp;kj]WHnSJ&gt;UmhdB(f56N&gt;\Zk9caxMY=5L  
CREATE TABLE pz_address_home_page_url (
    website_url     VARCHAR(200) NOT NULL,
    address_id      VARCHAR(50),
    -- Audit columns
    created_at      TIMESTAMP DEFAULT CURRENT_TIMESTAMP,
    updated_at      TIMESTAMP DEFAULT CURRENT_TIMESTAMP,
    PRIMARY KEY (website_url)
);
https://my430621-api.s4hana.cloud.sap/sap/opu/odata/sap/API_BUSINESS_PARTNER/A_AddressPhoneNumber 
Username :  
LEUWITEX_US_SAP_COM_0008  
Password : \W+M)hw&amp;kj]WHnSJ&gt;UmhdB(f56N&gt;\Zk9caxMY=5L 
CREATE TABLE pz_address_phone_number (
    phone_number    VARCHAR(50) NOT NULL,
    address_id      VARCHAR(50),
    created_at      TIMESTAMP DEFAULT CURRENT_TIMESTAMP,
    updated_at      TIMESTAMP DEFAULT CURRENT_TIMESTAMP
);
https://my430621-api.s4hana.cloud.sap/sap/opu/odata/sap/API_BUSINESS_PARTNER/A_BuPaIdentification 
Username :  
LEUWITEX_US_SAP_COM_0008  
Password : \W+M)hw&amp;kj]WHnSJ&gt;UmhdB(f56N&gt;\Zk9caxMY=5L  
CREATE TABLE pz_bu_pa_identification (
    npwp_vendor        VARCHAR(30) NOT NULL,
    business_partner   VARCHAR(20),
    created_at         TIMESTAMP DEFAULT CURRENT_TIMESTAMP,
    updated_at         TIMESTAMP DEFAULT CURRENT_TIMESTAMP
);
https://my430621-api.s4hana.cloud.sap/sap/opu/odata/sap/API_BUSINESS_PARTNER/A_AddressFaxNumber 
Username :  
LEUWITEX_US_SAP_COM_0008  
Password : \W+M)hw&amp;kj]WHnSJ&gt;UmhdB(f56N&gt;\Zk9caxMY=5L 
CREATE TABLE pz_bu_address_fax_number (
    fax_number       VARCHAR(50) NOT NULL,
    address_id       VARCHAR(50),
    created_at       TIMESTAMP DEFAULT CURRENT_TIMESTAMP,
    updated_at       TIMESTAMP DEFAULT CURRENT_TIMESTAMP
);
</t>
        </r>
      </text>
    </comment>
    <comment ref="B28" authorId="2">
      <text>
        <r>
          <rPr>
            <sz val="9"/>
            <rFont val="Tahoma"/>
            <charset val="1"/>
          </rPr>
          <t xml:space="preserve">https://my430621-api.s4hana.cloud.sap/sap/opu/odata/sap/API_BUSINESS_PARTNER/A_BusinessPartnerAddress
UserName : LEUWITEX_US_SAP_COM_0008
Password : \W+M)hw&amp;kj]WHnSJ&gt;UmhdB(f56N&gt;\Zk9caxMY=5L
tabel : pz_business_partner_address
https://my430621-api.s4hana.cloud.sap/sap/opu/odata/sap/API_BUSINESS_PARTNER/A_Customer
UserName : LEUWITEX_US_SAP_COM_0008
Password : \W+M)hw&amp;kj]WHnSJ&gt;UmhdB(f56N&gt;\Zk9caxMY=5L
tabel : pz_customer
https://my430621-api.s4hana.cloud.sap/sap/opu/odata/sap/API_BUSINESS_PARTNER/A_Customer('9200000010')/to_CustomerSalesArea
UserName : LEUWITEX_US_SAP_COM_0008
Password : \W+M)hw&amp;kj]WHnSJ&gt;UmhdB(f56N&gt;\Zk9caxMY=5L
tabel : pz_customer_sales_area 
https://my430621-api.s4hana.cloud.sap/sap/opu/odata/sap/API_BUSINESS_PARTNER/A_BusinessPartnerTaxNumber 
UserName : LEUWITEX_US_SAP_COM_0008
Password : \W+M)hw&amp;kj]WHnSJ&gt;UmhdB(f56N&gt;\Zk9caxMY=5L
tabel : pz_business_partner_tax_number 
https://my430621-api.s4hana.cloud.sap/sap/opu/odata/sap/API_BUSINESS_PARTNER/A_CustSalesPartnerFunc
UserName : LEUWITEX_US_SAP_COM_0008
Password : \W+M)hw&amp;kj]WHnSJ&gt;UmhdB(f56N&gt;\Zk9caxMY=5L
tabel : pz_cust_sales_partner_func </t>
        </r>
      </text>
    </comment>
    <comment ref="B29"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0" authorId="2">
      <text>
        <r>
          <rPr>
            <sz val="9"/>
            <rFont val="Tahoma"/>
            <charset val="1"/>
          </rPr>
          <t xml:space="preserve">https://my430621-api.s4hana.cloud.sap/sap/opu/odata/sap/API_MATERIAL_DOCUMENT_SRV/A_MaterialDocumentHeader
Username :
LEUWITEX_US_SAP_COM_0108
Password : Leuwitexsapcloud@2025
table pz_material_document_header 
https://my430621-api.s4hana.cloud.sap/sap/opu/odata/sap/API_MATERIAL_DOCUMENT_SRV//A_MaterialDocumentItem
Username : LEUWITEX_US_SAP_COM_0108
Password : Leuwitexsapcloud@2025
table pz_material_document_item </t>
        </r>
      </text>
    </comment>
    <comment ref="B31"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2"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45" authorId="2">
      <text>
        <r>
          <rPr>
            <b/>
            <sz val="9"/>
            <rFont val="Tahoma"/>
            <charset val="1"/>
          </rPr>
          <t>BC:</t>
        </r>
        <r>
          <rPr>
            <sz val="9"/>
            <rFont val="Tahoma"/>
            <charset val="1"/>
          </rPr>
          <t xml:space="preserve">
$url = "https://my430621-api.s4hana.cloud.sap/sap/opu/odata/sap/API_MATERIAL_STOCK_SRV/A_MatlStkInAcctMod";
$username = "LEUWITEX_US_SAP_COM_0947";
$password = "qyUUYn%4be7bl&gt;m(VT/9nuW#3/342j~W9{C/88jL";
CREATE TABLE pz_material_stock (
    id SERIAL PRIMARY KEY, -- optional, untuk unique identifier
    material VARCHAR(100) NOT NULL,
    plant VARCHAR(10) NOT NULL,
    storage_location VARCHAR(20),
    batch VARCHAR(50),
    inventory_stock_type VARCHAR(5),
    base_unit VARCHAR(10),
    warehouse_stock_qty NUMERIC(18,3) DEFAULT 0
);</t>
        </r>
      </text>
    </comment>
  </commentList>
</comments>
</file>

<file path=xl/comments2.xml><?xml version="1.0" encoding="utf-8"?>
<comments xmlns="http://schemas.openxmlformats.org/spreadsheetml/2006/main">
  <authors>
    <author>Vertex42</author>
  </authors>
  <commentList>
    <comment ref="C16" authorId="0">
      <text>
        <r>
          <rPr>
            <sz val="8"/>
            <rFont val="Tahoma"/>
            <charset val="134"/>
          </rPr>
          <t>This is an example comment.</t>
        </r>
      </text>
    </comment>
  </commentList>
</comments>
</file>

<file path=xl/sharedStrings.xml><?xml version="1.0" encoding="utf-8"?>
<sst xmlns="http://schemas.openxmlformats.org/spreadsheetml/2006/main" count="349" uniqueCount="251">
  <si>
    <t xml:space="preserve">Project Start Date </t>
  </si>
  <si>
    <t xml:space="preserve">Display Week </t>
  </si>
  <si>
    <t xml:space="preserve">Project Lead </t>
  </si>
  <si>
    <t>Billy</t>
  </si>
  <si>
    <t>WBS</t>
  </si>
  <si>
    <t>TASK</t>
  </si>
  <si>
    <t>PIC</t>
  </si>
  <si>
    <t>NOTES</t>
  </si>
  <si>
    <t>START</t>
  </si>
  <si>
    <t>END</t>
  </si>
  <si>
    <t>DAYS</t>
  </si>
  <si>
    <t>% DONE</t>
  </si>
  <si>
    <t>WORK DAYS</t>
  </si>
  <si>
    <t>SAP API development</t>
  </si>
  <si>
    <t>INSTALL ECLIPSE, ADOBE LIFECYCLE DI PC</t>
  </si>
  <si>
    <t>Baim, Budi</t>
  </si>
  <si>
    <t>BELAJAR KE SOLTIUS TENTANG SAP</t>
  </si>
  <si>
    <t>INTEGRASI API SAP KE PRINT BARCODE INTERNAL</t>
  </si>
  <si>
    <t>MAPPING IT INVENTORY</t>
  </si>
  <si>
    <t>Baim</t>
  </si>
  <si>
    <t>BELAJAR MENDAFTARKAN API SAP</t>
  </si>
  <si>
    <t>MAPPING TABEL TAMBAHAN BEA CUKAI</t>
  </si>
  <si>
    <t>SIT</t>
  </si>
  <si>
    <t>INTEGRASI API SAP UNTUK BEA CUKAI</t>
  </si>
  <si>
    <t>Baim, Budi, Jali, Star</t>
  </si>
  <si>
    <t>BELAJAR MENGEDIT FORM SAP</t>
  </si>
  <si>
    <t>KUT SAP BAGIAN MASTER DATA MM</t>
  </si>
  <si>
    <t>KUT SAP BAGIAN MASTER DATA SD dan FICO</t>
  </si>
  <si>
    <t>Budi</t>
  </si>
  <si>
    <t>Modifikasi Form Invoice (Barang Bekas, Avfal, BS, Maklon, Masker)</t>
  </si>
  <si>
    <t>Modifikasi Form Surat Jalan (Barang Bekas, Avfal, BS, Maklon, Masker)</t>
  </si>
  <si>
    <t>Buat UI penarikan data dari API dan insert data Delivery</t>
  </si>
  <si>
    <t>Buat UI penarikan data dari API dan insert data Material</t>
  </si>
  <si>
    <t>Buat UI penarikan data dari API dan insert data Warehouse</t>
  </si>
  <si>
    <t>Buat UI penarikan data dari API dan insert data Asset</t>
  </si>
  <si>
    <t>Buat UI penarikan data dari API dan insert data Invoice</t>
  </si>
  <si>
    <t>Buat UI penarikan data dari API dan insert data Supplier</t>
  </si>
  <si>
    <t>Buat UI penarikan data dari API dan insert data Master Customer</t>
  </si>
  <si>
    <t>Buat UI penarikan data dari API dan insert data PO</t>
  </si>
  <si>
    <t>Buat UI penarikan data dari API dan insert data Material Document</t>
  </si>
  <si>
    <t>Buat UI penarikan data dari API dan insert data BOM</t>
  </si>
  <si>
    <t>UAT</t>
  </si>
  <si>
    <t>BBK INTERN</t>
  </si>
  <si>
    <t>LAPORAN SURAT JALAN (P)</t>
  </si>
  <si>
    <t>DETAIL LIST KARTON PER RAK</t>
  </si>
  <si>
    <t>LAPORAN GUDANG PACKING LEAD TIME</t>
  </si>
  <si>
    <t>MOVING HISTORY PER LIST KARTON</t>
  </si>
  <si>
    <t>DASHBOARD LAYOUT PER BIN</t>
  </si>
  <si>
    <t>LAPORAN SURAT JALAN SLOC</t>
  </si>
  <si>
    <t>LIST KARTON PER KODE ORDER</t>
  </si>
  <si>
    <t>LIST STK INTERN DAN EXTERN</t>
  </si>
  <si>
    <t>Jali</t>
  </si>
  <si>
    <t>MONITORING KAIN GREY</t>
  </si>
  <si>
    <t>LAPORAN PERSEDIAAN GUDANG PACKING</t>
  </si>
  <si>
    <t>Star</t>
  </si>
  <si>
    <t>STOCK PER BARCODE</t>
  </si>
  <si>
    <t>Buat UI penarikan data dari API dan insert data Reservasi</t>
  </si>
  <si>
    <t>REPORT CANCEL KAIN KELUAR</t>
  </si>
  <si>
    <t>REPORT CANCEL KAIN MASUK</t>
  </si>
  <si>
    <t>REPORT COSTING ?</t>
  </si>
  <si>
    <t>REPORT PEMARTAIAN</t>
  </si>
  <si>
    <t>REPORT RESERVASI</t>
  </si>
  <si>
    <t>REPORT RESUME KODE PARTAI</t>
  </si>
  <si>
    <t>STK BLANK GD. PACKING</t>
  </si>
  <si>
    <t>STOCK BALANCE KAIN GREY</t>
  </si>
  <si>
    <t>STOCK GREY LEAD TIME PER GRADE</t>
  </si>
  <si>
    <t>STOCK KAIN GREY (GRADE)</t>
  </si>
  <si>
    <t>STOCK KAIN GREY (LW 22)</t>
  </si>
  <si>
    <t>STOCK KAIN PASIF (ALL AREA)</t>
  </si>
  <si>
    <t>STOCK LEADTIME</t>
  </si>
  <si>
    <t>MOVING HISTORY PER LIST BARCODE</t>
  </si>
  <si>
    <t>MOVING HISTORY - GUDANG GREY</t>
  </si>
  <si>
    <t>Report</t>
  </si>
  <si>
    <t>REPORT - WM - MOVING HISTORY - GUDANG GREY</t>
  </si>
  <si>
    <t>Billy, Baim</t>
  </si>
  <si>
    <t>REPORT - WM - STOCK PER BARCODE</t>
  </si>
  <si>
    <t>REPORT - WM - LAPORAN PERSEDIAAN GUDANG PACKING</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</si>
  <si>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</si>
  <si>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</si>
  <si>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</si>
  <si>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</si>
  <si>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</si>
  <si>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</si>
  <si>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</si>
  <si>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</si>
  <si>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</si>
  <si>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</si>
  <si>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</si>
  <si>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</si>
  <si>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</si>
  <si>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</si>
  <si>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</si>
  <si>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</si>
  <si>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</si>
  <si>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</si>
  <si>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</si>
  <si>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</si>
  <si>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</si>
  <si>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</si>
  <si>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</si>
  <si>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</si>
  <si>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</si>
  <si>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</si>
  <si>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</si>
  <si>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</si>
  <si>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Billy, Baim, Budi</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</si>
  <si>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</si>
  <si>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</si>
  <si>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</si>
  <si>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</si>
  <si>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</si>
  <si>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</si>
  <si>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</si>
  <si>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</si>
  <si>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</si>
  <si>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</si>
  <si>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</si>
  <si>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</si>
  <si>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</si>
  <si>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</si>
  <si>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</si>
  <si>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</si>
  <si>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</si>
  <si>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</si>
  <si>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</si>
  <si>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</si>
  <si>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</si>
  <si>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</si>
  <si>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</si>
  <si>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</si>
  <si>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</si>
  <si>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</si>
  <si>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</si>
  <si>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</si>
  <si>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</si>
  <si>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</si>
  <si>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</si>
  <si>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</si>
  <si>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</si>
  <si>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</si>
  <si>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</si>
  <si>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</si>
  <si>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</si>
  <si>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</si>
  <si>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</si>
  <si>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</si>
  <si>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</si>
  <si>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</si>
  <si>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</si>
  <si>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</si>
  <si>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</si>
  <si>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</si>
  <si>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</si>
  <si>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</si>
  <si>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</si>
  <si>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</si>
  <si>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</si>
  <si>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</si>
  <si>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</si>
  <si>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</si>
  <si>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</si>
  <si>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</si>
  <si>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</si>
  <si>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</si>
  <si>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</si>
  <si>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</si>
  <si>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</si>
  <si>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</si>
  <si>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</si>
  <si>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</si>
  <si>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</si>
  <si>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</si>
  <si>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</si>
  <si>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</si>
  <si>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</si>
  <si>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</si>
  <si>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</si>
  <si>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</si>
  <si>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</si>
  <si>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</si>
  <si>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</si>
  <si>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</si>
  <si>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</si>
  <si>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</si>
  <si>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</si>
  <si>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</si>
  <si>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</si>
  <si>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</si>
  <si>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</si>
  <si>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</si>
  <si>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</si>
  <si>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</si>
  <si>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</si>
  <si>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</si>
  <si>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</si>
  <si>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</si>
  <si>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</si>
  <si>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</si>
  <si>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</si>
  <si>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</si>
  <si>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</si>
  <si>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</si>
  <si>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</si>
  <si>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</si>
  <si>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</si>
  <si>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</si>
  <si>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</si>
  <si>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</si>
  <si>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</si>
  <si>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</si>
  <si>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</si>
  <si>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</si>
  <si>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</si>
  <si>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</si>
  <si>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</si>
  <si>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</si>
  <si>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</si>
  <si>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</si>
  <si>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</si>
  <si>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</si>
  <si>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</si>
  <si>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</si>
  <si>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</si>
  <si>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</si>
  <si>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</si>
  <si>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</si>
  <si>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</si>
  <si>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</si>
  <si>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</si>
  <si>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</si>
  <si>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</si>
  <si>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</si>
  <si>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Form Outbound Delivery sudah dilengkapi</t>
  </si>
  <si>
    <t>Modifikasi Form Transfer Posting</t>
  </si>
  <si>
    <t>Modifikasi Form Purchase Order</t>
  </si>
  <si>
    <t xml:space="preserve">Modifikasi Form Good Receipt </t>
  </si>
  <si>
    <t xml:space="preserve">Modifikasi Form Good Issue </t>
  </si>
  <si>
    <t xml:space="preserve">Modifikasi Form Bukti Tanda Terima </t>
  </si>
  <si>
    <t>Libur lebaran 18-26 February</t>
  </si>
  <si>
    <t>Stock Per Barcode sudah selesai</t>
  </si>
  <si>
    <t>Stock Leadtime sudah selesai</t>
  </si>
  <si>
    <t>List Karton per kode order sudah selesai</t>
  </si>
  <si>
    <t>Packing Lead Time sudah selesai</t>
  </si>
  <si>
    <t>Moving History Per List Barcode</t>
  </si>
  <si>
    <t>Stk Blank Gudang Packing</t>
  </si>
  <si>
    <t>Laporan Persediaan Gudang Packing</t>
  </si>
  <si>
    <t>BBK Intern</t>
  </si>
  <si>
    <t>Stock Lead Time Per Grade</t>
  </si>
  <si>
    <t>Stock Kain Grey</t>
  </si>
  <si>
    <t>RICEF BY LEUWITEX ( update 12 Maret 2026 )</t>
  </si>
  <si>
    <t>Update per 12 Maret 2026</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</si>
</sst>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ddd\ m/dd/yy"/>
    <numFmt numFmtId="165" formatCode="m/d/yyyy\ \(dddd\)"/>
    <numFmt numFmtId="166" formatCode="d\ mmm\ yyyy"/>
    <numFmt numFmtId="167" formatCode="d"/>
    <numFmt numFmtId="168" formatCode="ddd\ dd/m/yy"/>
  </numFmts>
  <fonts count="51">
    <font>
      <sz val="10"/>
      <name val="Arial"/>
      <charset val="134"/>
    </font>
    <font>
      <sz val="9"/>
      <name val="Arial"/>
      <charset val="134"/>
      <scheme val="minor"/>
    </font>
    <font>
      <sz val="9"/>
      <name val="Arial"/>
      <charset val="134"/>
    </font>
    <font>
      <sz val="11"/>
      <color indexed="8"/>
      <name val="Calibri"/>
      <charset val="134"/>
    </font>
    <font>
      <sz val="9"/>
      <color rgb="FF000000"/>
      <name val="Arial"/>
      <charset val="134"/>
      <scheme val="minor"/>
    </font>
    <font>
      <sz val="14"/>
      <color rgb="FF000000"/>
      <name val="Arial"/>
      <charset val="134"/>
      <scheme val="minor"/>
    </font>
    <font>
      <b/>
      <sz val="16"/>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16"/>
      <color theme="4" tint="-0.249977111117893"/>
      <name val="Arial"/>
      <charset val="134"/>
      <scheme val="major"/>
    </font>
    <font>
      <sz val="14"/>
      <color indexed="56"/>
      <name val="Arial"/>
      <charset val="134"/>
    </font>
    <font>
      <i/>
      <sz val="8"/>
      <color theme="0" tint="-0.34998626667073579"/>
      <name val="Arial"/>
      <charset val="134"/>
    </font>
    <font>
      <sz val="11"/>
      <name val="Arial"/>
      <charset val="134"/>
      <scheme val="major"/>
    </font>
    <font>
      <u/>
      <sz val="8"/>
      <color indexed="12"/>
      <name val="Arial"/>
      <charset val="134"/>
    </font>
    <font>
      <sz val="7"/>
      <color indexed="55"/>
      <name val="Arial"/>
      <charset val="134"/>
    </font>
    <font>
      <u/>
      <sz val="10"/>
      <color indexed="12"/>
      <name val="Arial"/>
      <charset val="134"/>
    </font>
    <font>
      <sz val="10"/>
      <name val="Arial"/>
      <charset val="134"/>
      <scheme val="major"/>
    </font>
    <font>
      <sz val="10"/>
      <name val="Arial"/>
      <charset val="134"/>
      <scheme val="minor"/>
    </font>
    <font>
      <sz val="11"/>
      <name val="Arial"/>
      <charset val="134"/>
      <scheme val="minor"/>
    </font>
    <font>
      <b/>
      <sz val="9"/>
      <name val="Arial"/>
      <charset val="134"/>
      <scheme val="major"/>
    </font>
    <font>
      <b/>
      <sz val="8"/>
      <name val="Arial"/>
      <charset val="134"/>
      <scheme val="major"/>
    </font>
    <font>
      <b/>
      <sz val="11"/>
      <name val="Arial"/>
      <charset val="134"/>
      <scheme val="minor"/>
    </font>
    <font>
      <sz val="14"/>
      <name val="Arial"/>
      <charset val="134"/>
      <scheme val="minor"/>
    </font>
    <font>
      <i/>
      <sz val="11"/>
      <name val="Arial"/>
      <charset val="134"/>
    </font>
    <font>
      <i/>
      <sz val="11"/>
      <color rgb="FF000000"/>
      <name val="Arial"/>
      <charset val="134"/>
    </font>
    <font>
      <b/>
      <sz val="11"/>
      <color rgb="FFFF0000"/>
      <name val="Arial"/>
      <charset val="134"/>
    </font>
    <font>
      <b/>
      <i/>
      <sz val="9"/>
      <name val="Tahoma"/>
      <charset val="134"/>
    </font>
    <font>
      <sz val="9"/>
      <name val="Tahoma"/>
      <charset val="134"/>
    </font>
    <font>
      <b/>
      <sz val="9"/>
      <name val="Tahoma"/>
      <charset val="134"/>
    </font>
    <font>
      <i/>
      <sz val="9"/>
      <name val="Tahoma"/>
      <charset val="134"/>
    </font>
    <font>
      <b/>
      <sz val="9"/>
      <name val="Tahoma"/>
      <charset val="1"/>
    </font>
    <font>
      <sz val="9"/>
      <name val="Tahoma"/>
      <charset val="1"/>
    </font>
    <font>
      <sz val="8"/>
      <name val="Tahoma"/>
      <charset val="134"/>
    </font>
    <font>
      <sz val="10"/>
      <name val="Arial"/>
      <charset val="134"/>
    </font>
  </fonts>
  <fills count="15">
    <fill>
      <patternFill patternType="none"/>
    </fill>
    <fill>
      <patternFill patternType="gray125"/>
    </fill>
    <fill>
      <patternFill patternType="solid">
        <fgColor theme="3" tint="0.79970702230903046"/>
        <bgColor rgb="FFD6F4D9"/>
      </patternFill>
    </fill>
    <fill>
      <patternFill patternType="solid">
        <fgColor theme="3" tint="0.79970702230903046"/>
        <bgColor indexed="64"/>
      </patternFill>
    </fill>
    <fill>
      <patternFill patternType="solid">
        <fgColor indexed="22"/>
        <bgColor indexed="64"/>
      </patternFill>
    </fill>
    <fill>
      <patternFill patternType="solid">
        <fgColor theme="0" tint="-0.14972380748924222"/>
        <bgColor indexed="64"/>
      </patternFill>
    </fill>
    <fill>
      <patternFill patternType="solid">
        <fgColor indexed="9"/>
        <bgColor indexed="64"/>
      </patternFill>
    </fill>
    <fill>
      <patternFill patternType="solid">
        <fgColor theme="6" tint="0.79979857783745845"/>
        <bgColor indexed="64"/>
      </patternFill>
    </fill>
    <fill>
      <patternFill patternType="solid">
        <fgColor theme="6" tint="0.79982909634693444"/>
        <bgColor indexed="64"/>
      </patternFill>
    </fill>
    <fill>
      <patternFill patternType="solid">
        <fgColor theme="0"/>
        <bgColor indexed="64"/>
      </patternFill>
    </fill>
    <fill>
      <patternFill patternType="solid">
        <fgColor rgb="FFFFFF00"/>
        <bgColor indexed="64"/>
      </patternFill>
    </fill>
    <fill>
      <patternFill patternType="solid">
        <fgColor theme="3" tint="0.79995117038483843"/>
        <bgColor indexed="64"/>
      </patternFill>
    </fill>
    <fill>
      <patternFill patternType="solid">
        <fgColor rgb="FFFFC000"/>
        <bgColor indexed="64"/>
      </patternFill>
    </fill>
    <fill>
      <patternFill patternType="solid">
        <fgColor theme="2" tint="-0.499984740745262"/>
        <bgColor indexed="64"/>
      </patternFill>
    </fill>
    <fill>
      <patternFill patternType="solid">
        <fgColor theme="0"/>
        <bgColor rgb="FFD6F4D9"/>
      </patternFill>
    </fill>
  </fills>
  <borders count="16">
    <border>
      <left/>
      <right/>
      <top/>
      <bottom/>
      <diagonal/>
    </border>
    <border>
      <left/>
      <right/>
      <top style="thin">
        <color indexed="22"/>
      </top>
      <bottom style="thin">
        <color indexed="22"/>
      </bottom>
      <diagonal/>
    </border>
    <border>
      <left/>
      <right/>
      <top style="thin">
        <color rgb="FFEAEAEA"/>
      </top>
      <bottom style="thin">
        <color rgb="FFEAEAEA"/>
      </bottom>
      <diagonal/>
    </border>
    <border>
      <left/>
      <right/>
      <top style="thin">
        <color rgb="FFEFEFEF"/>
      </top>
      <bottom style="thin">
        <color rgb="FFEFEFEF"/>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bottom style="thin">
        <color theme="0" tint="-0.24994659260841701"/>
      </bottom>
      <diagonal/>
    </border>
    <border>
      <left style="medium">
        <color theme="0" tint="-0.24994659260841701"/>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theme="0" tint="-0.24994659260841701"/>
      </right>
      <top/>
      <bottom/>
      <diagonal/>
    </border>
    <border>
      <left/>
      <right/>
      <top style="thin">
        <color theme="0" tint="-0.24994659260841701"/>
      </top>
      <bottom style="thin">
        <color theme="0" tint="-0.24994659260841701"/>
      </bottom>
      <diagonal/>
    </border>
    <border>
      <left/>
      <right/>
      <top/>
      <bottom style="medium">
        <color theme="0" tint="-0.34998626667073579"/>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style="medium">
        <color theme="0" tint="-0.34998626667073579"/>
      </bottom>
      <diagonal/>
    </border>
    <border>
      <left/>
      <right/>
      <top/>
      <bottom style="thin">
        <color indexed="22"/>
      </bottom>
      <diagonal/>
    </border>
  </borders>
  <cellStyleXfs count="3">
    <xf numFmtId="0" fontId="0" fillId="0" borderId="0"/>
    <xf numFmtId="9" fontId="50" fillId="0" borderId="0" applyFont="0" applyFill="0" applyBorder="0" applyAlignment="0" applyProtection="0"/>
    <xf numFmtId="0" fontId="32" fillId="0" borderId="0" applyNumberFormat="0" applyFill="0" applyBorder="0" applyAlignment="0" applyProtection="0">
      <alignment vertical="top"/>
      <protection locked="0"/>
    </xf>
  </cellStyleXfs>
  <cellXfs count="126">
    <xf numFmtId="0" fontId="0" fillId="0" borderId="0" xfId="0"/>
    <xf numFmtId="0" fontId="1" fillId="0" borderId="1" xfId="0" applyFont="1" applyBorder="1" applyAlignment="1">
      <alignment vertical="center"/>
    </xf>
    <xf numFmtId="0" fontId="2" fillId="0" borderId="2" xfId="0" applyFont="1" applyBorder="1" applyAlignment="1">
      <alignment vertical="center" wrapText="1"/>
    </xf>
    <xf numFmtId="0" fontId="3" fillId="0" borderId="0" xfId="0" applyFont="1" applyAlignment="1">
      <alignment vertical="center" wrapText="1"/>
    </xf>
    <xf numFmtId="0" fontId="1" fillId="0" borderId="1" xfId="0" applyFont="1" applyBorder="1" applyAlignment="1">
      <alignment horizontal="left" vertical="center"/>
    </xf>
    <xf numFmtId="0" fontId="4" fillId="0" borderId="3" xfId="0" applyFont="1" applyBorder="1" applyAlignment="1">
      <alignment horizontal="center" vertical="center"/>
    </xf>
    <xf numFmtId="164" fontId="4" fillId="2" borderId="3" xfId="0" applyNumberFormat="1" applyFont="1" applyFill="1" applyBorder="1" applyAlignment="1">
      <alignment horizontal="center" vertical="center"/>
    </xf>
    <xf numFmtId="164" fontId="4" fillId="0" borderId="3" xfId="0" applyNumberFormat="1" applyFont="1" applyBorder="1" applyAlignment="1">
      <alignment horizontal="center" vertical="center"/>
    </xf>
    <xf numFmtId="1" fontId="4" fillId="3" borderId="3" xfId="0" applyNumberFormat="1" applyFont="1" applyFill="1" applyBorder="1" applyAlignment="1">
      <alignment horizontal="center" vertical="center"/>
    </xf>
    <xf numFmtId="9" fontId="4" fillId="3" borderId="3" xfId="1" applyFont="1" applyFill="1" applyBorder="1" applyAlignment="1" applyProtection="1">
      <alignment horizontal="center" vertical="center"/>
    </xf>
    <xf numFmtId="1" fontId="4" fillId="0" borderId="3" xfId="0" applyNumberFormat="1" applyFont="1" applyBorder="1" applyAlignment="1">
      <alignment horizontal="center" vertical="center"/>
    </xf>
    <xf numFmtId="1" fontId="5" fillId="0" borderId="3" xfId="0" applyNumberFormat="1"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wrapText="1"/>
    </xf>
    <xf numFmtId="0" fontId="0" fillId="0" borderId="4" xfId="0" applyBorder="1"/>
    <xf numFmtId="0" fontId="8" fillId="0" borderId="4" xfId="0" applyFont="1" applyBorder="1" applyAlignment="1">
      <alignment horizontal="left" wrapText="1"/>
    </xf>
    <xf numFmtId="0" fontId="0" fillId="0" borderId="5" xfId="0" applyBorder="1"/>
    <xf numFmtId="0" fontId="9" fillId="0" borderId="4" xfId="2" applyFont="1" applyBorder="1" applyAlignment="1" applyProtection="1">
      <alignment wrapText="1"/>
    </xf>
    <xf numFmtId="0" fontId="8" fillId="0" borderId="5" xfId="0" applyFont="1" applyBorder="1" applyAlignment="1">
      <alignment horizontal="left" wrapText="1"/>
    </xf>
    <xf numFmtId="0" fontId="10" fillId="0" borderId="5" xfId="0" applyFont="1" applyBorder="1" applyAlignment="1">
      <alignment horizontal="left" wrapText="1"/>
    </xf>
    <xf numFmtId="0" fontId="11" fillId="0" borderId="5" xfId="2" applyFont="1" applyBorder="1" applyAlignment="1" applyProtection="1">
      <alignment horizontal="left" wrapText="1"/>
    </xf>
    <xf numFmtId="0" fontId="8" fillId="0" borderId="5" xfId="0" applyFont="1" applyBorder="1" applyAlignment="1">
      <alignment horizontal="left"/>
    </xf>
    <xf numFmtId="0" fontId="0" fillId="0" borderId="0" xfId="0" applyAlignment="1">
      <alignment vertical="center"/>
    </xf>
    <xf numFmtId="0" fontId="12" fillId="0" borderId="0" xfId="0" applyFont="1" applyAlignment="1">
      <alignment horizontal="left" vertical="center"/>
    </xf>
    <xf numFmtId="0" fontId="9" fillId="0" borderId="0" xfId="2" applyFont="1" applyAlignment="1" applyProtection="1"/>
    <xf numFmtId="0" fontId="13" fillId="0" borderId="0" xfId="0" applyFont="1" applyAlignment="1">
      <alignment horizontal="right"/>
    </xf>
    <xf numFmtId="0" fontId="14" fillId="0" borderId="0" xfId="0" applyFont="1"/>
    <xf numFmtId="0" fontId="15" fillId="0" borderId="0" xfId="0" applyFont="1"/>
    <xf numFmtId="0" fontId="16" fillId="0" borderId="0" xfId="0" applyFont="1" applyAlignment="1">
      <alignment horizontal="left" wrapText="1"/>
    </xf>
    <xf numFmtId="0" fontId="16" fillId="0" borderId="0" xfId="0" applyFont="1" applyAlignment="1">
      <alignment wrapText="1"/>
    </xf>
    <xf numFmtId="0" fontId="17" fillId="0" borderId="0" xfId="0" applyFont="1" applyAlignment="1">
      <alignment vertical="center"/>
    </xf>
    <xf numFmtId="0" fontId="16" fillId="0" borderId="0" xfId="0" applyFont="1" applyAlignment="1">
      <alignment vertical="center" wrapText="1"/>
    </xf>
    <xf numFmtId="0" fontId="0" fillId="4" borderId="0" xfId="0" applyFill="1" applyAlignment="1">
      <alignment horizontal="center" vertical="center"/>
    </xf>
    <xf numFmtId="0" fontId="17" fillId="0" borderId="0" xfId="0" applyFont="1"/>
    <xf numFmtId="0" fontId="0" fillId="3" borderId="0" xfId="0" applyFill="1" applyAlignment="1">
      <alignment horizontal="center" vertical="center"/>
    </xf>
    <xf numFmtId="0" fontId="18" fillId="0" borderId="0" xfId="0" applyFont="1" applyAlignment="1">
      <alignment vertical="center" wrapText="1"/>
    </xf>
    <xf numFmtId="0" fontId="19" fillId="0" borderId="0" xfId="0" applyFont="1"/>
    <xf numFmtId="0" fontId="20" fillId="0" borderId="0" xfId="0" applyFont="1"/>
    <xf numFmtId="0" fontId="9" fillId="0" borderId="0" xfId="2" applyFont="1" applyFill="1" applyBorder="1" applyAlignment="1" applyProtection="1">
      <alignment vertical="center"/>
    </xf>
    <xf numFmtId="0" fontId="13" fillId="0" borderId="0" xfId="0" applyFont="1" applyAlignment="1">
      <alignment wrapText="1"/>
    </xf>
    <xf numFmtId="0" fontId="21" fillId="0" borderId="0" xfId="0" applyFont="1" applyAlignment="1">
      <alignment horizontal="right"/>
    </xf>
    <xf numFmtId="0" fontId="16" fillId="0" borderId="0" xfId="0" applyFont="1"/>
    <xf numFmtId="0" fontId="0" fillId="0" borderId="0" xfId="0" applyAlignment="1">
      <alignment horizontal="left" wrapText="1" indent="1"/>
    </xf>
    <xf numFmtId="0" fontId="20" fillId="0" borderId="0" xfId="0" applyFont="1" applyAlignment="1">
      <alignment horizontal="right"/>
    </xf>
    <xf numFmtId="0" fontId="22" fillId="0" borderId="0" xfId="0" applyFont="1" applyAlignment="1">
      <alignment vertical="center" wrapText="1"/>
    </xf>
    <xf numFmtId="0" fontId="16" fillId="0" borderId="0" xfId="0" applyFont="1" applyAlignment="1">
      <alignment horizontal="left" vertical="center" wrapText="1"/>
    </xf>
    <xf numFmtId="0" fontId="16" fillId="0" borderId="0" xfId="0" applyFont="1" applyAlignment="1">
      <alignment horizontal="left" indent="1"/>
    </xf>
    <xf numFmtId="0" fontId="22" fillId="0" borderId="0" xfId="0" applyFont="1"/>
    <xf numFmtId="0" fontId="21" fillId="0" borderId="0" xfId="0" applyFont="1" applyAlignment="1">
      <alignment horizontal="left" wrapText="1"/>
    </xf>
    <xf numFmtId="0" fontId="23" fillId="0" borderId="0" xfId="0" applyFont="1" applyAlignment="1">
      <alignment horizontal="left" indent="1"/>
    </xf>
    <xf numFmtId="0" fontId="13" fillId="0" borderId="0" xfId="0" applyFont="1" applyAlignment="1">
      <alignment horizontal="left" vertical="center"/>
    </xf>
    <xf numFmtId="0" fontId="7" fillId="0" borderId="0" xfId="0" applyFont="1" applyAlignment="1">
      <alignment vertical="center"/>
    </xf>
    <xf numFmtId="0" fontId="24" fillId="0" borderId="0" xfId="2" applyFont="1" applyAlignment="1" applyProtection="1"/>
    <xf numFmtId="0" fontId="25" fillId="0" borderId="0" xfId="0" applyFont="1"/>
    <xf numFmtId="0" fontId="23" fillId="0" borderId="0" xfId="0" applyFont="1"/>
    <xf numFmtId="0" fontId="1" fillId="5" borderId="1" xfId="0" applyFont="1" applyFill="1" applyBorder="1" applyAlignment="1">
      <alignment vertical="center"/>
    </xf>
    <xf numFmtId="0" fontId="26" fillId="0" borderId="0" xfId="0" applyFont="1" applyAlignment="1" applyProtection="1">
      <alignment vertical="center"/>
      <protection locked="0"/>
    </xf>
    <xf numFmtId="0" fontId="27" fillId="0" borderId="0" xfId="0" applyFont="1" applyAlignment="1" applyProtection="1">
      <alignment vertical="center"/>
      <protection locked="0"/>
    </xf>
    <xf numFmtId="0" fontId="0" fillId="0" borderId="0" xfId="0" applyAlignment="1">
      <alignment horizontal="right" vertical="center"/>
    </xf>
    <xf numFmtId="0" fontId="29" fillId="0" borderId="0" xfId="0" applyFont="1" applyAlignment="1" applyProtection="1">
      <alignment vertical="center"/>
      <protection locked="0"/>
    </xf>
    <xf numFmtId="0" fontId="2" fillId="0" borderId="0" xfId="0" applyFont="1" applyProtection="1">
      <protection locked="0"/>
    </xf>
    <xf numFmtId="0" fontId="30" fillId="6" borderId="0" xfId="2" applyNumberFormat="1" applyFont="1" applyFill="1" applyAlignment="1" applyProtection="1">
      <alignment horizontal="right"/>
      <protection locked="0"/>
    </xf>
    <xf numFmtId="0" fontId="31" fillId="0" borderId="0" xfId="0" applyFont="1" applyProtection="1">
      <protection locked="0"/>
    </xf>
    <xf numFmtId="0" fontId="0" fillId="6" borderId="0" xfId="0" applyFill="1"/>
    <xf numFmtId="0" fontId="32" fillId="0" borderId="0" xfId="2" applyAlignment="1" applyProtection="1">
      <alignment horizontal="left"/>
    </xf>
    <xf numFmtId="0" fontId="33" fillId="0" borderId="0" xfId="0" applyFont="1"/>
    <xf numFmtId="0" fontId="33" fillId="0" borderId="0" xfId="0" applyFont="1" applyAlignment="1">
      <alignment horizontal="right" vertical="center"/>
    </xf>
    <xf numFmtId="0" fontId="34" fillId="0" borderId="6" xfId="0" applyFont="1" applyBorder="1" applyAlignment="1" applyProtection="1">
      <alignment horizontal="center" vertical="center"/>
      <protection locked="0"/>
    </xf>
    <xf numFmtId="167" fontId="13" fillId="0" borderId="7" xfId="0" applyNumberFormat="1" applyFont="1" applyBorder="1" applyAlignment="1">
      <alignment horizontal="center" vertical="center" shrinkToFit="1"/>
    </xf>
    <xf numFmtId="167" fontId="13" fillId="0" borderId="8" xfId="0" applyNumberFormat="1" applyFont="1" applyBorder="1" applyAlignment="1">
      <alignment horizontal="center" vertical="center" shrinkToFit="1"/>
    </xf>
    <xf numFmtId="167" fontId="13" fillId="0" borderId="9" xfId="0" applyNumberFormat="1" applyFont="1" applyBorder="1" applyAlignment="1">
      <alignment horizontal="center" vertical="center" shrinkToFit="1"/>
    </xf>
    <xf numFmtId="0" fontId="36" fillId="0" borderId="11" xfId="0" applyFont="1" applyBorder="1" applyAlignment="1">
      <alignment horizontal="left" vertical="center"/>
    </xf>
    <xf numFmtId="0" fontId="36" fillId="0" borderId="11" xfId="0" applyFont="1" applyBorder="1" applyAlignment="1">
      <alignment horizontal="center" vertical="center" wrapText="1"/>
    </xf>
    <xf numFmtId="0" fontId="37" fillId="0" borderId="11" xfId="0" applyFont="1" applyBorder="1" applyAlignment="1">
      <alignment horizontal="center" vertical="center" wrapText="1"/>
    </xf>
    <xf numFmtId="0" fontId="36" fillId="0" borderId="11" xfId="0" applyFont="1" applyBorder="1" applyAlignment="1">
      <alignment horizontal="center" vertical="center"/>
    </xf>
    <xf numFmtId="0" fontId="1" fillId="0" borderId="12" xfId="0" applyFont="1" applyBorder="1" applyAlignment="1">
      <alignment horizontal="center" vertical="center" shrinkToFit="1"/>
    </xf>
    <xf numFmtId="0" fontId="1" fillId="0" borderId="13" xfId="0" applyFont="1" applyBorder="1" applyAlignment="1">
      <alignment horizontal="center" vertical="center" shrinkToFit="1"/>
    </xf>
    <xf numFmtId="0" fontId="1" fillId="0" borderId="14" xfId="0" applyFont="1" applyBorder="1" applyAlignment="1">
      <alignment horizontal="center" vertical="center" shrinkToFit="1"/>
    </xf>
    <xf numFmtId="0" fontId="38" fillId="5" borderId="15" xfId="0" applyFont="1" applyFill="1" applyBorder="1" applyAlignment="1">
      <alignment horizontal="left" vertical="center"/>
    </xf>
    <xf numFmtId="0" fontId="38" fillId="5" borderId="15" xfId="0" applyFont="1" applyFill="1" applyBorder="1" applyAlignment="1">
      <alignment vertical="center"/>
    </xf>
    <xf numFmtId="0" fontId="1" fillId="5" borderId="15" xfId="0" applyFont="1" applyFill="1" applyBorder="1" applyAlignment="1">
      <alignment vertical="center"/>
    </xf>
    <xf numFmtId="0" fontId="1" fillId="5" borderId="15" xfId="0" applyFont="1" applyFill="1" applyBorder="1" applyAlignment="1">
      <alignment horizontal="center" vertical="center"/>
    </xf>
    <xf numFmtId="168" fontId="1" fillId="5" borderId="15" xfId="0" applyNumberFormat="1" applyFont="1" applyFill="1" applyBorder="1" applyAlignment="1">
      <alignment horizontal="right" vertical="center"/>
    </xf>
    <xf numFmtId="168" fontId="1" fillId="5" borderId="15" xfId="0" applyNumberFormat="1" applyFont="1" applyFill="1" applyBorder="1" applyAlignment="1">
      <alignment horizontal="center" vertical="center"/>
    </xf>
    <xf numFmtId="1" fontId="1" fillId="5" borderId="15" xfId="1" applyNumberFormat="1" applyFont="1" applyFill="1" applyBorder="1" applyAlignment="1" applyProtection="1">
      <alignment horizontal="center" vertical="center"/>
    </xf>
    <xf numFmtId="9" fontId="1" fillId="5" borderId="15" xfId="1" applyFont="1" applyFill="1" applyBorder="1" applyAlignment="1" applyProtection="1">
      <alignment horizontal="center" vertical="center"/>
    </xf>
    <xf numFmtId="1" fontId="1" fillId="5" borderId="15" xfId="0" applyNumberFormat="1" applyFont="1" applyFill="1" applyBorder="1" applyAlignment="1">
      <alignment horizontal="center" vertical="center"/>
    </xf>
    <xf numFmtId="1" fontId="39" fillId="5" borderId="15" xfId="0" applyNumberFormat="1" applyFont="1" applyFill="1" applyBorder="1" applyAlignment="1">
      <alignment horizontal="center" vertical="center"/>
    </xf>
    <xf numFmtId="0" fontId="1" fillId="5" borderId="15" xfId="0" applyFont="1" applyFill="1" applyBorder="1" applyAlignment="1">
      <alignment horizontal="left" vertical="center"/>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49" fontId="33" fillId="9" borderId="0" xfId="0" applyNumberFormat="1" applyFont="1" applyFill="1" applyAlignment="1">
      <alignment horizontal="left" vertical="center" wrapText="1"/>
    </xf>
    <xf numFmtId="0" fontId="1" fillId="0" borderId="15" xfId="0" applyFont="1" applyBorder="1" applyAlignment="1">
      <alignment vertical="center" wrapText="1"/>
    </xf>
    <xf numFmtId="0" fontId="1" fillId="0" borderId="1" xfId="0" applyFont="1" applyBorder="1" applyAlignment="1">
      <alignment vertical="center" wrapText="1"/>
    </xf>
    <xf numFmtId="0" fontId="1" fillId="10" borderId="1" xfId="0" applyFont="1" applyFill="1" applyBorder="1" applyAlignment="1">
      <alignment vertical="center" wrapText="1"/>
    </xf>
    <xf numFmtId="0" fontId="1" fillId="9" borderId="1" xfId="0" applyFont="1" applyFill="1" applyBorder="1" applyAlignment="1">
      <alignment vertical="center"/>
    </xf>
    <xf numFmtId="9" fontId="4" fillId="3" borderId="3" xfId="1" applyNumberFormat="1" applyFont="1" applyFill="1" applyBorder="1" applyAlignment="1" applyProtection="1">
      <alignment horizontal="center" vertical="center"/>
    </xf>
    <xf numFmtId="0" fontId="1" fillId="11" borderId="1" xfId="0" applyFont="1" applyFill="1" applyBorder="1" applyAlignment="1">
      <alignment vertical="center"/>
    </xf>
    <xf numFmtId="0" fontId="1" fillId="12" borderId="1" xfId="0" applyFont="1" applyFill="1" applyBorder="1" applyAlignment="1">
      <alignment vertical="center" wrapText="1"/>
    </xf>
    <xf numFmtId="0" fontId="1" fillId="13" borderId="1" xfId="0" applyFont="1" applyFill="1" applyBorder="1" applyAlignment="1">
      <alignment vertical="center" wrapText="1"/>
    </xf>
    <xf numFmtId="0" fontId="38" fillId="5" borderId="1" xfId="0" applyFont="1" applyFill="1" applyBorder="1" applyAlignment="1">
      <alignment horizontal="left" vertical="center"/>
    </xf>
    <xf numFmtId="0" fontId="38" fillId="5" borderId="1" xfId="0" applyFont="1" applyFill="1" applyBorder="1" applyAlignment="1">
      <alignment vertical="center"/>
    </xf>
    <xf numFmtId="0" fontId="1" fillId="5" borderId="1" xfId="0" applyFont="1" applyFill="1" applyBorder="1" applyAlignment="1">
      <alignment horizontal="center" vertical="center"/>
    </xf>
    <xf numFmtId="164" fontId="1" fillId="5" borderId="1" xfId="0" applyNumberFormat="1" applyFont="1" applyFill="1" applyBorder="1" applyAlignment="1">
      <alignment horizontal="center" vertical="center"/>
    </xf>
    <xf numFmtId="1" fontId="1" fillId="5" borderId="1" xfId="1" applyNumberFormat="1" applyFont="1" applyFill="1" applyBorder="1" applyAlignment="1" applyProtection="1">
      <alignment horizontal="center" vertical="center"/>
    </xf>
    <xf numFmtId="9" fontId="1" fillId="5" borderId="1" xfId="1" applyFont="1" applyFill="1" applyBorder="1" applyAlignment="1" applyProtection="1">
      <alignment horizontal="center" vertical="center"/>
    </xf>
    <xf numFmtId="1" fontId="1" fillId="5" borderId="1" xfId="0" applyNumberFormat="1" applyFont="1" applyFill="1" applyBorder="1" applyAlignment="1">
      <alignment horizontal="center" vertical="center"/>
    </xf>
    <xf numFmtId="1" fontId="39" fillId="5" borderId="1" xfId="0" applyNumberFormat="1" applyFont="1" applyFill="1" applyBorder="1" applyAlignment="1">
      <alignment horizontal="center" vertical="center"/>
    </xf>
    <xf numFmtId="0" fontId="1" fillId="5" borderId="1" xfId="0" applyFont="1" applyFill="1" applyBorder="1" applyAlignment="1">
      <alignment horizontal="left" vertical="center"/>
    </xf>
    <xf numFmtId="0" fontId="16" fillId="0" borderId="0" xfId="0" quotePrefix="1" applyFont="1" applyAlignment="1">
      <alignment horizontal="left" wrapText="1" indent="1"/>
    </xf>
    <xf numFmtId="0" fontId="16" fillId="0" borderId="0" xfId="0" quotePrefix="1" applyFont="1" applyAlignment="1">
      <alignment wrapText="1"/>
    </xf>
    <xf numFmtId="164" fontId="4" fillId="14" borderId="3" xfId="0" applyNumberFormat="1" applyFont="1" applyFill="1" applyBorder="1" applyAlignment="1">
      <alignment horizontal="center" vertical="center"/>
    </xf>
    <xf numFmtId="164" fontId="4" fillId="9" borderId="3" xfId="0" applyNumberFormat="1" applyFont="1" applyFill="1" applyBorder="1" applyAlignment="1">
      <alignment horizontal="center" vertical="center"/>
    </xf>
    <xf numFmtId="1" fontId="4" fillId="9" borderId="3" xfId="0" applyNumberFormat="1" applyFont="1" applyFill="1" applyBorder="1" applyAlignment="1">
      <alignment horizontal="center" vertical="center"/>
    </xf>
    <xf numFmtId="9" fontId="4" fillId="9" borderId="3" xfId="1" applyFont="1" applyFill="1" applyBorder="1" applyAlignment="1" applyProtection="1">
      <alignment horizontal="center" vertical="center"/>
    </xf>
    <xf numFmtId="166" fontId="34" fillId="0" borderId="7" xfId="0" applyNumberFormat="1" applyFont="1" applyBorder="1" applyAlignment="1">
      <alignment horizontal="center" vertical="center"/>
    </xf>
    <xf numFmtId="166" fontId="34" fillId="0" borderId="8" xfId="0" applyNumberFormat="1" applyFont="1" applyBorder="1" applyAlignment="1">
      <alignment horizontal="center" vertical="center"/>
    </xf>
    <xf numFmtId="166" fontId="34" fillId="0" borderId="9" xfId="0" applyNumberFormat="1" applyFont="1" applyBorder="1" applyAlignment="1">
      <alignment horizontal="center" vertical="center"/>
    </xf>
    <xf numFmtId="165" fontId="34" fillId="0" borderId="10" xfId="0" applyNumberFormat="1" applyFont="1" applyBorder="1" applyAlignment="1" applyProtection="1">
      <alignment horizontal="center" vertical="center" shrinkToFit="1"/>
      <protection locked="0"/>
    </xf>
    <xf numFmtId="0" fontId="35" fillId="0" borderId="7" xfId="0" applyFont="1" applyBorder="1" applyAlignment="1">
      <alignment horizontal="center" vertical="center"/>
    </xf>
    <xf numFmtId="0" fontId="35" fillId="0" borderId="8" xfId="0" applyFont="1" applyBorder="1" applyAlignment="1">
      <alignment horizontal="center" vertical="center"/>
    </xf>
    <xf numFmtId="0" fontId="35" fillId="0" borderId="9" xfId="0" applyFont="1" applyBorder="1" applyAlignment="1">
      <alignment horizontal="center" vertical="center"/>
    </xf>
    <xf numFmtId="0" fontId="28" fillId="0" borderId="0" xfId="2" applyFont="1" applyBorder="1" applyAlignment="1" applyProtection="1">
      <alignment horizontal="left" vertical="center"/>
    </xf>
    <xf numFmtId="165" fontId="34" fillId="0" borderId="6" xfId="0" applyNumberFormat="1" applyFont="1" applyBorder="1" applyAlignment="1" applyProtection="1">
      <alignment horizontal="center" vertical="center" shrinkToFit="1"/>
      <protection locked="0"/>
    </xf>
    <xf numFmtId="0" fontId="14" fillId="0" borderId="0" xfId="0" applyFont="1" applyAlignment="1">
      <alignment horizontal="left"/>
    </xf>
    <xf numFmtId="0" fontId="6" fillId="0" borderId="0" xfId="0" applyFont="1" applyAlignment="1">
      <alignment horizontal="center"/>
    </xf>
  </cellXfs>
  <cellStyles count="3">
    <cellStyle name="Hyperlink" xfId="2" builtinId="8"/>
    <cellStyle name="Normal" xfId="0" builtinId="0"/>
    <cellStyle name="Percent" xfId="1" builtinId="5"/>
  </cellStyles>
  <dxfs count="11">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ont>
        <color theme="0"/>
      </font>
      <fill>
        <patternFill patternType="solid">
          <bgColor theme="5"/>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Scroll" dx="22" fmlaLink="$H$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504825</xdr:colOff>
      <xdr:row>5</xdr:row>
      <xdr:rowOff>142875</xdr:rowOff>
    </xdr:from>
    <xdr:to>
      <xdr:col>7</xdr:col>
      <xdr:colOff>95250</xdr:colOff>
      <xdr:row>10</xdr:row>
      <xdr:rowOff>80433</xdr:rowOff>
    </xdr:to>
    <xdr:sp macro="" textlink="">
      <xdr:nvSpPr>
        <xdr:cNvPr id="8236" name="Text Box 44" hidden="1"/>
        <xdr:cNvSpPr txBox="1">
          <a:spLocks noChangeArrowheads="1"/>
        </xdr:cNvSpPr>
      </xdr:nvSpPr>
      <xdr:spPr>
        <a:xfrm>
          <a:off x="4953000" y="1371600"/>
          <a:ext cx="3419475" cy="1099185"/>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macro="" textlink="">
          <xdr:nvSpPr>
            <xdr:cNvPr id="8238" name="Scroll Bar 46" hidden="1">
              <a:extLst>
                <a:ext uri="{63B3BB69-23CF-44E3-9099-C40C66FF867C}">
                  <a14:compatExt spid="_x0000_s8238"/>
                </a:ext>
              </a:extLst>
            </xdr:cNvPr>
            <xdr:cNvSpPr/>
          </xdr:nvSpPr>
          <xdr:spPr>
            <a:xfrm>
              <a:off x="0" y="0"/>
              <a:ext cx="0" cy="0"/>
            </a:xfrm>
            <a:prstGeom prst="rect">
              <a:avLst/>
            </a:prstGeom>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10</xdr:row>
      <xdr:rowOff>0</xdr:rowOff>
    </xdr:from>
    <xdr:to>
      <xdr:col>0</xdr:col>
      <xdr:colOff>304800</xdr:colOff>
      <xdr:row>11</xdr:row>
      <xdr:rowOff>142875</xdr:rowOff>
    </xdr:to>
    <xdr:sp macro="" textlink="">
      <xdr:nvSpPr>
        <xdr:cNvPr id="12289" name="AutoShape 1" descr="blob:https://web.whatsapp.com/4841a61e-759f-484d-9013-f081556103c8"/>
        <xdr:cNvSpPr>
          <a:spLocks noChangeAspect="1" noChangeArrowheads="1"/>
        </xdr:cNvSpPr>
      </xdr:nvSpPr>
      <xdr:spPr>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304800</xdr:colOff>
      <xdr:row>11</xdr:row>
      <xdr:rowOff>142875</xdr:rowOff>
    </xdr:to>
    <xdr:sp macro="" textlink="">
      <xdr:nvSpPr>
        <xdr:cNvPr id="12291" name="AutoShape 3" descr="blob:https://web.whatsapp.com/4841a61e-759f-484d-9013-f081556103c8"/>
        <xdr:cNvSpPr>
          <a:spLocks noChangeAspect="1" noChangeArrowheads="1"/>
        </xdr:cNvSpPr>
      </xdr:nvSpPr>
      <xdr:spPr>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pageSetUpPr fitToPage="1"/>
  </sheetPr>
  <dimension ref="A1:BN115"/>
  <sheetViews>
    <sheetView showGridLines="0" tabSelected="1" zoomScale="110" zoomScaleNormal="110" workbookViewId="0">
      <pane ySplit="7" topLeftCell="A8" activePane="bottomLeft" state="frozen"/>
      <selection pane="bottomLeft" activeCell="H60" sqref="H60"/>
    </sheetView>
  </sheetViews>
  <sheetFormatPr defaultColWidth="9.140625" defaultRowHeight="12.75"/>
  <cols>
    <col min="1" max="1" width="6.85546875" customWidth="1"/>
    <col min="2" max="2" width="59.85546875" customWidth="1"/>
    <col min="3" max="3" width="13.42578125" customWidth="1"/>
    <col min="4" max="4" width="14" customWidth="1"/>
    <col min="5" max="6" width="12" customWidth="1"/>
    <col min="7" max="7" width="6" customWidth="1"/>
    <col min="8" max="8" width="6.7109375" customWidth="1"/>
    <col min="9" max="9" width="6.42578125" customWidth="1"/>
    <col min="10" max="10" width="1.85546875" customWidth="1"/>
    <col min="11" max="66" width="2.42578125" customWidth="1"/>
  </cols>
  <sheetData>
    <row r="1" spans="1:66" ht="30" customHeight="1">
      <c r="A1" s="56" t="s">
        <v>249</v>
      </c>
      <c r="B1" s="57"/>
      <c r="C1" s="57"/>
      <c r="D1" s="57"/>
      <c r="E1" s="57"/>
      <c r="F1" s="57"/>
      <c r="I1" s="58"/>
      <c r="K1" s="122"/>
      <c r="L1" s="122"/>
      <c r="M1" s="122"/>
      <c r="N1" s="122"/>
      <c r="O1" s="122"/>
      <c r="P1" s="122"/>
      <c r="Q1" s="122"/>
      <c r="R1" s="122"/>
      <c r="S1" s="122"/>
      <c r="T1" s="122"/>
      <c r="U1" s="122"/>
      <c r="V1" s="122"/>
      <c r="W1" s="122"/>
      <c r="X1" s="122"/>
      <c r="Y1" s="122"/>
      <c r="Z1" s="122"/>
      <c r="AA1" s="122"/>
      <c r="AB1" s="122"/>
      <c r="AC1" s="122"/>
      <c r="AD1" s="122"/>
      <c r="AE1" s="122"/>
    </row>
    <row r="2" spans="1:66" ht="18" customHeight="1">
      <c r="A2" s="59"/>
      <c r="B2" s="60"/>
      <c r="C2" s="60"/>
      <c r="D2" s="61"/>
      <c r="E2" s="62"/>
      <c r="F2" s="62"/>
      <c r="H2" s="63"/>
    </row>
    <row r="3" spans="1:66" ht="14.25">
      <c r="A3" s="59"/>
      <c r="H3" s="63"/>
      <c r="K3" s="64"/>
      <c r="L3" s="64"/>
      <c r="M3" s="64"/>
      <c r="N3" s="64"/>
      <c r="O3" s="64"/>
      <c r="P3" s="64"/>
      <c r="Q3" s="64"/>
      <c r="R3" s="64"/>
      <c r="S3" s="64"/>
      <c r="T3" s="64"/>
      <c r="U3" s="64"/>
      <c r="V3" s="64"/>
      <c r="W3" s="64"/>
      <c r="X3" s="64"/>
      <c r="Y3" s="64"/>
      <c r="Z3" s="64"/>
      <c r="AA3" s="64"/>
    </row>
    <row r="4" spans="1:66" ht="17.25" customHeight="1">
      <c r="A4" s="65"/>
      <c r="B4" s="66" t="s">
        <v>0</v>
      </c>
      <c r="C4" s="123">
        <v>45986</v>
      </c>
      <c r="D4" s="123"/>
      <c r="E4" s="123"/>
      <c r="F4" s="65"/>
      <c r="G4" s="66" t="s">
        <v>1</v>
      </c>
      <c r="H4" s="67">
        <v>1</v>
      </c>
      <c r="J4" s="65"/>
      <c r="K4" s="119" t="str">
        <f>"Week "&amp;(K6-($C$4-WEEKDAY($C$4,1)+2))/7+1</f>
        <v>Week 1</v>
      </c>
      <c r="L4" s="120"/>
      <c r="M4" s="120"/>
      <c r="N4" s="120"/>
      <c r="O4" s="120"/>
      <c r="P4" s="120"/>
      <c r="Q4" s="121"/>
      <c r="R4" s="119" t="str">
        <f>"Week "&amp;(R6-($C$4-WEEKDAY($C$4,1)+2))/7+1</f>
        <v>Week 2</v>
      </c>
      <c r="S4" s="120"/>
      <c r="T4" s="120"/>
      <c r="U4" s="120"/>
      <c r="V4" s="120"/>
      <c r="W4" s="120"/>
      <c r="X4" s="121"/>
      <c r="Y4" s="119" t="str">
        <f>"Week "&amp;(Y6-($C$4-WEEKDAY($C$4,1)+2))/7+1</f>
        <v>Week 3</v>
      </c>
      <c r="Z4" s="120"/>
      <c r="AA4" s="120"/>
      <c r="AB4" s="120"/>
      <c r="AC4" s="120"/>
      <c r="AD4" s="120"/>
      <c r="AE4" s="121"/>
      <c r="AF4" s="119" t="str">
        <f>"Week "&amp;(AF6-($C$4-WEEKDAY($C$4,1)+2))/7+1</f>
        <v>Week 4</v>
      </c>
      <c r="AG4" s="120"/>
      <c r="AH4" s="120"/>
      <c r="AI4" s="120"/>
      <c r="AJ4" s="120"/>
      <c r="AK4" s="120"/>
      <c r="AL4" s="121"/>
      <c r="AM4" s="119" t="str">
        <f>"Week "&amp;(AM6-($C$4-WEEKDAY($C$4,1)+2))/7+1</f>
        <v>Week 5</v>
      </c>
      <c r="AN4" s="120"/>
      <c r="AO4" s="120"/>
      <c r="AP4" s="120"/>
      <c r="AQ4" s="120"/>
      <c r="AR4" s="120"/>
      <c r="AS4" s="121"/>
      <c r="AT4" s="119" t="str">
        <f>"Week "&amp;(AT6-($C$4-WEEKDAY($C$4,1)+2))/7+1</f>
        <v>Week 6</v>
      </c>
      <c r="AU4" s="120"/>
      <c r="AV4" s="120"/>
      <c r="AW4" s="120"/>
      <c r="AX4" s="120"/>
      <c r="AY4" s="120"/>
      <c r="AZ4" s="121"/>
      <c r="BA4" s="119" t="str">
        <f>"Week "&amp;(BA6-($C$4-WEEKDAY($C$4,1)+2))/7+1</f>
        <v>Week 7</v>
      </c>
      <c r="BB4" s="120"/>
      <c r="BC4" s="120"/>
      <c r="BD4" s="120"/>
      <c r="BE4" s="120"/>
      <c r="BF4" s="120"/>
      <c r="BG4" s="121"/>
      <c r="BH4" s="119" t="str">
        <f>"Week "&amp;(BH6-($C$4-WEEKDAY($C$4,1)+2))/7+1</f>
        <v>Week 8</v>
      </c>
      <c r="BI4" s="120"/>
      <c r="BJ4" s="120"/>
      <c r="BK4" s="120"/>
      <c r="BL4" s="120"/>
      <c r="BM4" s="120"/>
      <c r="BN4" s="121"/>
    </row>
    <row r="5" spans="1:66" ht="17.25" customHeight="1">
      <c r="A5" s="65"/>
      <c r="B5" s="66" t="s">
        <v>2</v>
      </c>
      <c r="C5" s="118" t="s">
        <v>3</v>
      </c>
      <c r="D5" s="118"/>
      <c r="E5" s="118"/>
      <c r="F5" s="65"/>
      <c r="G5" s="65"/>
      <c r="H5" s="65"/>
      <c r="I5" s="65"/>
      <c r="J5" s="65"/>
      <c r="K5" s="115">
        <f>K6</f>
        <v>45985</v>
      </c>
      <c r="L5" s="116"/>
      <c r="M5" s="116"/>
      <c r="N5" s="116"/>
      <c r="O5" s="116"/>
      <c r="P5" s="116"/>
      <c r="Q5" s="117"/>
      <c r="R5" s="115">
        <f>R6</f>
        <v>45992</v>
      </c>
      <c r="S5" s="116"/>
      <c r="T5" s="116"/>
      <c r="U5" s="116"/>
      <c r="V5" s="116"/>
      <c r="W5" s="116"/>
      <c r="X5" s="117"/>
      <c r="Y5" s="115">
        <f>Y6</f>
        <v>45999</v>
      </c>
      <c r="Z5" s="116"/>
      <c r="AA5" s="116"/>
      <c r="AB5" s="116"/>
      <c r="AC5" s="116"/>
      <c r="AD5" s="116"/>
      <c r="AE5" s="117"/>
      <c r="AF5" s="115">
        <f>AF6</f>
        <v>46006</v>
      </c>
      <c r="AG5" s="116"/>
      <c r="AH5" s="116"/>
      <c r="AI5" s="116"/>
      <c r="AJ5" s="116"/>
      <c r="AK5" s="116"/>
      <c r="AL5" s="117"/>
      <c r="AM5" s="115">
        <f>AM6</f>
        <v>46013</v>
      </c>
      <c r="AN5" s="116"/>
      <c r="AO5" s="116"/>
      <c r="AP5" s="116"/>
      <c r="AQ5" s="116"/>
      <c r="AR5" s="116"/>
      <c r="AS5" s="117"/>
      <c r="AT5" s="115">
        <f>AT6</f>
        <v>46020</v>
      </c>
      <c r="AU5" s="116"/>
      <c r="AV5" s="116"/>
      <c r="AW5" s="116"/>
      <c r="AX5" s="116"/>
      <c r="AY5" s="116"/>
      <c r="AZ5" s="117"/>
      <c r="BA5" s="115">
        <f>BA6</f>
        <v>46027</v>
      </c>
      <c r="BB5" s="116"/>
      <c r="BC5" s="116"/>
      <c r="BD5" s="116"/>
      <c r="BE5" s="116"/>
      <c r="BF5" s="116"/>
      <c r="BG5" s="117"/>
      <c r="BH5" s="115">
        <f>BH6</f>
        <v>46034</v>
      </c>
      <c r="BI5" s="116"/>
      <c r="BJ5" s="116"/>
      <c r="BK5" s="116"/>
      <c r="BL5" s="116"/>
      <c r="BM5" s="116"/>
      <c r="BN5" s="117"/>
    </row>
    <row r="6" spans="1:66">
      <c r="A6" s="65"/>
      <c r="B6" s="65"/>
      <c r="C6" s="65"/>
      <c r="D6" s="65"/>
      <c r="E6" s="65"/>
      <c r="F6" s="65"/>
      <c r="G6" s="65"/>
      <c r="H6" s="65"/>
      <c r="I6" s="65"/>
      <c r="J6" s="65"/>
      <c r="K6" s="68">
        <f>C4-WEEKDAY(C4,1)+2+7*(H4-1)</f>
        <v>45985</v>
      </c>
      <c r="L6" s="69">
        <f t="shared" ref="L6:AQ6" si="0">K6+1</f>
        <v>45986</v>
      </c>
      <c r="M6" s="69">
        <f t="shared" si="0"/>
        <v>45987</v>
      </c>
      <c r="N6" s="69">
        <f t="shared" si="0"/>
        <v>45988</v>
      </c>
      <c r="O6" s="69">
        <f t="shared" si="0"/>
        <v>45989</v>
      </c>
      <c r="P6" s="69">
        <f t="shared" si="0"/>
        <v>45990</v>
      </c>
      <c r="Q6" s="70">
        <f t="shared" si="0"/>
        <v>45991</v>
      </c>
      <c r="R6" s="68">
        <f t="shared" si="0"/>
        <v>45992</v>
      </c>
      <c r="S6" s="69">
        <f t="shared" si="0"/>
        <v>45993</v>
      </c>
      <c r="T6" s="69">
        <f t="shared" si="0"/>
        <v>45994</v>
      </c>
      <c r="U6" s="69">
        <f t="shared" si="0"/>
        <v>45995</v>
      </c>
      <c r="V6" s="69">
        <f t="shared" si="0"/>
        <v>45996</v>
      </c>
      <c r="W6" s="69">
        <f t="shared" si="0"/>
        <v>45997</v>
      </c>
      <c r="X6" s="70">
        <f t="shared" si="0"/>
        <v>45998</v>
      </c>
      <c r="Y6" s="68">
        <f t="shared" si="0"/>
        <v>45999</v>
      </c>
      <c r="Z6" s="69">
        <f t="shared" si="0"/>
        <v>46000</v>
      </c>
      <c r="AA6" s="69">
        <f t="shared" si="0"/>
        <v>46001</v>
      </c>
      <c r="AB6" s="69">
        <f t="shared" si="0"/>
        <v>46002</v>
      </c>
      <c r="AC6" s="69">
        <f t="shared" si="0"/>
        <v>46003</v>
      </c>
      <c r="AD6" s="69">
        <f t="shared" si="0"/>
        <v>46004</v>
      </c>
      <c r="AE6" s="70">
        <f t="shared" si="0"/>
        <v>46005</v>
      </c>
      <c r="AF6" s="68">
        <f t="shared" si="0"/>
        <v>46006</v>
      </c>
      <c r="AG6" s="69">
        <f t="shared" si="0"/>
        <v>46007</v>
      </c>
      <c r="AH6" s="69">
        <f t="shared" si="0"/>
        <v>46008</v>
      </c>
      <c r="AI6" s="69">
        <f t="shared" si="0"/>
        <v>46009</v>
      </c>
      <c r="AJ6" s="69">
        <f t="shared" si="0"/>
        <v>46010</v>
      </c>
      <c r="AK6" s="69">
        <f t="shared" si="0"/>
        <v>46011</v>
      </c>
      <c r="AL6" s="70">
        <f t="shared" si="0"/>
        <v>46012</v>
      </c>
      <c r="AM6" s="68">
        <f t="shared" si="0"/>
        <v>46013</v>
      </c>
      <c r="AN6" s="69">
        <f t="shared" si="0"/>
        <v>46014</v>
      </c>
      <c r="AO6" s="69">
        <f t="shared" si="0"/>
        <v>46015</v>
      </c>
      <c r="AP6" s="69">
        <f t="shared" si="0"/>
        <v>46016</v>
      </c>
      <c r="AQ6" s="69">
        <f t="shared" si="0"/>
        <v>46017</v>
      </c>
      <c r="AR6" s="69">
        <f t="shared" ref="AR6:BN6" si="1">AQ6+1</f>
        <v>46018</v>
      </c>
      <c r="AS6" s="70">
        <f t="shared" si="1"/>
        <v>46019</v>
      </c>
      <c r="AT6" s="68">
        <f t="shared" si="1"/>
        <v>46020</v>
      </c>
      <c r="AU6" s="69">
        <f t="shared" si="1"/>
        <v>46021</v>
      </c>
      <c r="AV6" s="69">
        <f t="shared" si="1"/>
        <v>46022</v>
      </c>
      <c r="AW6" s="69">
        <f t="shared" si="1"/>
        <v>46023</v>
      </c>
      <c r="AX6" s="69">
        <f t="shared" si="1"/>
        <v>46024</v>
      </c>
      <c r="AY6" s="69">
        <f t="shared" si="1"/>
        <v>46025</v>
      </c>
      <c r="AZ6" s="70">
        <f t="shared" si="1"/>
        <v>46026</v>
      </c>
      <c r="BA6" s="68">
        <f t="shared" si="1"/>
        <v>46027</v>
      </c>
      <c r="BB6" s="69">
        <f t="shared" si="1"/>
        <v>46028</v>
      </c>
      <c r="BC6" s="69">
        <f t="shared" si="1"/>
        <v>46029</v>
      </c>
      <c r="BD6" s="69">
        <f t="shared" si="1"/>
        <v>46030</v>
      </c>
      <c r="BE6" s="69">
        <f t="shared" si="1"/>
        <v>46031</v>
      </c>
      <c r="BF6" s="69">
        <f t="shared" si="1"/>
        <v>46032</v>
      </c>
      <c r="BG6" s="70">
        <f t="shared" si="1"/>
        <v>46033</v>
      </c>
      <c r="BH6" s="68">
        <f t="shared" si="1"/>
        <v>46034</v>
      </c>
      <c r="BI6" s="69">
        <f t="shared" si="1"/>
        <v>46035</v>
      </c>
      <c r="BJ6" s="69">
        <f t="shared" si="1"/>
        <v>46036</v>
      </c>
      <c r="BK6" s="69">
        <f t="shared" si="1"/>
        <v>46037</v>
      </c>
      <c r="BL6" s="69">
        <f t="shared" si="1"/>
        <v>46038</v>
      </c>
      <c r="BM6" s="69">
        <f t="shared" si="1"/>
        <v>46039</v>
      </c>
      <c r="BN6" s="70">
        <f t="shared" si="1"/>
        <v>46040</v>
      </c>
    </row>
    <row r="7" spans="1:66" ht="24">
      <c r="A7" s="71" t="s">
        <v>4</v>
      </c>
      <c r="B7" s="71" t="s">
        <v>5</v>
      </c>
      <c r="C7" s="72" t="s">
        <v>6</v>
      </c>
      <c r="D7" s="73" t="s">
        <v>7</v>
      </c>
      <c r="E7" s="74" t="s">
        <v>8</v>
      </c>
      <c r="F7" s="74" t="s">
        <v>9</v>
      </c>
      <c r="G7" s="72" t="s">
        <v>10</v>
      </c>
      <c r="H7" s="72" t="s">
        <v>11</v>
      </c>
      <c r="I7" s="72" t="s">
        <v>12</v>
      </c>
      <c r="J7" s="72"/>
      <c r="K7" s="75" t="str">
        <f t="shared" ref="K7:AP7" si="2">CHOOSE(WEEKDAY(K6,1),"S","M","T","W","T","F","S")</f>
        <v>M</v>
      </c>
      <c r="L7" s="76" t="str">
        <f t="shared" si="2"/>
        <v>T</v>
      </c>
      <c r="M7" s="76" t="str">
        <f t="shared" si="2"/>
        <v>W</v>
      </c>
      <c r="N7" s="76" t="str">
        <f t="shared" si="2"/>
        <v>T</v>
      </c>
      <c r="O7" s="76" t="str">
        <f t="shared" si="2"/>
        <v>F</v>
      </c>
      <c r="P7" s="76" t="str">
        <f t="shared" si="2"/>
        <v>S</v>
      </c>
      <c r="Q7" s="77" t="str">
        <f t="shared" si="2"/>
        <v>S</v>
      </c>
      <c r="R7" s="75" t="str">
        <f t="shared" si="2"/>
        <v>M</v>
      </c>
      <c r="S7" s="76" t="str">
        <f t="shared" si="2"/>
        <v>T</v>
      </c>
      <c r="T7" s="76" t="str">
        <f t="shared" si="2"/>
        <v>W</v>
      </c>
      <c r="U7" s="76" t="str">
        <f t="shared" si="2"/>
        <v>T</v>
      </c>
      <c r="V7" s="76" t="str">
        <f t="shared" si="2"/>
        <v>F</v>
      </c>
      <c r="W7" s="76" t="str">
        <f t="shared" si="2"/>
        <v>S</v>
      </c>
      <c r="X7" s="77" t="str">
        <f t="shared" si="2"/>
        <v>S</v>
      </c>
      <c r="Y7" s="75" t="str">
        <f t="shared" si="2"/>
        <v>M</v>
      </c>
      <c r="Z7" s="76" t="str">
        <f t="shared" si="2"/>
        <v>T</v>
      </c>
      <c r="AA7" s="76" t="str">
        <f t="shared" si="2"/>
        <v>W</v>
      </c>
      <c r="AB7" s="76" t="str">
        <f t="shared" si="2"/>
        <v>T</v>
      </c>
      <c r="AC7" s="76" t="str">
        <f t="shared" si="2"/>
        <v>F</v>
      </c>
      <c r="AD7" s="76" t="str">
        <f t="shared" si="2"/>
        <v>S</v>
      </c>
      <c r="AE7" s="77" t="str">
        <f t="shared" si="2"/>
        <v>S</v>
      </c>
      <c r="AF7" s="75" t="str">
        <f t="shared" si="2"/>
        <v>M</v>
      </c>
      <c r="AG7" s="76" t="str">
        <f t="shared" si="2"/>
        <v>T</v>
      </c>
      <c r="AH7" s="76" t="str">
        <f t="shared" si="2"/>
        <v>W</v>
      </c>
      <c r="AI7" s="76" t="str">
        <f t="shared" si="2"/>
        <v>T</v>
      </c>
      <c r="AJ7" s="76" t="str">
        <f t="shared" si="2"/>
        <v>F</v>
      </c>
      <c r="AK7" s="76" t="str">
        <f t="shared" si="2"/>
        <v>S</v>
      </c>
      <c r="AL7" s="77" t="str">
        <f t="shared" si="2"/>
        <v>S</v>
      </c>
      <c r="AM7" s="75" t="str">
        <f t="shared" si="2"/>
        <v>M</v>
      </c>
      <c r="AN7" s="76" t="str">
        <f t="shared" si="2"/>
        <v>T</v>
      </c>
      <c r="AO7" s="76" t="str">
        <f t="shared" si="2"/>
        <v>W</v>
      </c>
      <c r="AP7" s="76" t="str">
        <f t="shared" si="2"/>
        <v>T</v>
      </c>
      <c r="AQ7" s="76" t="str">
        <f t="shared" ref="AQ7:BN7" si="3">CHOOSE(WEEKDAY(AQ6,1),"S","M","T","W","T","F","S")</f>
        <v>F</v>
      </c>
      <c r="AR7" s="76" t="str">
        <f t="shared" si="3"/>
        <v>S</v>
      </c>
      <c r="AS7" s="77" t="str">
        <f t="shared" si="3"/>
        <v>S</v>
      </c>
      <c r="AT7" s="75" t="str">
        <f t="shared" si="3"/>
        <v>M</v>
      </c>
      <c r="AU7" s="76" t="str">
        <f t="shared" si="3"/>
        <v>T</v>
      </c>
      <c r="AV7" s="76" t="str">
        <f t="shared" si="3"/>
        <v>W</v>
      </c>
      <c r="AW7" s="76" t="str">
        <f t="shared" si="3"/>
        <v>T</v>
      </c>
      <c r="AX7" s="76" t="str">
        <f t="shared" si="3"/>
        <v>F</v>
      </c>
      <c r="AY7" s="76" t="str">
        <f t="shared" si="3"/>
        <v>S</v>
      </c>
      <c r="AZ7" s="77" t="str">
        <f t="shared" si="3"/>
        <v>S</v>
      </c>
      <c r="BA7" s="75" t="str">
        <f t="shared" si="3"/>
        <v>M</v>
      </c>
      <c r="BB7" s="76" t="str">
        <f t="shared" si="3"/>
        <v>T</v>
      </c>
      <c r="BC7" s="76" t="str">
        <f t="shared" si="3"/>
        <v>W</v>
      </c>
      <c r="BD7" s="76" t="str">
        <f t="shared" si="3"/>
        <v>T</v>
      </c>
      <c r="BE7" s="76" t="str">
        <f t="shared" si="3"/>
        <v>F</v>
      </c>
      <c r="BF7" s="76" t="str">
        <f t="shared" si="3"/>
        <v>S</v>
      </c>
      <c r="BG7" s="77" t="str">
        <f t="shared" si="3"/>
        <v>S</v>
      </c>
      <c r="BH7" s="75" t="str">
        <f t="shared" si="3"/>
        <v>M</v>
      </c>
      <c r="BI7" s="76" t="str">
        <f t="shared" si="3"/>
        <v>T</v>
      </c>
      <c r="BJ7" s="76" t="str">
        <f t="shared" si="3"/>
        <v>W</v>
      </c>
      <c r="BK7" s="76" t="str">
        <f t="shared" si="3"/>
        <v>T</v>
      </c>
      <c r="BL7" s="76" t="str">
        <f t="shared" si="3"/>
        <v>F</v>
      </c>
      <c r="BM7" s="76" t="str">
        <f t="shared" si="3"/>
        <v>S</v>
      </c>
      <c r="BN7" s="77" t="str">
        <f t="shared" si="3"/>
        <v>S</v>
      </c>
    </row>
    <row r="8" spans="1:66" s="55" customFormat="1" ht="18">
      <c r="A8" s="78" t="str">
        <f>IF(ISERROR(VALUE(SUBSTITUTE(prevWBS,".",""))),"1",IF(ISERROR(FIND("`",SUBSTITUTE(prevWBS,".","`",1))),TEXT(VALUE(prevWBS)+1,"#"),TEXT(VALUE(LEFT(prevWBS,FIND("`",SUBSTITUTE(prevWBS,".","`",1))-1))+1,"#")))</f>
        <v>1</v>
      </c>
      <c r="B8" s="79" t="s">
        <v>13</v>
      </c>
      <c r="C8" s="80"/>
      <c r="D8" s="81"/>
      <c r="E8" s="82"/>
      <c r="F8" s="83" t="str">
        <f t="shared" ref="F8:F16" si="4">IF(ISBLANK(E8)," - ",IF(G8=0,E8,E8+G8-1))</f>
        <v xml:space="preserve"> - </v>
      </c>
      <c r="G8" s="84"/>
      <c r="H8" s="85"/>
      <c r="I8" s="86" t="str">
        <f>IF(OR(F8=0,E8=0)," - ",NETWORKDAYS(E8,F8))</f>
        <v xml:space="preserve"> - </v>
      </c>
      <c r="J8" s="87"/>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row>
    <row r="9" spans="1:66" s="1" customFormat="1" ht="18">
      <c r="A9" s="4" t="str">
        <f t="shared" ref="A9:A19" si="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89" t="s">
        <v>14</v>
      </c>
      <c r="C9" s="1" t="s">
        <v>15</v>
      </c>
      <c r="D9" s="5"/>
      <c r="E9" s="6">
        <v>45987</v>
      </c>
      <c r="F9" s="7">
        <f t="shared" si="4"/>
        <v>45987</v>
      </c>
      <c r="G9" s="8">
        <v>1</v>
      </c>
      <c r="H9" s="9">
        <v>1</v>
      </c>
      <c r="I9" s="10">
        <f>IF(OR(F9=0,E9=0)," - ",NETWORKDAYS(E9,F9))</f>
        <v>1</v>
      </c>
      <c r="J9" s="11"/>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row>
    <row r="10" spans="1:66" s="1" customFormat="1" ht="18">
      <c r="A10" s="4" t="str">
        <f t="shared" si="5"/>
        <v>1.2</v>
      </c>
      <c r="B10" s="89" t="s">
        <v>16</v>
      </c>
      <c r="C10" s="1" t="s">
        <v>15</v>
      </c>
      <c r="D10" s="5"/>
      <c r="E10" s="6">
        <v>45988</v>
      </c>
      <c r="F10" s="7">
        <f t="shared" si="4"/>
        <v>46054</v>
      </c>
      <c r="G10" s="8">
        <v>67</v>
      </c>
      <c r="H10" s="9">
        <v>0.5</v>
      </c>
      <c r="I10" s="10">
        <f>IF(OR(F10=0,E10=0)," - ",NETWORKDAYS(E10,F10))</f>
        <v>47</v>
      </c>
      <c r="J10" s="11"/>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row>
    <row r="11" spans="1:66" s="1" customFormat="1" ht="18">
      <c r="A11" s="4" t="str">
        <f t="shared" si="5"/>
        <v>1.3</v>
      </c>
      <c r="B11" s="89" t="s">
        <v>17</v>
      </c>
      <c r="C11" s="1" t="s">
        <v>15</v>
      </c>
      <c r="D11" s="5"/>
      <c r="E11" s="6">
        <v>45995</v>
      </c>
      <c r="F11" s="7">
        <f t="shared" si="4"/>
        <v>46001</v>
      </c>
      <c r="G11" s="8">
        <v>7</v>
      </c>
      <c r="H11" s="9">
        <v>1</v>
      </c>
      <c r="I11" s="10">
        <f>IF(OR(F11=0,E11=0)," - ",NETWORKDAYS(E11,F11))</f>
        <v>5</v>
      </c>
      <c r="J11" s="11"/>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row>
    <row r="12" spans="1:66" s="1" customFormat="1" ht="18">
      <c r="A12" s="4" t="str">
        <f t="shared" si="5"/>
        <v>1.4</v>
      </c>
      <c r="B12" s="89" t="s">
        <v>18</v>
      </c>
      <c r="C12" s="1" t="s">
        <v>19</v>
      </c>
      <c r="D12" s="5"/>
      <c r="E12" s="6">
        <v>46009</v>
      </c>
      <c r="F12" s="7">
        <f t="shared" si="4"/>
        <v>46014</v>
      </c>
      <c r="G12" s="8">
        <v>6</v>
      </c>
      <c r="H12" s="9">
        <v>1</v>
      </c>
      <c r="I12" s="10">
        <f>IF(OR(F12=0,E12=0)," - ",NETWORKDAYS(E12,F12))</f>
        <v>4</v>
      </c>
      <c r="J12" s="11"/>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row>
    <row r="13" spans="1:66" s="1" customFormat="1" ht="18">
      <c r="A13" s="4" t="str">
        <f t="shared" si="5"/>
        <v>1.5</v>
      </c>
      <c r="B13" s="89" t="s">
        <v>20</v>
      </c>
      <c r="C13" s="1" t="s">
        <v>15</v>
      </c>
      <c r="D13" s="5"/>
      <c r="E13" s="6">
        <v>46021</v>
      </c>
      <c r="F13" s="7">
        <f t="shared" ref="F13" si="6">IF(ISBLANK(E13)," - ",IF(G13=0,E13,E13+G13-1))</f>
        <v>46021</v>
      </c>
      <c r="G13" s="8">
        <v>1</v>
      </c>
      <c r="H13" s="9">
        <v>1</v>
      </c>
      <c r="I13" s="10">
        <f t="shared" ref="I13" si="7">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 t="shared" si="5"/>
        <v>1.6</v>
      </c>
      <c r="B14" s="89" t="s">
        <v>21</v>
      </c>
      <c r="C14" s="1" t="s">
        <v>19</v>
      </c>
      <c r="D14" s="5"/>
      <c r="E14" s="6">
        <v>46021</v>
      </c>
      <c r="F14" s="7">
        <f t="shared" ref="F14" si="8">IF(ISBLANK(E14)," - ",IF(G14=0,E14,E14+G14-1))</f>
        <v>46030</v>
      </c>
      <c r="G14" s="8">
        <v>10</v>
      </c>
      <c r="H14" s="9">
        <v>1</v>
      </c>
      <c r="I14" s="10">
        <f t="shared" ref="I14" si="9">IF(OR(F14=0,E14=0)," - ",NETWORKDAYS(E14,F14))</f>
        <v>8</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 t="shared" si="5"/>
        <v>1.7</v>
      </c>
      <c r="B15" s="89" t="s">
        <v>22</v>
      </c>
      <c r="C15" s="1" t="s">
        <v>15</v>
      </c>
      <c r="D15" s="5"/>
      <c r="E15" s="6">
        <v>46028</v>
      </c>
      <c r="F15" s="7">
        <f t="shared" ref="F15" si="10">IF(ISBLANK(E15)," - ",IF(G15=0,E15,E15+G15-1))</f>
        <v>46030</v>
      </c>
      <c r="G15" s="8">
        <v>3</v>
      </c>
      <c r="H15" s="9">
        <v>1</v>
      </c>
      <c r="I15" s="10">
        <f t="shared" ref="I15:I16" si="11">IF(OR(F15=0,E15=0)," - ",NETWORKDAYS(E15,F15))</f>
        <v>3</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 t="shared" si="5"/>
        <v>1.8</v>
      </c>
      <c r="B16" s="89" t="s">
        <v>23</v>
      </c>
      <c r="C16" s="1" t="s">
        <v>24</v>
      </c>
      <c r="D16" s="5"/>
      <c r="E16" s="6">
        <v>46031</v>
      </c>
      <c r="F16" s="7">
        <f t="shared" si="4"/>
        <v>46040</v>
      </c>
      <c r="G16" s="8">
        <v>10</v>
      </c>
      <c r="H16" s="9">
        <v>0.5</v>
      </c>
      <c r="I16" s="10">
        <f t="shared" si="11"/>
        <v>6</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 t="shared" si="5"/>
        <v>1.9</v>
      </c>
      <c r="B17" s="89" t="s">
        <v>25</v>
      </c>
      <c r="C17" s="1" t="s">
        <v>15</v>
      </c>
      <c r="D17" s="5"/>
      <c r="E17" s="6">
        <v>46030</v>
      </c>
      <c r="F17" s="7">
        <f t="shared" ref="F17:F19" si="12">IF(ISBLANK(E17)," - ",IF(G17=0,E17,E17+G17-1))</f>
        <v>46030</v>
      </c>
      <c r="G17" s="8">
        <v>1</v>
      </c>
      <c r="H17" s="9">
        <v>1</v>
      </c>
      <c r="I17" s="10">
        <f t="shared" ref="I17:I19" si="13">IF(OR(F17=0,E17=0)," - ",NETWORKDAYS(E17,F17))</f>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18" spans="1:66" s="1" customFormat="1" ht="18">
      <c r="A18" s="4" t="str">
        <f t="shared" si="5"/>
        <v>1.10</v>
      </c>
      <c r="B18" s="89" t="s">
        <v>26</v>
      </c>
      <c r="C18" s="1" t="s">
        <v>19</v>
      </c>
      <c r="D18" s="5"/>
      <c r="E18" s="6">
        <v>46037</v>
      </c>
      <c r="F18" s="7">
        <f t="shared" si="12"/>
        <v>46038</v>
      </c>
      <c r="G18" s="8">
        <v>2</v>
      </c>
      <c r="H18" s="9">
        <v>1</v>
      </c>
      <c r="I18" s="10">
        <f t="shared" si="13"/>
        <v>2</v>
      </c>
      <c r="J18" s="11"/>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row>
    <row r="19" spans="1:66" s="1" customFormat="1" ht="18">
      <c r="A19" s="4" t="str">
        <f t="shared" si="5"/>
        <v>1.11</v>
      </c>
      <c r="B19" s="89" t="s">
        <v>27</v>
      </c>
      <c r="C19" s="1" t="s">
        <v>28</v>
      </c>
      <c r="D19" s="5"/>
      <c r="E19" s="6">
        <v>46037</v>
      </c>
      <c r="F19" s="7">
        <f t="shared" si="12"/>
        <v>46038</v>
      </c>
      <c r="G19" s="8">
        <v>2</v>
      </c>
      <c r="H19" s="9">
        <v>1</v>
      </c>
      <c r="I19" s="10">
        <f t="shared" si="13"/>
        <v>2</v>
      </c>
      <c r="J19" s="11"/>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row>
    <row r="20" spans="1:66" s="1" customFormat="1" ht="21" customHeight="1">
      <c r="A20" s="4" t="str">
        <f t="shared" ref="A20:A60" si="14">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1.12</v>
      </c>
      <c r="B20" s="89" t="s">
        <v>29</v>
      </c>
      <c r="C20" s="1" t="s">
        <v>19</v>
      </c>
      <c r="D20" s="5"/>
      <c r="E20" s="6">
        <v>46032</v>
      </c>
      <c r="F20" s="7">
        <f t="shared" ref="F20" si="15">IF(ISBLANK(E20)," - ",IF(G20=0,E20,E20+G20-1))</f>
        <v>46043</v>
      </c>
      <c r="G20" s="8">
        <v>12</v>
      </c>
      <c r="H20" s="9">
        <v>1</v>
      </c>
      <c r="I20" s="10">
        <f t="shared" ref="I20" si="16">IF(OR(F20=0,E20=0)," - ",NETWORKDAYS(E20,F20))</f>
        <v>8</v>
      </c>
      <c r="J20" s="11"/>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row>
    <row r="21" spans="1:66" s="1" customFormat="1" ht="18">
      <c r="A21" s="4" t="str">
        <f t="shared" si="14"/>
        <v>1.13</v>
      </c>
      <c r="B21" s="89" t="s">
        <v>30</v>
      </c>
      <c r="C21" s="1" t="s">
        <v>28</v>
      </c>
      <c r="D21" s="5"/>
      <c r="E21" s="6">
        <v>46032</v>
      </c>
      <c r="F21" s="7">
        <f t="shared" ref="F21" si="17">IF(ISBLANK(E21)," - ",IF(G21=0,E21,E21+G21-1))</f>
        <v>46043</v>
      </c>
      <c r="G21" s="8">
        <v>12</v>
      </c>
      <c r="H21" s="9">
        <v>0.9</v>
      </c>
      <c r="I21" s="10">
        <f t="shared" ref="I21:I37" si="18">IF(OR(F21=0,E21=0)," - ",NETWORKDAYS(E21,F21))</f>
        <v>8</v>
      </c>
      <c r="J21" s="11"/>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row>
    <row r="22" spans="1:66" s="1" customFormat="1" ht="18">
      <c r="A22" s="4" t="str">
        <f t="shared" si="14"/>
        <v>1.14</v>
      </c>
      <c r="B22" s="90" t="s">
        <v>31</v>
      </c>
      <c r="C22" s="1" t="s">
        <v>19</v>
      </c>
      <c r="D22" s="5"/>
      <c r="E22" s="6">
        <v>46056</v>
      </c>
      <c r="F22" s="7">
        <f t="shared" ref="F22" si="19">IF(ISBLANK(E22)," - ",IF(G22=0,E22,E22+G22-1))</f>
        <v>46057</v>
      </c>
      <c r="G22" s="8">
        <v>2</v>
      </c>
      <c r="H22" s="9">
        <v>1</v>
      </c>
      <c r="I22" s="10">
        <f t="shared" ref="I22" si="20">IF(OR(F22=0,E22=0)," - ",NETWORKDAYS(E22,F22))</f>
        <v>2</v>
      </c>
      <c r="J22" s="11"/>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row>
    <row r="23" spans="1:66" s="1" customFormat="1" ht="18">
      <c r="A23" s="4" t="str">
        <f t="shared" si="14"/>
        <v>1.15</v>
      </c>
      <c r="B23" s="89" t="s">
        <v>32</v>
      </c>
      <c r="C23" s="1" t="s">
        <v>28</v>
      </c>
      <c r="D23" s="5"/>
      <c r="E23" s="6">
        <v>46056</v>
      </c>
      <c r="F23" s="7">
        <f t="shared" ref="F23:F30" si="21">IF(ISBLANK(E23)," - ",IF(G23=0,E23,E23+G23-1))</f>
        <v>46057</v>
      </c>
      <c r="G23" s="8">
        <v>2</v>
      </c>
      <c r="H23" s="9">
        <v>1</v>
      </c>
      <c r="I23" s="10">
        <f t="shared" ref="I23:I30" si="22">IF(OR(F23=0,E23=0)," - ",NETWORKDAYS(E23,F23))</f>
        <v>2</v>
      </c>
      <c r="J23" s="11"/>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row>
    <row r="24" spans="1:66" s="1" customFormat="1" ht="18">
      <c r="A24" s="4" t="str">
        <f t="shared" si="14"/>
        <v>1.16</v>
      </c>
      <c r="B24" s="89" t="s">
        <v>33</v>
      </c>
      <c r="C24" s="1" t="s">
        <v>28</v>
      </c>
      <c r="D24" s="5"/>
      <c r="E24" s="6">
        <f>F22+1</f>
        <v>46058</v>
      </c>
      <c r="F24" s="7">
        <f t="shared" si="21"/>
        <v>46059</v>
      </c>
      <c r="G24" s="8">
        <v>2</v>
      </c>
      <c r="H24" s="9">
        <v>1</v>
      </c>
      <c r="I24" s="10">
        <f t="shared" si="22"/>
        <v>2</v>
      </c>
      <c r="J24" s="11"/>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row>
    <row r="25" spans="1:66" s="1" customFormat="1" ht="18">
      <c r="A25" s="4" t="str">
        <f t="shared" si="14"/>
        <v>1.17</v>
      </c>
      <c r="B25" s="89" t="s">
        <v>34</v>
      </c>
      <c r="C25" s="1" t="s">
        <v>19</v>
      </c>
      <c r="D25" s="5"/>
      <c r="E25" s="6">
        <f>F22+1</f>
        <v>46058</v>
      </c>
      <c r="F25" s="7">
        <f t="shared" si="21"/>
        <v>46059</v>
      </c>
      <c r="G25" s="8">
        <v>2</v>
      </c>
      <c r="H25" s="9">
        <v>1</v>
      </c>
      <c r="I25" s="10">
        <f t="shared" si="22"/>
        <v>2</v>
      </c>
      <c r="J25" s="11"/>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row>
    <row r="26" spans="1:66" s="1" customFormat="1" ht="18">
      <c r="A26" s="4" t="str">
        <f t="shared" si="14"/>
        <v>1.18</v>
      </c>
      <c r="B26" s="89" t="s">
        <v>35</v>
      </c>
      <c r="C26" s="1" t="s">
        <v>28</v>
      </c>
      <c r="D26" s="5"/>
      <c r="E26" s="6">
        <f>E23+1</f>
        <v>46057</v>
      </c>
      <c r="F26" s="7">
        <f t="shared" si="21"/>
        <v>46058</v>
      </c>
      <c r="G26" s="8">
        <v>2</v>
      </c>
      <c r="H26" s="9">
        <v>1</v>
      </c>
      <c r="I26" s="10">
        <f t="shared" si="22"/>
        <v>2</v>
      </c>
      <c r="J26" s="11"/>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row>
    <row r="27" spans="1:66" s="1" customFormat="1" ht="18">
      <c r="A27" s="4" t="str">
        <f t="shared" si="14"/>
        <v>1.19</v>
      </c>
      <c r="B27" s="89" t="s">
        <v>36</v>
      </c>
      <c r="C27" s="1" t="s">
        <v>19</v>
      </c>
      <c r="D27" s="5"/>
      <c r="E27" s="6">
        <f>F23+1</f>
        <v>46058</v>
      </c>
      <c r="F27" s="7">
        <f t="shared" si="21"/>
        <v>46059</v>
      </c>
      <c r="G27" s="8">
        <v>2</v>
      </c>
      <c r="H27" s="9">
        <v>1</v>
      </c>
      <c r="I27" s="10">
        <f t="shared" si="22"/>
        <v>2</v>
      </c>
      <c r="J27" s="11"/>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row>
    <row r="28" spans="1:66" s="1" customFormat="1" ht="18">
      <c r="A28" s="4" t="str">
        <f t="shared" si="14"/>
        <v>1.20</v>
      </c>
      <c r="B28" s="89" t="s">
        <v>37</v>
      </c>
      <c r="C28" s="1" t="s">
        <v>28</v>
      </c>
      <c r="D28" s="5"/>
      <c r="E28" s="6">
        <f>F24+1</f>
        <v>46060</v>
      </c>
      <c r="F28" s="7">
        <f t="shared" si="21"/>
        <v>46063</v>
      </c>
      <c r="G28" s="8">
        <v>4</v>
      </c>
      <c r="H28" s="9">
        <v>1</v>
      </c>
      <c r="I28" s="10">
        <f t="shared" si="22"/>
        <v>2</v>
      </c>
      <c r="J28" s="11"/>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row>
    <row r="29" spans="1:66" s="1" customFormat="1" ht="18">
      <c r="A29" s="4" t="str">
        <f t="shared" si="14"/>
        <v>1.21</v>
      </c>
      <c r="B29" s="89" t="s">
        <v>38</v>
      </c>
      <c r="C29" s="1" t="s">
        <v>19</v>
      </c>
      <c r="D29" s="5"/>
      <c r="E29" s="6">
        <f>F24+1</f>
        <v>46060</v>
      </c>
      <c r="F29" s="7">
        <f t="shared" si="21"/>
        <v>46063</v>
      </c>
      <c r="G29" s="8">
        <v>4</v>
      </c>
      <c r="H29" s="9">
        <v>1</v>
      </c>
      <c r="I29" s="10">
        <f t="shared" si="22"/>
        <v>2</v>
      </c>
      <c r="J29" s="11"/>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row>
    <row r="30" spans="1:66" s="1" customFormat="1" ht="18">
      <c r="A30" s="4" t="str">
        <f t="shared" si="14"/>
        <v>1.22</v>
      </c>
      <c r="B30" s="89" t="s">
        <v>39</v>
      </c>
      <c r="C30" s="1" t="s">
        <v>28</v>
      </c>
      <c r="D30" s="5"/>
      <c r="E30" s="6">
        <f>F28+1</f>
        <v>46064</v>
      </c>
      <c r="F30" s="7">
        <f t="shared" si="21"/>
        <v>46065</v>
      </c>
      <c r="G30" s="8">
        <v>2</v>
      </c>
      <c r="H30" s="9">
        <v>1</v>
      </c>
      <c r="I30" s="10">
        <f t="shared" si="22"/>
        <v>2</v>
      </c>
      <c r="J30" s="11"/>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row>
    <row r="31" spans="1:66" s="1" customFormat="1" ht="18">
      <c r="A31" s="4" t="str">
        <f t="shared" si="14"/>
        <v>1.23</v>
      </c>
      <c r="B31" s="89" t="s">
        <v>40</v>
      </c>
      <c r="C31" s="1" t="s">
        <v>19</v>
      </c>
      <c r="D31" s="5"/>
      <c r="E31" s="6">
        <f>F29+1</f>
        <v>46064</v>
      </c>
      <c r="F31" s="7">
        <f t="shared" ref="F31:F37" si="23">IF(ISBLANK(E31)," - ",IF(G31=0,E31,E31+G31-1))</f>
        <v>46065</v>
      </c>
      <c r="G31" s="8">
        <v>2</v>
      </c>
      <c r="H31" s="9">
        <v>1</v>
      </c>
      <c r="I31" s="10">
        <f t="shared" ref="I31" si="24">IF(OR(F31=0,E31=0)," - ",NETWORKDAYS(E31,F31))</f>
        <v>2</v>
      </c>
      <c r="J31" s="11"/>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row>
    <row r="32" spans="1:66" s="1" customFormat="1" ht="18">
      <c r="A32" s="4" t="str">
        <f t="shared" si="14"/>
        <v>1.24</v>
      </c>
      <c r="B32" s="89" t="s">
        <v>41</v>
      </c>
      <c r="C32" s="1" t="s">
        <v>15</v>
      </c>
      <c r="D32" s="5"/>
      <c r="E32" s="6">
        <f>F30</f>
        <v>46065</v>
      </c>
      <c r="F32" s="7">
        <f t="shared" ref="F32" si="25">IF(ISBLANK(E32)," - ",IF(G32=0,E32,E32+G32-1))</f>
        <v>46067</v>
      </c>
      <c r="G32" s="8">
        <v>3</v>
      </c>
      <c r="H32" s="9">
        <v>1</v>
      </c>
      <c r="I32" s="10">
        <f t="shared" ref="I32" si="26">IF(OR(F32=0,E32=0)," - ",NETWORKDAYS(E32,F32))</f>
        <v>2</v>
      </c>
      <c r="J32" s="11"/>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row>
    <row r="33" spans="1:66" s="1" customFormat="1" ht="18">
      <c r="A33" s="4" t="str">
        <f t="shared" si="14"/>
        <v>1.25</v>
      </c>
      <c r="B33" s="91" t="s">
        <v>42</v>
      </c>
      <c r="C33" s="1" t="s">
        <v>28</v>
      </c>
      <c r="D33" s="5"/>
      <c r="E33" s="6">
        <f>F32+1</f>
        <v>46068</v>
      </c>
      <c r="F33" s="7">
        <f t="shared" si="23"/>
        <v>46072</v>
      </c>
      <c r="G33" s="8">
        <v>5</v>
      </c>
      <c r="H33" s="9">
        <v>1</v>
      </c>
      <c r="I33" s="10">
        <f t="shared" si="18"/>
        <v>4</v>
      </c>
      <c r="J33" s="11"/>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row>
    <row r="34" spans="1:66" s="1" customFormat="1" ht="18">
      <c r="A34" s="4" t="str">
        <f t="shared" si="14"/>
        <v>1.26</v>
      </c>
      <c r="B34" s="92" t="s">
        <v>43</v>
      </c>
      <c r="C34" s="1" t="s">
        <v>19</v>
      </c>
      <c r="D34" s="5"/>
      <c r="E34" s="6">
        <f>F32+1</f>
        <v>46068</v>
      </c>
      <c r="F34" s="7">
        <f t="shared" si="23"/>
        <v>46072</v>
      </c>
      <c r="G34" s="8">
        <v>5</v>
      </c>
      <c r="H34" s="9">
        <v>0.8</v>
      </c>
      <c r="I34" s="10">
        <f t="shared" si="18"/>
        <v>4</v>
      </c>
      <c r="J34" s="11"/>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row>
    <row r="35" spans="1:66" s="1" customFormat="1" ht="18">
      <c r="A35" s="4" t="str">
        <f t="shared" si="14"/>
        <v>1.27</v>
      </c>
      <c r="B35" s="93" t="s">
        <v>44</v>
      </c>
      <c r="C35" s="1" t="s">
        <v>54</v>
      </c>
      <c r="D35" s="5"/>
      <c r="E35" s="6">
        <f t="shared" ref="E35:E36" si="27">F33+1</f>
        <v>46073</v>
      </c>
      <c r="F35" s="7">
        <f t="shared" si="23"/>
        <v>46076</v>
      </c>
      <c r="G35" s="8">
        <v>4</v>
      </c>
      <c r="H35" s="9">
        <v>1</v>
      </c>
      <c r="I35" s="10">
        <f t="shared" si="18"/>
        <v>2</v>
      </c>
      <c r="J35" s="11"/>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row>
    <row r="36" spans="1:66" s="1" customFormat="1" ht="18">
      <c r="A36" s="4" t="str">
        <f t="shared" si="14"/>
        <v>1.28</v>
      </c>
      <c r="B36" s="94" t="s">
        <v>45</v>
      </c>
      <c r="C36" s="1" t="s">
        <v>19</v>
      </c>
      <c r="D36" s="5"/>
      <c r="E36" s="6">
        <f t="shared" si="27"/>
        <v>46073</v>
      </c>
      <c r="F36" s="7">
        <f t="shared" si="23"/>
        <v>46076</v>
      </c>
      <c r="G36" s="8">
        <v>4</v>
      </c>
      <c r="H36" s="9">
        <v>1</v>
      </c>
      <c r="I36" s="10">
        <f t="shared" si="18"/>
        <v>2</v>
      </c>
      <c r="J36" s="11"/>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row>
    <row r="37" spans="1:66" s="1" customFormat="1" ht="18">
      <c r="A37" s="4" t="str">
        <f t="shared" si="14"/>
        <v>1.29</v>
      </c>
      <c r="B37" s="94" t="s">
        <v>46</v>
      </c>
      <c r="C37" s="95" t="s">
        <v>54</v>
      </c>
      <c r="D37" s="5"/>
      <c r="E37" s="6">
        <f t="shared" ref="E37:E42" si="28">F35+1</f>
        <v>46077</v>
      </c>
      <c r="F37" s="7">
        <f t="shared" si="23"/>
        <v>46078</v>
      </c>
      <c r="G37" s="8">
        <v>2</v>
      </c>
      <c r="H37" s="9">
        <v>1</v>
      </c>
      <c r="I37" s="10">
        <f t="shared" si="18"/>
        <v>2</v>
      </c>
      <c r="J37" s="11"/>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row>
    <row r="38" spans="1:66" s="1" customFormat="1" ht="18">
      <c r="A38" s="4" t="str">
        <f t="shared" si="14"/>
        <v>1.30</v>
      </c>
      <c r="B38" s="93" t="s">
        <v>47</v>
      </c>
      <c r="C38" s="1" t="s">
        <v>51</v>
      </c>
      <c r="D38" s="5"/>
      <c r="E38" s="6">
        <f t="shared" si="28"/>
        <v>46077</v>
      </c>
      <c r="F38" s="7">
        <f t="shared" ref="F38" si="29">IF(ISBLANK(E38)," - ",IF(G38=0,E38,E38+G38-1))</f>
        <v>46078</v>
      </c>
      <c r="G38" s="8">
        <v>2</v>
      </c>
      <c r="H38" s="9">
        <v>0</v>
      </c>
      <c r="I38" s="10">
        <f t="shared" ref="I38" si="30">IF(OR(F38=0,E38=0)," - ",NETWORKDAYS(E38,F38))</f>
        <v>2</v>
      </c>
      <c r="J38" s="11"/>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row>
    <row r="39" spans="1:66" s="1" customFormat="1" ht="18">
      <c r="A39" s="4" t="str">
        <f t="shared" si="14"/>
        <v>1.31</v>
      </c>
      <c r="B39" s="93" t="s">
        <v>48</v>
      </c>
      <c r="C39" s="1" t="s">
        <v>54</v>
      </c>
      <c r="D39" s="5"/>
      <c r="E39" s="6">
        <f t="shared" si="28"/>
        <v>46079</v>
      </c>
      <c r="F39" s="7">
        <f t="shared" ref="F39" si="31">IF(ISBLANK(E39)," - ",IF(G39=0,E39,E39+G39-1))</f>
        <v>46080</v>
      </c>
      <c r="G39" s="8">
        <v>2</v>
      </c>
      <c r="H39" s="9">
        <v>0</v>
      </c>
      <c r="I39" s="10">
        <f t="shared" ref="I39" si="32">IF(OR(F39=0,E39=0)," - ",NETWORKDAYS(E39,F39))</f>
        <v>2</v>
      </c>
      <c r="J39" s="11"/>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row>
    <row r="40" spans="1:66" s="1" customFormat="1" ht="18">
      <c r="A40" s="4" t="str">
        <f t="shared" si="14"/>
        <v>1.32</v>
      </c>
      <c r="B40" s="94" t="s">
        <v>49</v>
      </c>
      <c r="C40" s="1" t="s">
        <v>19</v>
      </c>
      <c r="D40" s="5"/>
      <c r="E40" s="6">
        <f t="shared" si="28"/>
        <v>46079</v>
      </c>
      <c r="F40" s="7">
        <f t="shared" ref="F40:F60" si="33">IF(ISBLANK(E40)," - ",IF(G40=0,E40,E40+G40-1))</f>
        <v>46080</v>
      </c>
      <c r="G40" s="8">
        <v>2</v>
      </c>
      <c r="H40" s="9">
        <v>1</v>
      </c>
      <c r="I40" s="10">
        <f t="shared" ref="I40:I60" si="34">IF(OR(F40=0,E40=0)," - ",NETWORKDAYS(E40,F40))</f>
        <v>2</v>
      </c>
      <c r="J40" s="11"/>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row>
    <row r="41" spans="1:66" s="1" customFormat="1" ht="18">
      <c r="A41" s="4" t="str">
        <f t="shared" si="14"/>
        <v>1.33</v>
      </c>
      <c r="B41" s="93" t="s">
        <v>50</v>
      </c>
      <c r="C41" s="1" t="s">
        <v>51</v>
      </c>
      <c r="D41" s="5"/>
      <c r="E41" s="6">
        <f t="shared" si="28"/>
        <v>46081</v>
      </c>
      <c r="F41" s="7">
        <f t="shared" si="33"/>
        <v>46084</v>
      </c>
      <c r="G41" s="8">
        <v>4</v>
      </c>
      <c r="H41" s="96">
        <v>1</v>
      </c>
      <c r="I41" s="10">
        <f t="shared" si="34"/>
        <v>2</v>
      </c>
      <c r="J41" s="11"/>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row>
    <row r="42" spans="1:66" s="1" customFormat="1" ht="18">
      <c r="A42" s="4" t="str">
        <f t="shared" si="14"/>
        <v>1.34</v>
      </c>
      <c r="B42" s="93" t="s">
        <v>52</v>
      </c>
      <c r="C42" s="1" t="s">
        <v>51</v>
      </c>
      <c r="D42" s="5"/>
      <c r="E42" s="6">
        <f t="shared" si="28"/>
        <v>46081</v>
      </c>
      <c r="F42" s="7">
        <f t="shared" si="33"/>
        <v>46084</v>
      </c>
      <c r="G42" s="8">
        <v>4</v>
      </c>
      <c r="H42" s="9">
        <v>0</v>
      </c>
      <c r="I42" s="10">
        <f t="shared" si="34"/>
        <v>2</v>
      </c>
      <c r="J42" s="11"/>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row>
    <row r="43" spans="1:66" s="1" customFormat="1" ht="18">
      <c r="A43" s="4" t="str">
        <f t="shared" si="14"/>
        <v>1.35</v>
      </c>
      <c r="B43" s="94" t="s">
        <v>53</v>
      </c>
      <c r="C43" s="97" t="s">
        <v>54</v>
      </c>
      <c r="D43" s="5"/>
      <c r="E43" s="6">
        <f>F41</f>
        <v>46084</v>
      </c>
      <c r="F43" s="7">
        <f t="shared" si="33"/>
        <v>46086</v>
      </c>
      <c r="G43" s="8">
        <v>3</v>
      </c>
      <c r="H43" s="9">
        <v>1</v>
      </c>
      <c r="I43" s="10">
        <f t="shared" si="34"/>
        <v>3</v>
      </c>
      <c r="J43" s="11"/>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row>
    <row r="44" spans="1:66" s="1" customFormat="1" ht="18">
      <c r="A44" s="4" t="str">
        <f t="shared" si="14"/>
        <v>1.36</v>
      </c>
      <c r="B44" s="98" t="s">
        <v>55</v>
      </c>
      <c r="C44" s="97" t="s">
        <v>51</v>
      </c>
      <c r="D44" s="5"/>
      <c r="E44" s="6">
        <f>F42</f>
        <v>46084</v>
      </c>
      <c r="F44" s="7">
        <f t="shared" si="33"/>
        <v>46086</v>
      </c>
      <c r="G44" s="8">
        <v>3</v>
      </c>
      <c r="H44" s="9">
        <v>1</v>
      </c>
      <c r="I44" s="10">
        <f t="shared" si="34"/>
        <v>3</v>
      </c>
      <c r="J44" s="11"/>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row>
    <row r="45" spans="1:66" s="1" customFormat="1" ht="18">
      <c r="A45" s="4" t="str">
        <f t="shared" si="14"/>
        <v>1.37</v>
      </c>
      <c r="B45" s="89" t="s">
        <v>56</v>
      </c>
      <c r="C45" s="1" t="s">
        <v>51</v>
      </c>
      <c r="D45" s="5"/>
      <c r="E45" s="6">
        <f>F41+3</f>
        <v>46087</v>
      </c>
      <c r="F45" s="7">
        <f t="shared" ref="F45" si="35">IF(ISBLANK(E45)," - ",IF(G45=0,E45,E45+G45-1))</f>
        <v>46088</v>
      </c>
      <c r="G45" s="8">
        <v>2</v>
      </c>
      <c r="H45" s="9">
        <v>1</v>
      </c>
      <c r="I45" s="10">
        <f t="shared" ref="I45" si="36">IF(OR(F45=0,E45=0)," - ",NETWORKDAYS(E45,F45))</f>
        <v>1</v>
      </c>
      <c r="J45" s="11"/>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row>
    <row r="46" spans="1:66" s="1" customFormat="1" ht="18">
      <c r="A46" s="4" t="str">
        <f t="shared" si="14"/>
        <v>1.38</v>
      </c>
      <c r="B46" s="93" t="s">
        <v>57</v>
      </c>
      <c r="C46" s="1" t="s">
        <v>28</v>
      </c>
      <c r="D46" s="5"/>
      <c r="E46" s="6">
        <f>F43+1</f>
        <v>46087</v>
      </c>
      <c r="F46" s="7">
        <f t="shared" si="33"/>
        <v>46090</v>
      </c>
      <c r="G46" s="8">
        <v>4</v>
      </c>
      <c r="H46" s="9">
        <v>0</v>
      </c>
      <c r="I46" s="10">
        <f t="shared" si="34"/>
        <v>2</v>
      </c>
      <c r="J46" s="11"/>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row>
    <row r="47" spans="1:66" s="1" customFormat="1" ht="18">
      <c r="A47" s="4" t="str">
        <f t="shared" si="14"/>
        <v>1.39</v>
      </c>
      <c r="B47" s="93" t="s">
        <v>58</v>
      </c>
      <c r="C47" s="1" t="s">
        <v>19</v>
      </c>
      <c r="D47" s="5"/>
      <c r="E47" s="6">
        <f>F44+1</f>
        <v>46087</v>
      </c>
      <c r="F47" s="7">
        <f t="shared" si="33"/>
        <v>46090</v>
      </c>
      <c r="G47" s="8">
        <v>4</v>
      </c>
      <c r="H47" s="9">
        <v>0</v>
      </c>
      <c r="I47" s="10">
        <f t="shared" si="34"/>
        <v>2</v>
      </c>
      <c r="J47" s="11"/>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row>
    <row r="48" spans="1:66" s="1" customFormat="1" ht="18">
      <c r="A48" s="4" t="str">
        <f t="shared" si="14"/>
        <v>1.40</v>
      </c>
      <c r="B48" s="99" t="s">
        <v>59</v>
      </c>
      <c r="C48" s="1" t="s">
        <v>28</v>
      </c>
      <c r="D48" s="5"/>
      <c r="E48" s="6">
        <f t="shared" ref="E48:E53" si="37">F46+1</f>
        <v>46091</v>
      </c>
      <c r="F48" s="7">
        <f t="shared" si="33"/>
        <v>46092</v>
      </c>
      <c r="G48" s="8">
        <v>2</v>
      </c>
      <c r="H48" s="9">
        <v>0</v>
      </c>
      <c r="I48" s="10">
        <f t="shared" si="34"/>
        <v>2</v>
      </c>
      <c r="J48" s="11"/>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row>
    <row r="49" spans="1:66" s="1" customFormat="1" ht="18">
      <c r="A49" s="4" t="str">
        <f t="shared" si="14"/>
        <v>1.41</v>
      </c>
      <c r="B49" s="93" t="s">
        <v>60</v>
      </c>
      <c r="C49" s="1" t="s">
        <v>51</v>
      </c>
      <c r="D49" s="5"/>
      <c r="E49" s="6">
        <f t="shared" si="37"/>
        <v>46091</v>
      </c>
      <c r="F49" s="7">
        <f t="shared" si="33"/>
        <v>46092</v>
      </c>
      <c r="G49" s="8">
        <v>2</v>
      </c>
      <c r="H49" s="9">
        <v>0</v>
      </c>
      <c r="I49" s="10">
        <f t="shared" si="34"/>
        <v>2</v>
      </c>
      <c r="J49" s="11"/>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row>
    <row r="50" spans="1:66" s="1" customFormat="1" ht="18">
      <c r="A50" s="4" t="str">
        <f t="shared" si="14"/>
        <v>1.42</v>
      </c>
      <c r="B50" s="93" t="s">
        <v>61</v>
      </c>
      <c r="C50" s="1" t="s">
        <v>28</v>
      </c>
      <c r="D50" s="5"/>
      <c r="E50" s="6">
        <f t="shared" si="37"/>
        <v>46093</v>
      </c>
      <c r="F50" s="7">
        <f t="shared" si="33"/>
        <v>46094</v>
      </c>
      <c r="G50" s="8">
        <v>2</v>
      </c>
      <c r="H50" s="9">
        <v>0</v>
      </c>
      <c r="I50" s="10">
        <f t="shared" si="34"/>
        <v>2</v>
      </c>
      <c r="J50" s="11"/>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row>
    <row r="51" spans="1:66" s="1" customFormat="1" ht="18">
      <c r="A51" s="4" t="str">
        <f t="shared" si="14"/>
        <v>1.43</v>
      </c>
      <c r="B51" s="93" t="s">
        <v>62</v>
      </c>
      <c r="C51" s="1" t="s">
        <v>51</v>
      </c>
      <c r="D51" s="5"/>
      <c r="E51" s="6">
        <f t="shared" si="37"/>
        <v>46093</v>
      </c>
      <c r="F51" s="7">
        <f t="shared" si="33"/>
        <v>46094</v>
      </c>
      <c r="G51" s="8">
        <v>2</v>
      </c>
      <c r="H51" s="9">
        <v>0</v>
      </c>
      <c r="I51" s="10">
        <f t="shared" si="34"/>
        <v>2</v>
      </c>
      <c r="J51" s="11"/>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row>
    <row r="52" spans="1:66" s="1" customFormat="1" ht="18">
      <c r="A52" s="4" t="str">
        <f t="shared" si="14"/>
        <v>1.44</v>
      </c>
      <c r="B52" s="98" t="s">
        <v>63</v>
      </c>
      <c r="C52" s="1" t="s">
        <v>28</v>
      </c>
      <c r="D52" s="5"/>
      <c r="E52" s="6">
        <f t="shared" si="37"/>
        <v>46095</v>
      </c>
      <c r="F52" s="7">
        <f t="shared" si="33"/>
        <v>46098</v>
      </c>
      <c r="G52" s="8">
        <v>4</v>
      </c>
      <c r="H52" s="9">
        <v>1</v>
      </c>
      <c r="I52" s="10">
        <f t="shared" si="34"/>
        <v>2</v>
      </c>
      <c r="J52" s="11"/>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row>
    <row r="53" spans="1:66" s="1" customFormat="1" ht="18">
      <c r="A53" s="4" t="str">
        <f t="shared" si="14"/>
        <v>1.45</v>
      </c>
      <c r="B53" s="98" t="s">
        <v>64</v>
      </c>
      <c r="C53" s="1" t="s">
        <v>51</v>
      </c>
      <c r="D53" s="5"/>
      <c r="E53" s="6">
        <f t="shared" si="37"/>
        <v>46095</v>
      </c>
      <c r="F53" s="7">
        <f t="shared" si="33"/>
        <v>46098</v>
      </c>
      <c r="G53" s="8">
        <v>4</v>
      </c>
      <c r="H53" s="9">
        <v>1</v>
      </c>
      <c r="I53" s="10">
        <f t="shared" si="34"/>
        <v>2</v>
      </c>
      <c r="J53" s="11"/>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row>
    <row r="54" spans="1:66" s="1" customFormat="1" ht="18">
      <c r="A54" s="4" t="str">
        <f t="shared" si="14"/>
        <v>1.46</v>
      </c>
      <c r="B54" s="98" t="s">
        <v>65</v>
      </c>
      <c r="C54" s="1" t="s">
        <v>28</v>
      </c>
      <c r="D54" s="5"/>
      <c r="E54" s="6">
        <f>F52+10</f>
        <v>46108</v>
      </c>
      <c r="F54" s="7">
        <f t="shared" si="33"/>
        <v>46111</v>
      </c>
      <c r="G54" s="8">
        <v>4</v>
      </c>
      <c r="H54" s="9">
        <v>1</v>
      </c>
      <c r="I54" s="10">
        <f t="shared" si="34"/>
        <v>2</v>
      </c>
      <c r="J54" s="11"/>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row>
    <row r="55" spans="1:66" s="1" customFormat="1" ht="18">
      <c r="A55" s="4" t="str">
        <f t="shared" si="14"/>
        <v>1.47</v>
      </c>
      <c r="B55" s="98" t="s">
        <v>66</v>
      </c>
      <c r="C55" s="1" t="s">
        <v>51</v>
      </c>
      <c r="D55" s="5"/>
      <c r="E55" s="6">
        <f>F53+10</f>
        <v>46108</v>
      </c>
      <c r="F55" s="7">
        <f t="shared" si="33"/>
        <v>46111</v>
      </c>
      <c r="G55" s="8">
        <v>4</v>
      </c>
      <c r="H55" s="9">
        <v>1</v>
      </c>
      <c r="I55" s="10">
        <f t="shared" si="34"/>
        <v>2</v>
      </c>
      <c r="J55" s="11"/>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row>
    <row r="56" spans="1:66" s="1" customFormat="1" ht="18">
      <c r="A56" s="4" t="str">
        <f t="shared" si="14"/>
        <v>1.48</v>
      </c>
      <c r="B56" s="98" t="s">
        <v>67</v>
      </c>
      <c r="C56" s="1" t="s">
        <v>28</v>
      </c>
      <c r="D56" s="5"/>
      <c r="E56" s="6">
        <f>F54+1</f>
        <v>46112</v>
      </c>
      <c r="F56" s="7">
        <f t="shared" si="33"/>
        <v>46113</v>
      </c>
      <c r="G56" s="8">
        <v>2</v>
      </c>
      <c r="H56" s="9">
        <v>1</v>
      </c>
      <c r="I56" s="10">
        <f t="shared" si="34"/>
        <v>2</v>
      </c>
      <c r="J56" s="11"/>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row>
    <row r="57" spans="1:66" s="1" customFormat="1" ht="18">
      <c r="A57" s="4" t="str">
        <f t="shared" si="14"/>
        <v>1.49</v>
      </c>
      <c r="B57" s="93" t="s">
        <v>68</v>
      </c>
      <c r="C57" s="1" t="s">
        <v>51</v>
      </c>
      <c r="D57" s="5"/>
      <c r="E57" s="6">
        <f>F55+1</f>
        <v>46112</v>
      </c>
      <c r="F57" s="7">
        <f t="shared" si="33"/>
        <v>46113</v>
      </c>
      <c r="G57" s="8">
        <v>2</v>
      </c>
      <c r="H57" s="9">
        <v>0</v>
      </c>
      <c r="I57" s="10">
        <f t="shared" si="34"/>
        <v>2</v>
      </c>
      <c r="J57" s="11"/>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row>
    <row r="58" spans="1:66" s="1" customFormat="1" ht="18">
      <c r="A58" s="4" t="str">
        <f t="shared" si="14"/>
        <v>1.50</v>
      </c>
      <c r="B58" s="98" t="s">
        <v>69</v>
      </c>
      <c r="C58" s="1" t="s">
        <v>51</v>
      </c>
      <c r="D58" s="5"/>
      <c r="E58" s="6">
        <f>F56+1</f>
        <v>46114</v>
      </c>
      <c r="F58" s="7">
        <f t="shared" si="33"/>
        <v>46115</v>
      </c>
      <c r="G58" s="8">
        <v>2</v>
      </c>
      <c r="H58" s="9">
        <v>1</v>
      </c>
      <c r="I58" s="10">
        <f t="shared" si="34"/>
        <v>2</v>
      </c>
      <c r="J58" s="11"/>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row>
    <row r="59" spans="1:66" s="1" customFormat="1" ht="18">
      <c r="A59" s="4" t="str">
        <f t="shared" si="14"/>
        <v>1.51</v>
      </c>
      <c r="B59" s="94" t="s">
        <v>70</v>
      </c>
      <c r="C59" s="95" t="s">
        <v>54</v>
      </c>
      <c r="D59" s="5"/>
      <c r="E59" s="6">
        <f>F57+1</f>
        <v>46114</v>
      </c>
      <c r="F59" s="7">
        <f t="shared" si="33"/>
        <v>46115</v>
      </c>
      <c r="G59" s="8">
        <v>2</v>
      </c>
      <c r="H59" s="9">
        <v>1</v>
      </c>
      <c r="I59" s="10">
        <f t="shared" si="34"/>
        <v>2</v>
      </c>
      <c r="J59" s="11"/>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row>
    <row r="60" spans="1:66" s="1" customFormat="1" ht="18">
      <c r="A60" s="4" t="str">
        <f t="shared" si="14"/>
        <v>1.52</v>
      </c>
      <c r="B60" s="93" t="s">
        <v>71</v>
      </c>
      <c r="C60" s="1" t="s">
        <v>28</v>
      </c>
      <c r="D60" s="5"/>
      <c r="E60" s="6">
        <f>F58+1</f>
        <v>46116</v>
      </c>
      <c r="F60" s="7">
        <f t="shared" si="33"/>
        <v>46119</v>
      </c>
      <c r="G60" s="8">
        <v>4</v>
      </c>
      <c r="H60" s="9">
        <v>0</v>
      </c>
      <c r="I60" s="10">
        <f t="shared" si="34"/>
        <v>2</v>
      </c>
      <c r="J60" s="11"/>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row>
    <row r="62" spans="1:66" s="1" customFormat="1" ht="18">
      <c r="A62" s="4"/>
      <c r="B62" s="93"/>
      <c r="D62" s="5"/>
      <c r="E62" s="111"/>
      <c r="F62" s="112"/>
      <c r="G62" s="113"/>
      <c r="H62" s="114"/>
      <c r="I62" s="10"/>
      <c r="J62" s="11"/>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row>
    <row r="63" spans="1:66" s="1" customFormat="1" ht="18">
      <c r="A63" s="4"/>
      <c r="B63" s="93"/>
      <c r="D63" s="5"/>
      <c r="E63" s="111"/>
      <c r="F63" s="112"/>
      <c r="G63" s="113"/>
      <c r="H63" s="114"/>
      <c r="I63" s="10"/>
      <c r="J63" s="11"/>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row>
    <row r="64" spans="1:66" s="1" customFormat="1" ht="18">
      <c r="A64" s="4"/>
      <c r="B64" s="93"/>
      <c r="D64" s="5"/>
      <c r="E64" s="111"/>
      <c r="F64" s="112"/>
      <c r="G64" s="113"/>
      <c r="H64" s="114"/>
      <c r="I64" s="10"/>
      <c r="J64" s="11"/>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row>
    <row r="65" spans="1:66" s="1" customFormat="1" ht="18">
      <c r="A65" s="4"/>
      <c r="B65" s="93"/>
      <c r="D65" s="5"/>
      <c r="E65" s="111"/>
      <c r="F65" s="112"/>
      <c r="G65" s="113"/>
      <c r="H65" s="114"/>
      <c r="I65" s="10"/>
      <c r="J65" s="11"/>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row>
    <row r="66" spans="1:66" s="1" customFormat="1" ht="18">
      <c r="A66" s="4"/>
      <c r="B66" s="93"/>
      <c r="D66" s="5"/>
      <c r="E66" s="111"/>
      <c r="F66" s="112"/>
      <c r="G66" s="113"/>
      <c r="H66" s="114"/>
      <c r="I66" s="10"/>
      <c r="J66" s="11"/>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row>
    <row r="67" spans="1:66" s="1" customFormat="1" ht="18">
      <c r="A67" s="4"/>
      <c r="B67" s="93"/>
      <c r="D67" s="5"/>
      <c r="E67" s="111"/>
      <c r="F67" s="112"/>
      <c r="G67" s="113"/>
      <c r="H67" s="114"/>
      <c r="I67" s="10"/>
      <c r="J67" s="11"/>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row>
    <row r="68" spans="1:66" s="1" customFormat="1" ht="18">
      <c r="A68" s="4"/>
      <c r="B68" s="93"/>
      <c r="D68" s="5"/>
      <c r="E68" s="111"/>
      <c r="F68" s="112"/>
      <c r="G68" s="113"/>
      <c r="H68" s="114"/>
      <c r="I68" s="10"/>
      <c r="J68" s="11"/>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row>
    <row r="69" spans="1:66" s="1" customFormat="1" ht="18">
      <c r="A69" s="4"/>
      <c r="B69" s="93"/>
      <c r="D69" s="5"/>
      <c r="E69" s="111"/>
      <c r="F69" s="112"/>
      <c r="G69" s="113"/>
      <c r="H69" s="114"/>
      <c r="I69" s="10"/>
      <c r="J69" s="11"/>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row>
    <row r="70" spans="1:66" s="1" customFormat="1" ht="18">
      <c r="A70" s="4"/>
      <c r="B70" s="93"/>
      <c r="D70" s="5"/>
      <c r="E70" s="111"/>
      <c r="F70" s="112"/>
      <c r="G70" s="113"/>
      <c r="H70" s="114"/>
      <c r="I70" s="10"/>
      <c r="J70" s="11"/>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row>
    <row r="71" spans="1:66" s="1" customFormat="1" ht="18">
      <c r="A71" s="4"/>
      <c r="B71" s="93"/>
      <c r="D71" s="5"/>
      <c r="E71" s="111"/>
      <c r="F71" s="112"/>
      <c r="G71" s="113"/>
      <c r="H71" s="114"/>
      <c r="I71" s="10"/>
      <c r="J71" s="11"/>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row>
    <row r="72" spans="1:66" s="1" customFormat="1" ht="18">
      <c r="A72" s="4"/>
      <c r="B72" s="93"/>
      <c r="D72" s="5"/>
      <c r="E72" s="111"/>
      <c r="F72" s="112"/>
      <c r="G72" s="113"/>
      <c r="H72" s="114"/>
      <c r="I72" s="10"/>
      <c r="J72" s="11"/>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row>
    <row r="73" spans="1:66" s="1" customFormat="1" ht="18">
      <c r="A73" s="4"/>
      <c r="B73" s="93"/>
      <c r="D73" s="5"/>
      <c r="E73" s="111"/>
      <c r="F73" s="112"/>
      <c r="G73" s="113"/>
      <c r="H73" s="114"/>
      <c r="I73" s="10"/>
      <c r="J73" s="11"/>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row>
    <row r="74" spans="1:66" s="1" customFormat="1" ht="18">
      <c r="A74" s="4"/>
      <c r="B74" s="93"/>
      <c r="D74" s="5"/>
      <c r="E74" s="111"/>
      <c r="F74" s="112"/>
      <c r="G74" s="113"/>
      <c r="H74" s="114"/>
      <c r="I74" s="10"/>
      <c r="J74" s="11"/>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row>
    <row r="75" spans="1:66" s="1" customFormat="1" ht="18">
      <c r="A75" s="4"/>
      <c r="B75" s="93"/>
      <c r="D75" s="5"/>
      <c r="E75" s="111"/>
      <c r="F75" s="112"/>
      <c r="G75" s="113"/>
      <c r="H75" s="114"/>
      <c r="I75" s="10"/>
      <c r="J75" s="11"/>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row>
    <row r="76" spans="1:66" s="55" customFormat="1" ht="18" hidden="1">
      <c r="A76" s="100" t="str">
        <f>IF(ISERROR(VALUE(SUBSTITUTE(prevWBS,".",""))),"1",IF(ISERROR(FIND("`",SUBSTITUTE(prevWBS,".","`",1))),TEXT(VALUE(prevWBS)+1,"#"),TEXT(VALUE(LEFT(prevWBS,FIND("`",SUBSTITUTE(prevWBS,".","`",1))-1))+1,"#")))</f>
        <v>1</v>
      </c>
      <c r="B76" s="101" t="s">
        <v>72</v>
      </c>
      <c r="D76" s="102"/>
      <c r="E76" s="103"/>
      <c r="F76" s="103" t="str">
        <f t="shared" ref="F76:F81" si="38">IF(ISBLANK(E76)," - ",IF(G76=0,E76,E76+G76-1))</f>
        <v>-</v>
      </c>
      <c r="G76" s="104"/>
      <c r="H76" s="105"/>
      <c r="I76" s="106" t="str">
        <f t="shared" ref="I76:I81" si="39">IF(OR(F76=0,E76=0)," - ",NETWORKDAYS(E76,F76))</f>
        <v>-</v>
      </c>
      <c r="J76" s="107"/>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row>
    <row r="77" spans="1:66" s="1" customFormat="1" ht="18" hidden="1">
      <c r="A77" s="4" t="str">
        <f t="shared" ref="A77:A115" si="40">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77" s="93" t="s">
        <v>73</v>
      </c>
      <c r="C77" s="1" t="s">
        <v>74</v>
      </c>
      <c r="D77" s="5"/>
      <c r="E77" s="6">
        <v>46057</v>
      </c>
      <c r="F77" s="7">
        <f t="shared" si="38"/>
        <v>46063</v>
      </c>
      <c r="G77" s="8">
        <v>7</v>
      </c>
      <c r="H77" s="9">
        <v>0</v>
      </c>
      <c r="I77" s="10">
        <f t="shared" si="39"/>
        <v>5</v>
      </c>
      <c r="J77" s="11"/>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row>
    <row r="78" spans="1:66" s="1" customFormat="1" ht="18" hidden="1">
      <c r="A78" s="4" t="str">
        <f t="shared" si="40"/>
        <v>1.2</v>
      </c>
      <c r="B78" s="93" t="s">
        <v>75</v>
      </c>
      <c r="C78" s="1" t="s">
        <v>19</v>
      </c>
      <c r="D78" s="5"/>
      <c r="E78" s="6">
        <v>46064</v>
      </c>
      <c r="F78" s="7">
        <f t="shared" si="38"/>
        <v>46070</v>
      </c>
      <c r="G78" s="8">
        <v>7</v>
      </c>
      <c r="H78" s="9">
        <v>0</v>
      </c>
      <c r="I78" s="10">
        <f t="shared" si="39"/>
        <v>5</v>
      </c>
      <c r="J78" s="11"/>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row>
    <row r="79" spans="1:66" s="1" customFormat="1" ht="44.25" hidden="1" customHeight="1">
      <c r="A79" s="4" t="str">
        <f t="shared" si="40"/>
        <v>1.3</v>
      </c>
      <c r="B79" s="93" t="s">
        <v>76</v>
      </c>
      <c r="C79" s="1" t="s">
        <v>28</v>
      </c>
      <c r="D79" s="5"/>
      <c r="E79" s="6">
        <v>46064</v>
      </c>
      <c r="F79" s="7">
        <f t="shared" si="38"/>
        <v>46070</v>
      </c>
      <c r="G79" s="8">
        <v>7</v>
      </c>
      <c r="H79" s="9">
        <v>0</v>
      </c>
      <c r="I79" s="10">
        <f t="shared" si="39"/>
        <v>5</v>
      </c>
      <c r="J79" s="11"/>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row>
    <row r="80" spans="1:66" s="1" customFormat="1" ht="18" hidden="1">
      <c r="A80" s="4" t="str">
        <f t="shared" si="40"/>
        <v>1.4</v>
      </c>
      <c r="B80" s="93" t="s">
        <v>77</v>
      </c>
      <c r="C80" s="1" t="s">
        <v>19</v>
      </c>
      <c r="D80" s="5"/>
      <c r="E80" s="6">
        <v>46071</v>
      </c>
      <c r="F80" s="7">
        <f t="shared" si="38"/>
        <v>46077</v>
      </c>
      <c r="G80" s="8">
        <v>7</v>
      </c>
      <c r="H80" s="9">
        <v>0</v>
      </c>
      <c r="I80" s="10">
        <f t="shared" si="39"/>
        <v>5</v>
      </c>
      <c r="J80" s="11"/>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row>
    <row r="81" spans="1:66" s="1" customFormat="1" ht="18" hidden="1">
      <c r="A81" s="4" t="str">
        <f t="shared" si="40"/>
        <v>1.5</v>
      </c>
      <c r="B81" s="93" t="s">
        <v>78</v>
      </c>
      <c r="C81" s="1" t="s">
        <v>28</v>
      </c>
      <c r="D81" s="5"/>
      <c r="E81" s="6">
        <v>46071</v>
      </c>
      <c r="F81" s="7">
        <f t="shared" si="38"/>
        <v>46077</v>
      </c>
      <c r="G81" s="8">
        <v>7</v>
      </c>
      <c r="H81" s="9">
        <v>0</v>
      </c>
      <c r="I81" s="10">
        <f t="shared" si="39"/>
        <v>5</v>
      </c>
      <c r="J81" s="11"/>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row>
    <row r="82" spans="1:66" s="1" customFormat="1" ht="18" hidden="1">
      <c r="A82" s="4" t="str">
        <f t="shared" si="40"/>
        <v>1.6</v>
      </c>
      <c r="B82" s="93" t="s">
        <v>79</v>
      </c>
      <c r="C82" s="1" t="s">
        <v>19</v>
      </c>
      <c r="D82" s="5"/>
      <c r="E82" s="6">
        <v>46078</v>
      </c>
      <c r="F82" s="7">
        <f t="shared" ref="F82:F96" si="41">IF(ISBLANK(E82)," - ",IF(G82=0,E82,E82+G82-1))</f>
        <v>46084</v>
      </c>
      <c r="G82" s="8">
        <v>7</v>
      </c>
      <c r="H82" s="9">
        <v>0</v>
      </c>
      <c r="I82" s="10">
        <f t="shared" ref="I82:I96" si="42">IF(OR(F82=0,E82=0)," - ",NETWORKDAYS(E82,F82))</f>
        <v>5</v>
      </c>
      <c r="J82" s="11"/>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row>
    <row r="83" spans="1:66" s="1" customFormat="1" ht="18" hidden="1">
      <c r="A83" s="4" t="str">
        <f t="shared" si="40"/>
        <v>1.7</v>
      </c>
      <c r="B83" s="93" t="s">
        <v>80</v>
      </c>
      <c r="C83" s="1" t="s">
        <v>28</v>
      </c>
      <c r="D83" s="5"/>
      <c r="E83" s="6">
        <v>46078</v>
      </c>
      <c r="F83" s="7">
        <f t="shared" si="41"/>
        <v>46084</v>
      </c>
      <c r="G83" s="8">
        <v>7</v>
      </c>
      <c r="H83" s="9">
        <v>0</v>
      </c>
      <c r="I83" s="10">
        <f t="shared" si="42"/>
        <v>5</v>
      </c>
      <c r="J83" s="11"/>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row>
    <row r="84" spans="1:66" s="1" customFormat="1" ht="18" hidden="1">
      <c r="A84" s="4" t="str">
        <f t="shared" si="40"/>
        <v>1.8</v>
      </c>
      <c r="B84" s="93" t="s">
        <v>81</v>
      </c>
      <c r="C84" s="1" t="s">
        <v>82</v>
      </c>
      <c r="D84" s="5"/>
      <c r="E84" s="6">
        <v>46057</v>
      </c>
      <c r="F84" s="7">
        <f t="shared" si="41"/>
        <v>46063</v>
      </c>
      <c r="G84" s="8">
        <v>7</v>
      </c>
      <c r="H84" s="9">
        <v>0</v>
      </c>
      <c r="I84" s="10">
        <f t="shared" si="42"/>
        <v>5</v>
      </c>
      <c r="J84" s="11"/>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row>
    <row r="85" spans="1:66" s="1" customFormat="1" ht="18" hidden="1">
      <c r="A85" s="4" t="str">
        <f t="shared" si="40"/>
        <v>1.9</v>
      </c>
      <c r="B85" s="93" t="s">
        <v>83</v>
      </c>
      <c r="C85" s="1" t="s">
        <v>19</v>
      </c>
      <c r="D85" s="5"/>
      <c r="E85" s="6">
        <v>46085</v>
      </c>
      <c r="F85" s="7">
        <f t="shared" si="41"/>
        <v>46091</v>
      </c>
      <c r="G85" s="8">
        <v>7</v>
      </c>
      <c r="H85" s="9">
        <v>0</v>
      </c>
      <c r="I85" s="10">
        <f t="shared" si="42"/>
        <v>5</v>
      </c>
      <c r="J85" s="11"/>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row>
    <row r="86" spans="1:66" s="1" customFormat="1" ht="18" hidden="1">
      <c r="A86" s="4" t="str">
        <f t="shared" si="40"/>
        <v>1.10</v>
      </c>
      <c r="B86" s="93" t="s">
        <v>84</v>
      </c>
      <c r="C86" s="1" t="s">
        <v>28</v>
      </c>
      <c r="D86" s="5"/>
      <c r="E86" s="6">
        <v>46085</v>
      </c>
      <c r="F86" s="7">
        <f t="shared" si="41"/>
        <v>46091</v>
      </c>
      <c r="G86" s="8">
        <v>7</v>
      </c>
      <c r="H86" s="9">
        <v>0</v>
      </c>
      <c r="I86" s="10">
        <f t="shared" si="42"/>
        <v>5</v>
      </c>
      <c r="J86" s="11"/>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row>
    <row r="87" spans="1:66" s="1" customFormat="1" ht="18" hidden="1">
      <c r="A87" s="4" t="str">
        <f t="shared" si="40"/>
        <v>1.11</v>
      </c>
      <c r="B87" s="93" t="s">
        <v>85</v>
      </c>
      <c r="C87" s="1" t="s">
        <v>28</v>
      </c>
      <c r="D87" s="5"/>
      <c r="E87" s="6">
        <v>46092</v>
      </c>
      <c r="F87" s="7">
        <f t="shared" si="41"/>
        <v>46098</v>
      </c>
      <c r="G87" s="8">
        <v>7</v>
      </c>
      <c r="H87" s="9">
        <v>0</v>
      </c>
      <c r="I87" s="10">
        <f t="shared" si="42"/>
        <v>5</v>
      </c>
      <c r="J87" s="11"/>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row>
    <row r="88" spans="1:66" s="1" customFormat="1" ht="18" hidden="1">
      <c r="A88" s="4" t="str">
        <f t="shared" si="40"/>
        <v>1.12</v>
      </c>
      <c r="B88" s="93" t="s">
        <v>86</v>
      </c>
      <c r="C88" s="1" t="s">
        <v>19</v>
      </c>
      <c r="D88" s="5"/>
      <c r="E88" s="6">
        <v>46092</v>
      </c>
      <c r="F88" s="7">
        <f t="shared" si="41"/>
        <v>46098</v>
      </c>
      <c r="G88" s="8">
        <v>7</v>
      </c>
      <c r="H88" s="9">
        <v>0</v>
      </c>
      <c r="I88" s="10">
        <f t="shared" si="42"/>
        <v>5</v>
      </c>
      <c r="J88" s="11"/>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row>
    <row r="89" spans="1:66" s="1" customFormat="1" ht="18" hidden="1">
      <c r="A89" s="4" t="str">
        <f t="shared" si="40"/>
        <v>1.13</v>
      </c>
      <c r="B89" s="93" t="s">
        <v>87</v>
      </c>
      <c r="C89" s="1" t="s">
        <v>28</v>
      </c>
      <c r="D89" s="5"/>
      <c r="E89" s="6">
        <v>46099</v>
      </c>
      <c r="F89" s="7">
        <f t="shared" si="41"/>
        <v>46105</v>
      </c>
      <c r="G89" s="8">
        <v>7</v>
      </c>
      <c r="H89" s="9">
        <v>0</v>
      </c>
      <c r="I89" s="10">
        <f t="shared" si="42"/>
        <v>5</v>
      </c>
      <c r="J89" s="11"/>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row>
    <row r="90" spans="1:66" s="1" customFormat="1" ht="18" hidden="1">
      <c r="A90" s="4" t="str">
        <f t="shared" si="40"/>
        <v>1.14</v>
      </c>
      <c r="B90" s="93" t="s">
        <v>88</v>
      </c>
      <c r="C90" s="1" t="s">
        <v>28</v>
      </c>
      <c r="D90" s="5"/>
      <c r="E90" s="6">
        <v>46106</v>
      </c>
      <c r="F90" s="7">
        <f t="shared" ref="F90" si="43">IF(ISBLANK(E90)," - ",IF(G90=0,E90,E90+G90-1))</f>
        <v>46112</v>
      </c>
      <c r="G90" s="8">
        <v>7</v>
      </c>
      <c r="H90" s="9">
        <v>0</v>
      </c>
      <c r="I90" s="10">
        <f t="shared" ref="I90" si="44">IF(OR(F90=0,E90=0)," - ",NETWORKDAYS(E90,F90))</f>
        <v>5</v>
      </c>
      <c r="J90" s="11"/>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row>
    <row r="91" spans="1:66" s="1" customFormat="1" ht="18" hidden="1">
      <c r="A91" s="4" t="str">
        <f t="shared" si="40"/>
        <v>1.15</v>
      </c>
      <c r="B91" s="93" t="s">
        <v>89</v>
      </c>
      <c r="C91" s="1" t="s">
        <v>28</v>
      </c>
      <c r="D91" s="5"/>
      <c r="E91" s="6">
        <v>46106</v>
      </c>
      <c r="F91" s="7">
        <f t="shared" ref="F91" si="45">IF(ISBLANK(E91)," - ",IF(G91=0,E91,E91+G91-1))</f>
        <v>46112</v>
      </c>
      <c r="G91" s="8">
        <v>7</v>
      </c>
      <c r="H91" s="9">
        <v>0</v>
      </c>
      <c r="I91" s="10">
        <f t="shared" ref="I91" si="46">IF(OR(F91=0,E91=0)," - ",NETWORKDAYS(E91,F91))</f>
        <v>5</v>
      </c>
      <c r="J91" s="11"/>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row>
    <row r="92" spans="1:66" s="1" customFormat="1" ht="18" hidden="1">
      <c r="A92" s="4" t="str">
        <f t="shared" si="40"/>
        <v>1.16</v>
      </c>
      <c r="B92" s="93" t="s">
        <v>90</v>
      </c>
      <c r="C92" s="1" t="s">
        <v>28</v>
      </c>
      <c r="D92" s="5"/>
      <c r="E92" s="6">
        <v>46113</v>
      </c>
      <c r="F92" s="7">
        <f t="shared" si="41"/>
        <v>46119</v>
      </c>
      <c r="G92" s="8">
        <v>7</v>
      </c>
      <c r="H92" s="9">
        <v>0</v>
      </c>
      <c r="I92" s="10">
        <f t="shared" si="42"/>
        <v>5</v>
      </c>
      <c r="J92" s="11"/>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row>
    <row r="93" spans="1:66" s="1" customFormat="1" ht="18" hidden="1">
      <c r="A93" s="4" t="str">
        <f t="shared" si="40"/>
        <v>1.17</v>
      </c>
      <c r="B93" s="93" t="s">
        <v>91</v>
      </c>
      <c r="C93" s="1" t="s">
        <v>19</v>
      </c>
      <c r="D93" s="5"/>
      <c r="E93" s="6">
        <v>46113</v>
      </c>
      <c r="F93" s="7">
        <f t="shared" si="41"/>
        <v>46119</v>
      </c>
      <c r="G93" s="8">
        <v>7</v>
      </c>
      <c r="H93" s="9">
        <v>0</v>
      </c>
      <c r="I93" s="10">
        <f t="shared" si="42"/>
        <v>5</v>
      </c>
      <c r="J93" s="11"/>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row>
    <row r="94" spans="1:66" s="1" customFormat="1" ht="18" hidden="1">
      <c r="A94" s="4" t="str">
        <f t="shared" si="40"/>
        <v>1.18</v>
      </c>
      <c r="B94" s="93" t="s">
        <v>92</v>
      </c>
      <c r="C94" s="1" t="s">
        <v>28</v>
      </c>
      <c r="D94" s="5"/>
      <c r="E94" s="6">
        <v>46120</v>
      </c>
      <c r="F94" s="7">
        <f t="shared" si="41"/>
        <v>46126</v>
      </c>
      <c r="G94" s="8">
        <v>7</v>
      </c>
      <c r="H94" s="9">
        <v>0</v>
      </c>
      <c r="I94" s="10">
        <f t="shared" si="42"/>
        <v>5</v>
      </c>
      <c r="J94" s="11"/>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row>
    <row r="95" spans="1:66" s="1" customFormat="1" ht="18" hidden="1">
      <c r="A95" s="4" t="str">
        <f t="shared" si="40"/>
        <v>1.19</v>
      </c>
      <c r="B95" s="93" t="s">
        <v>93</v>
      </c>
      <c r="C95" s="1" t="s">
        <v>19</v>
      </c>
      <c r="D95" s="5"/>
      <c r="E95" s="6">
        <v>46120</v>
      </c>
      <c r="F95" s="7">
        <f t="shared" si="41"/>
        <v>46126</v>
      </c>
      <c r="G95" s="8">
        <v>7</v>
      </c>
      <c r="H95" s="9">
        <v>0</v>
      </c>
      <c r="I95" s="10">
        <f t="shared" si="42"/>
        <v>5</v>
      </c>
      <c r="J95" s="11"/>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row>
    <row r="96" spans="1:66" s="1" customFormat="1" ht="18" hidden="1">
      <c r="A96" s="4" t="str">
        <f t="shared" si="40"/>
        <v>1.20</v>
      </c>
      <c r="B96" s="93" t="s">
        <v>94</v>
      </c>
      <c r="C96" s="1" t="s">
        <v>28</v>
      </c>
      <c r="D96" s="5"/>
      <c r="E96" s="6">
        <v>46127</v>
      </c>
      <c r="F96" s="7">
        <f t="shared" si="41"/>
        <v>46133</v>
      </c>
      <c r="G96" s="8">
        <v>7</v>
      </c>
      <c r="H96" s="9">
        <v>0</v>
      </c>
      <c r="I96" s="10">
        <f t="shared" si="42"/>
        <v>5</v>
      </c>
      <c r="J96" s="11"/>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row>
    <row r="97" spans="1:66" s="1" customFormat="1" ht="18" hidden="1">
      <c r="A97" s="4" t="str">
        <f t="shared" si="40"/>
        <v>1.21</v>
      </c>
      <c r="B97" s="93" t="s">
        <v>95</v>
      </c>
      <c r="C97" s="1" t="s">
        <v>19</v>
      </c>
      <c r="D97" s="5"/>
      <c r="E97" s="6">
        <v>46127</v>
      </c>
      <c r="F97" s="7">
        <f t="shared" ref="F97:F107" si="47">IF(ISBLANK(E97)," - ",IF(G97=0,E97,E97+G97-1))</f>
        <v>46133</v>
      </c>
      <c r="G97" s="8">
        <v>7</v>
      </c>
      <c r="H97" s="9">
        <v>0</v>
      </c>
      <c r="I97" s="10">
        <f t="shared" ref="I97:I105" si="48">IF(OR(F97=0,E97=0)," - ",NETWORKDAYS(E97,F97))</f>
        <v>5</v>
      </c>
      <c r="J97" s="11"/>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row>
    <row r="98" spans="1:66" s="1" customFormat="1" ht="18" hidden="1">
      <c r="A98" s="4" t="str">
        <f t="shared" si="40"/>
        <v>1.22</v>
      </c>
      <c r="B98" s="93" t="s">
        <v>96</v>
      </c>
      <c r="C98" s="1" t="s">
        <v>28</v>
      </c>
      <c r="D98" s="5"/>
      <c r="E98" s="6">
        <v>46134</v>
      </c>
      <c r="F98" s="7">
        <f t="shared" si="47"/>
        <v>46140</v>
      </c>
      <c r="G98" s="8">
        <v>7</v>
      </c>
      <c r="H98" s="9">
        <v>0</v>
      </c>
      <c r="I98" s="10">
        <f t="shared" si="48"/>
        <v>5</v>
      </c>
      <c r="J98" s="11"/>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row>
    <row r="99" spans="1:66" s="1" customFormat="1" ht="18" hidden="1">
      <c r="A99" s="4" t="str">
        <f t="shared" si="40"/>
        <v>1.23</v>
      </c>
      <c r="B99" s="93" t="s">
        <v>97</v>
      </c>
      <c r="C99" s="1" t="s">
        <v>19</v>
      </c>
      <c r="D99" s="5"/>
      <c r="E99" s="6">
        <v>46134</v>
      </c>
      <c r="F99" s="7">
        <f t="shared" ref="F99:F100" si="49">IF(ISBLANK(E99)," - ",IF(G99=0,E99,E99+G99-1))</f>
        <v>46140</v>
      </c>
      <c r="G99" s="8">
        <v>7</v>
      </c>
      <c r="H99" s="9">
        <v>0</v>
      </c>
      <c r="I99" s="10">
        <f t="shared" ref="I99:I100" si="50">IF(OR(F99=0,E99=0)," - ",NETWORKDAYS(E99,F99))</f>
        <v>5</v>
      </c>
      <c r="J99" s="11"/>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row>
    <row r="100" spans="1:66" s="1" customFormat="1" ht="18" hidden="1">
      <c r="A100" s="4" t="str">
        <f t="shared" si="40"/>
        <v>1.24</v>
      </c>
      <c r="B100" s="93" t="s">
        <v>98</v>
      </c>
      <c r="C100" s="1" t="s">
        <v>28</v>
      </c>
      <c r="D100" s="5"/>
      <c r="E100" s="6">
        <v>46141</v>
      </c>
      <c r="F100" s="7">
        <f t="shared" si="49"/>
        <v>46147</v>
      </c>
      <c r="G100" s="8">
        <v>7</v>
      </c>
      <c r="H100" s="9">
        <v>0</v>
      </c>
      <c r="I100" s="10">
        <f t="shared" si="50"/>
        <v>5</v>
      </c>
      <c r="J100" s="11"/>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row>
    <row r="101" spans="1:66" s="1" customFormat="1" ht="18" hidden="1">
      <c r="A101" s="4" t="str">
        <f t="shared" si="40"/>
        <v>1.25</v>
      </c>
      <c r="B101" s="93" t="s">
        <v>99</v>
      </c>
      <c r="C101" s="1" t="s">
        <v>28</v>
      </c>
      <c r="D101" s="5"/>
      <c r="E101" s="6">
        <v>46141</v>
      </c>
      <c r="F101" s="7">
        <f t="shared" ref="F101:F103" si="51">IF(ISBLANK(E101)," - ",IF(G101=0,E101,E101+G101-1))</f>
        <v>46147</v>
      </c>
      <c r="G101" s="8">
        <v>7</v>
      </c>
      <c r="H101" s="9">
        <v>0</v>
      </c>
      <c r="I101" s="10">
        <f t="shared" ref="I101:I103" si="52">IF(OR(F101=0,E101=0)," - ",NETWORKDAYS(E101,F101))</f>
        <v>5</v>
      </c>
      <c r="J101" s="11"/>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row>
    <row r="102" spans="1:66" s="1" customFormat="1" ht="18" hidden="1">
      <c r="A102" s="4" t="str">
        <f t="shared" si="40"/>
        <v>1.26</v>
      </c>
      <c r="B102" s="93" t="s">
        <v>100</v>
      </c>
      <c r="C102" s="1" t="s">
        <v>28</v>
      </c>
      <c r="D102" s="5"/>
      <c r="E102" s="6">
        <v>46148</v>
      </c>
      <c r="F102" s="7">
        <f t="shared" si="51"/>
        <v>46154</v>
      </c>
      <c r="G102" s="8">
        <v>7</v>
      </c>
      <c r="H102" s="9">
        <v>0</v>
      </c>
      <c r="I102" s="10">
        <f t="shared" si="52"/>
        <v>5</v>
      </c>
      <c r="J102" s="11"/>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row>
    <row r="103" spans="1:66" s="1" customFormat="1" ht="18" hidden="1">
      <c r="A103" s="4" t="str">
        <f t="shared" si="40"/>
        <v>1.27</v>
      </c>
      <c r="B103" s="93" t="s">
        <v>101</v>
      </c>
      <c r="C103" s="1" t="s">
        <v>28</v>
      </c>
      <c r="D103" s="5"/>
      <c r="E103" s="6">
        <v>46148</v>
      </c>
      <c r="F103" s="7">
        <f t="shared" si="51"/>
        <v>46154</v>
      </c>
      <c r="G103" s="8">
        <v>7</v>
      </c>
      <c r="H103" s="9">
        <v>0</v>
      </c>
      <c r="I103" s="10">
        <f t="shared" si="52"/>
        <v>5</v>
      </c>
      <c r="J103" s="11"/>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row>
    <row r="104" spans="1:66" s="55" customFormat="1" ht="18" hidden="1">
      <c r="A104" s="100" t="str">
        <f>IF(ISERROR(VALUE(SUBSTITUTE(prevWBS,".",""))),"1",IF(ISERROR(FIND("`",SUBSTITUTE(prevWBS,".","`",1))),TEXT(VALUE(prevWBS)+1,"#"),TEXT(VALUE(LEFT(prevWBS,FIND("`",SUBSTITUTE(prevWBS,".","`",1))-1))+1,"#")))</f>
        <v>2</v>
      </c>
      <c r="B104" s="101" t="s">
        <v>102</v>
      </c>
      <c r="D104" s="102"/>
      <c r="E104" s="103"/>
      <c r="F104" s="103" t="str">
        <f t="shared" si="47"/>
        <v>-</v>
      </c>
      <c r="G104" s="104"/>
      <c r="H104" s="105"/>
      <c r="I104" s="106" t="str">
        <f t="shared" si="48"/>
        <v>-</v>
      </c>
      <c r="J104" s="107"/>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row>
    <row r="105" spans="1:66" s="1" customFormat="1" ht="18" hidden="1">
      <c r="A105" s="4" t="str">
        <f t="shared" si="40"/>
        <v>2.1</v>
      </c>
      <c r="B105" s="3" t="s">
        <v>103</v>
      </c>
      <c r="C105" s="1" t="s">
        <v>82</v>
      </c>
      <c r="D105" s="5"/>
      <c r="E105" s="6">
        <v>46034</v>
      </c>
      <c r="F105" s="7">
        <f t="shared" si="47"/>
        <v>46038</v>
      </c>
      <c r="G105" s="8">
        <v>5</v>
      </c>
      <c r="H105" s="9">
        <v>0</v>
      </c>
      <c r="I105" s="10">
        <f t="shared" si="48"/>
        <v>5</v>
      </c>
      <c r="J105" s="11"/>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row>
    <row r="106" spans="1:66" s="1" customFormat="1" ht="18" hidden="1">
      <c r="A106" s="4" t="str">
        <f t="shared" si="40"/>
        <v>2.2</v>
      </c>
      <c r="B106" s="3" t="s">
        <v>104</v>
      </c>
      <c r="C106" s="1" t="s">
        <v>105</v>
      </c>
      <c r="D106" s="5"/>
      <c r="E106" s="6">
        <v>46023</v>
      </c>
      <c r="F106" s="7">
        <f t="shared" si="47"/>
        <v>46032</v>
      </c>
      <c r="G106" s="8">
        <v>10</v>
      </c>
      <c r="H106" s="9">
        <v>0</v>
      </c>
      <c r="I106" s="10">
        <v>6</v>
      </c>
      <c r="J106" s="11"/>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row>
    <row r="107" spans="1:66" s="1" customFormat="1" ht="45" hidden="1" customHeight="1">
      <c r="A107" s="4" t="str">
        <f t="shared" si="40"/>
        <v>2.3</v>
      </c>
      <c r="B107" s="3" t="s">
        <v>106</v>
      </c>
      <c r="C107" s="1" t="s">
        <v>74</v>
      </c>
      <c r="D107" s="5"/>
      <c r="E107" s="6">
        <v>46034</v>
      </c>
      <c r="F107" s="7">
        <f t="shared" si="47"/>
        <v>46038</v>
      </c>
      <c r="G107" s="8">
        <v>5</v>
      </c>
      <c r="H107" s="9">
        <v>0</v>
      </c>
      <c r="I107" s="10">
        <v>5</v>
      </c>
      <c r="J107" s="11"/>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row>
    <row r="108" spans="1:66" s="55" customFormat="1" ht="18" hidden="1">
      <c r="A108" s="100" t="str">
        <f>IF(ISERROR(VALUE(SUBSTITUTE(prevWBS,".",""))),"1",IF(ISERROR(FIND("`",SUBSTITUTE(prevWBS,".","`",1))),TEXT(VALUE(prevWBS)+1,"#"),TEXT(VALUE(LEFT(prevWBS,FIND("`",SUBSTITUTE(prevWBS,".","`",1))-1))+1,"#")))</f>
        <v>3</v>
      </c>
      <c r="B108" s="101" t="s">
        <v>107</v>
      </c>
      <c r="D108" s="102"/>
      <c r="E108" s="103"/>
      <c r="F108" s="103" t="str">
        <f t="shared" ref="F108:F113" si="53">IF(ISBLANK(E108)," - ",IF(G108=0,E108,E108+G108-1))</f>
        <v>-</v>
      </c>
      <c r="G108" s="104"/>
      <c r="H108" s="105"/>
      <c r="I108" s="106" t="str">
        <f t="shared" ref="I108" si="54">IF(OR(F108=0,E108=0)," - ",NETWORKDAYS(E108,F108))</f>
        <v>-</v>
      </c>
      <c r="J108" s="107"/>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row>
    <row r="109" spans="1:66" s="1" customFormat="1" ht="18" hidden="1">
      <c r="A109" s="4" t="str">
        <f t="shared" si="40"/>
        <v>3.1</v>
      </c>
      <c r="B109" s="3" t="s">
        <v>108</v>
      </c>
      <c r="C109" s="1" t="s">
        <v>82</v>
      </c>
      <c r="D109" s="5"/>
      <c r="E109" s="6">
        <v>46041</v>
      </c>
      <c r="F109" s="7">
        <f t="shared" si="53"/>
        <v>46044</v>
      </c>
      <c r="G109" s="8">
        <v>4</v>
      </c>
      <c r="H109" s="9">
        <v>0</v>
      </c>
      <c r="I109" s="10">
        <v>4</v>
      </c>
      <c r="J109" s="11"/>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row>
    <row r="110" spans="1:66" s="1" customFormat="1" ht="18" hidden="1">
      <c r="A110" s="4" t="str">
        <f t="shared" si="40"/>
        <v>3.2</v>
      </c>
      <c r="B110" s="3" t="s">
        <v>109</v>
      </c>
      <c r="C110" s="1" t="s">
        <v>74</v>
      </c>
      <c r="D110" s="5"/>
      <c r="E110" s="6">
        <v>46041</v>
      </c>
      <c r="F110" s="7">
        <f t="shared" si="53"/>
        <v>46044</v>
      </c>
      <c r="G110" s="8">
        <v>4</v>
      </c>
      <c r="H110" s="9">
        <v>0</v>
      </c>
      <c r="I110" s="10">
        <v>4</v>
      </c>
      <c r="J110" s="11"/>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row>
    <row r="111" spans="1:66" s="1" customFormat="1" ht="18" hidden="1">
      <c r="A111" s="4" t="str">
        <f t="shared" si="40"/>
        <v>3.3</v>
      </c>
      <c r="B111" s="3" t="s">
        <v>110</v>
      </c>
      <c r="C111" s="1" t="s">
        <v>19</v>
      </c>
      <c r="D111" s="5"/>
      <c r="E111" s="6">
        <v>46045</v>
      </c>
      <c r="F111" s="7">
        <f t="shared" si="53"/>
        <v>46050</v>
      </c>
      <c r="G111" s="8">
        <v>6</v>
      </c>
      <c r="H111" s="9">
        <v>0</v>
      </c>
      <c r="I111" s="10">
        <v>4</v>
      </c>
      <c r="J111" s="11"/>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row>
    <row r="112" spans="1:66" s="1" customFormat="1" ht="18" hidden="1">
      <c r="A112" s="4" t="str">
        <f t="shared" si="40"/>
        <v>3.4</v>
      </c>
      <c r="B112" s="3" t="s">
        <v>111</v>
      </c>
      <c r="C112" s="1" t="s">
        <v>19</v>
      </c>
      <c r="D112" s="5"/>
      <c r="E112" s="6">
        <v>46051</v>
      </c>
      <c r="F112" s="7">
        <f t="shared" si="53"/>
        <v>46056</v>
      </c>
      <c r="G112" s="8">
        <v>6</v>
      </c>
      <c r="H112" s="9">
        <v>0</v>
      </c>
      <c r="I112" s="10">
        <v>4</v>
      </c>
      <c r="J112" s="11"/>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row>
    <row r="113" spans="1:66" s="1" customFormat="1" ht="18" hidden="1">
      <c r="A113" s="4" t="str">
        <f t="shared" si="40"/>
        <v>3.5</v>
      </c>
      <c r="B113" s="3" t="s">
        <v>112</v>
      </c>
      <c r="C113" s="1" t="s">
        <v>28</v>
      </c>
      <c r="D113" s="5"/>
      <c r="E113" s="6">
        <v>46045</v>
      </c>
      <c r="F113" s="7">
        <f t="shared" si="53"/>
        <v>46050</v>
      </c>
      <c r="G113" s="8">
        <v>6</v>
      </c>
      <c r="H113" s="9">
        <v>0</v>
      </c>
      <c r="I113" s="10">
        <v>4</v>
      </c>
      <c r="J113" s="11"/>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row>
    <row r="114" spans="1:66" s="55" customFormat="1" ht="18" hidden="1">
      <c r="A114" s="100" t="str">
        <f>IF(ISERROR(VALUE(SUBSTITUTE(prevWBS,".",""))),"1",IF(ISERROR(FIND("`",SUBSTITUTE(prevWBS,".","`",1))),TEXT(VALUE(prevWBS)+1,"#"),TEXT(VALUE(LEFT(prevWBS,FIND("`",SUBSTITUTE(prevWBS,".","`",1))-1))+1,"#")))</f>
        <v>4</v>
      </c>
      <c r="B114" s="101" t="s">
        <v>113</v>
      </c>
      <c r="D114" s="102"/>
      <c r="E114" s="103"/>
      <c r="F114" s="103" t="str">
        <f t="shared" ref="F114:F115" si="55">IF(ISBLANK(E114)," - ",IF(G114=0,E114,E114+G114-1))</f>
        <v>-</v>
      </c>
      <c r="G114" s="104"/>
      <c r="H114" s="105"/>
      <c r="I114" s="106" t="str">
        <f t="shared" ref="I114" si="56">IF(OR(F114=0,E114=0)," - ",NETWORKDAYS(E114,F114))</f>
        <v>-</v>
      </c>
      <c r="J114" s="107"/>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row>
    <row r="115" spans="1:66" s="1" customFormat="1" ht="18" hidden="1">
      <c r="A115" s="4" t="str">
        <f t="shared" si="40"/>
        <v>4.1</v>
      </c>
      <c r="B115" s="3" t="s">
        <v>114</v>
      </c>
      <c r="C115" s="1" t="s">
        <v>82</v>
      </c>
      <c r="D115" s="5"/>
      <c r="E115" s="6">
        <v>46051</v>
      </c>
      <c r="F115" s="7">
        <f t="shared" si="55"/>
        <v>46056</v>
      </c>
      <c r="G115" s="8">
        <v>6</v>
      </c>
      <c r="H115" s="9">
        <v>0</v>
      </c>
      <c r="I115" s="10">
        <v>4</v>
      </c>
      <c r="J115" s="11"/>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row>
  </sheetData>
  <sheetProtection formatCells="0" formatColumns="0" formatRows="0" insertRows="0" deleteRows="0"/>
  <autoFilter ref="A7:I60"/>
  <mergeCells count="19">
    <mergeCell ref="K1:AE1"/>
    <mergeCell ref="C4:E4"/>
    <mergeCell ref="K4:Q4"/>
    <mergeCell ref="R4:X4"/>
    <mergeCell ref="Y4:AE4"/>
    <mergeCell ref="AF4:AL4"/>
    <mergeCell ref="AM4:AS4"/>
    <mergeCell ref="AT4:AZ4"/>
    <mergeCell ref="BA4:BG4"/>
    <mergeCell ref="BH4:BN4"/>
    <mergeCell ref="AM5:AS5"/>
    <mergeCell ref="AT5:AZ5"/>
    <mergeCell ref="BA5:BG5"/>
    <mergeCell ref="BH5:BN5"/>
    <mergeCell ref="C5:E5"/>
    <mergeCell ref="K5:Q5"/>
    <mergeCell ref="R5:X5"/>
    <mergeCell ref="Y5:AE5"/>
    <mergeCell ref="AF5:AL5"/>
  </mergeCells>
  <conditionalFormatting sqref="H11">
    <cfRule type="dataBar" priority="157">
      <dataBar>
        <cfvo type="num" val="0"/>
        <cfvo type="num" val="1"/>
        <color theme="0" tint="-0.34998626667073579"/>
      </dataBar>
      <extLst>
        <ext xmlns:x14="http://schemas.microsoft.com/office/spreadsheetml/2009/9/main" uri="{B025F937-C7B1-47D3-B67F-A62EFF666E3E}">
          <x14:id>{5D411FD4-3E54-4BD1-8532-6C23EBBD552E}</x14:id>
        </ext>
      </extLst>
    </cfRule>
  </conditionalFormatting>
  <conditionalFormatting sqref="H18">
    <cfRule type="dataBar" priority="101">
      <dataBar>
        <cfvo type="num" val="0"/>
        <cfvo type="num" val="1"/>
        <color theme="0" tint="-0.34998626667073579"/>
      </dataBar>
      <extLst>
        <ext xmlns:x14="http://schemas.microsoft.com/office/spreadsheetml/2009/9/main" uri="{B025F937-C7B1-47D3-B67F-A62EFF666E3E}">
          <x14:id>{A496E16E-E84B-4E22-B781-7A016AAC9A6D}</x14:id>
        </ext>
      </extLst>
    </cfRule>
  </conditionalFormatting>
  <conditionalFormatting sqref="H19">
    <cfRule type="dataBar" priority="97">
      <dataBar>
        <cfvo type="num" val="0"/>
        <cfvo type="num" val="1"/>
        <color theme="0" tint="-0.34998626667073579"/>
      </dataBar>
      <extLst>
        <ext xmlns:x14="http://schemas.microsoft.com/office/spreadsheetml/2009/9/main" uri="{B025F937-C7B1-47D3-B67F-A62EFF666E3E}">
          <x14:id>{77833048-568D-4394-81C6-5BD49732C40B}</x14:id>
        </ext>
      </extLst>
    </cfRule>
  </conditionalFormatting>
  <conditionalFormatting sqref="H32">
    <cfRule type="dataBar" priority="92">
      <dataBar>
        <cfvo type="num" val="0"/>
        <cfvo type="num" val="1"/>
        <color theme="0" tint="-0.34998626667073579"/>
      </dataBar>
      <extLst>
        <ext xmlns:x14="http://schemas.microsoft.com/office/spreadsheetml/2009/9/main" uri="{B025F937-C7B1-47D3-B67F-A62EFF666E3E}">
          <x14:id>{64DE3F20-31B0-43D1-B0B2-3FA0FAB992EB}</x14:id>
        </ext>
      </extLst>
    </cfRule>
  </conditionalFormatting>
  <conditionalFormatting sqref="H33">
    <cfRule type="dataBar" priority="137">
      <dataBar>
        <cfvo type="num" val="0"/>
        <cfvo type="num" val="1"/>
        <color theme="0" tint="-0.34998626667073579"/>
      </dataBar>
      <extLst>
        <ext xmlns:x14="http://schemas.microsoft.com/office/spreadsheetml/2009/9/main" uri="{B025F937-C7B1-47D3-B67F-A62EFF666E3E}">
          <x14:id>{3D7DA7F9-34EF-413C-97FE-5C685264E782}</x14:id>
        </ext>
      </extLst>
    </cfRule>
  </conditionalFormatting>
  <conditionalFormatting sqref="H34">
    <cfRule type="dataBar" priority="133">
      <dataBar>
        <cfvo type="num" val="0"/>
        <cfvo type="num" val="1"/>
        <color theme="0" tint="-0.34998626667073579"/>
      </dataBar>
      <extLst>
        <ext xmlns:x14="http://schemas.microsoft.com/office/spreadsheetml/2009/9/main" uri="{B025F937-C7B1-47D3-B67F-A62EFF666E3E}">
          <x14:id>{2E4BEE17-1AD8-4EE1-ABFA-CE8DBB66F5B9}</x14:id>
        </ext>
      </extLst>
    </cfRule>
  </conditionalFormatting>
  <conditionalFormatting sqref="H35">
    <cfRule type="dataBar" priority="129">
      <dataBar>
        <cfvo type="num" val="0"/>
        <cfvo type="num" val="1"/>
        <color theme="0" tint="-0.34998626667073579"/>
      </dataBar>
      <extLst>
        <ext xmlns:x14="http://schemas.microsoft.com/office/spreadsheetml/2009/9/main" uri="{B025F937-C7B1-47D3-B67F-A62EFF666E3E}">
          <x14:id>{C34C3A4A-B2F1-4A99-BAAD-377AA832D261}</x14:id>
        </ext>
      </extLst>
    </cfRule>
  </conditionalFormatting>
  <conditionalFormatting sqref="H36">
    <cfRule type="dataBar" priority="125">
      <dataBar>
        <cfvo type="num" val="0"/>
        <cfvo type="num" val="1"/>
        <color theme="0" tint="-0.34998626667073579"/>
      </dataBar>
      <extLst>
        <ext xmlns:x14="http://schemas.microsoft.com/office/spreadsheetml/2009/9/main" uri="{B025F937-C7B1-47D3-B67F-A62EFF666E3E}">
          <x14:id>{E5CC2AB0-9781-47A5-83E2-8BB2D8186002}</x14:id>
        </ext>
      </extLst>
    </cfRule>
  </conditionalFormatting>
  <conditionalFormatting sqref="H37">
    <cfRule type="dataBar" priority="121">
      <dataBar>
        <cfvo type="num" val="0"/>
        <cfvo type="num" val="1"/>
        <color theme="0" tint="-0.34998626667073579"/>
      </dataBar>
      <extLst>
        <ext xmlns:x14="http://schemas.microsoft.com/office/spreadsheetml/2009/9/main" uri="{B025F937-C7B1-47D3-B67F-A62EFF666E3E}">
          <x14:id>{CE678E65-4430-4631-8C47-0FF523236192}</x14:id>
        </ext>
      </extLst>
    </cfRule>
  </conditionalFormatting>
  <conditionalFormatting sqref="H38">
    <cfRule type="dataBar" priority="113">
      <dataBar>
        <cfvo type="num" val="0"/>
        <cfvo type="num" val="1"/>
        <color theme="0" tint="-0.34998626667073579"/>
      </dataBar>
      <extLst>
        <ext xmlns:x14="http://schemas.microsoft.com/office/spreadsheetml/2009/9/main" uri="{B025F937-C7B1-47D3-B67F-A62EFF666E3E}">
          <x14:id>{51568B3E-4D28-4E71-862F-E0478DB892D9}</x14:id>
        </ext>
      </extLst>
    </cfRule>
  </conditionalFormatting>
  <conditionalFormatting sqref="H39">
    <cfRule type="dataBar" priority="109">
      <dataBar>
        <cfvo type="num" val="0"/>
        <cfvo type="num" val="1"/>
        <color theme="0" tint="-0.34998626667073579"/>
      </dataBar>
      <extLst>
        <ext xmlns:x14="http://schemas.microsoft.com/office/spreadsheetml/2009/9/main" uri="{B025F937-C7B1-47D3-B67F-A62EFF666E3E}">
          <x14:id>{4C8AB46A-D580-445F-8550-BA3B7D59E2CC}</x14:id>
        </ext>
      </extLst>
    </cfRule>
  </conditionalFormatting>
  <conditionalFormatting sqref="H45">
    <cfRule type="dataBar" priority="4">
      <dataBar>
        <cfvo type="num" val="0"/>
        <cfvo type="num" val="1"/>
        <color theme="0" tint="-0.34998626667073579"/>
      </dataBar>
      <extLst>
        <ext xmlns:x14="http://schemas.microsoft.com/office/spreadsheetml/2009/9/main" uri="{B025F937-C7B1-47D3-B67F-A62EFF666E3E}">
          <x14:id>{D04EE583-134D-478E-8AB2-5C89C9F8DA03}</x14:id>
        </ext>
      </extLst>
    </cfRule>
  </conditionalFormatting>
  <conditionalFormatting sqref="K45:BN45">
    <cfRule type="expression" dxfId="10" priority="1">
      <formula>K$6=TODAY()</formula>
    </cfRule>
  </conditionalFormatting>
  <conditionalFormatting sqref="H90">
    <cfRule type="dataBar" priority="197">
      <dataBar>
        <cfvo type="num" val="0"/>
        <cfvo type="num" val="1"/>
        <color theme="0" tint="-0.34998626667073579"/>
      </dataBar>
      <extLst>
        <ext xmlns:x14="http://schemas.microsoft.com/office/spreadsheetml/2009/9/main" uri="{B025F937-C7B1-47D3-B67F-A62EFF666E3E}">
          <x14:id>{3E29C452-C19C-45AA-819A-55686B848AA2}</x14:id>
        </ext>
      </extLst>
    </cfRule>
  </conditionalFormatting>
  <conditionalFormatting sqref="H91">
    <cfRule type="dataBar" priority="193">
      <dataBar>
        <cfvo type="num" val="0"/>
        <cfvo type="num" val="1"/>
        <color theme="0" tint="-0.34998626667073579"/>
      </dataBar>
      <extLst>
        <ext xmlns:x14="http://schemas.microsoft.com/office/spreadsheetml/2009/9/main" uri="{B025F937-C7B1-47D3-B67F-A62EFF666E3E}">
          <x14:id>{61761229-4066-4A43-ABBE-C3C05D55411E}</x14:id>
        </ext>
      </extLst>
    </cfRule>
  </conditionalFormatting>
  <conditionalFormatting sqref="H99">
    <cfRule type="dataBar" priority="189">
      <dataBar>
        <cfvo type="num" val="0"/>
        <cfvo type="num" val="1"/>
        <color theme="0" tint="-0.34998626667073579"/>
      </dataBar>
      <extLst>
        <ext xmlns:x14="http://schemas.microsoft.com/office/spreadsheetml/2009/9/main" uri="{B025F937-C7B1-47D3-B67F-A62EFF666E3E}">
          <x14:id>{4BD8555B-F8EF-4DEF-A90C-742D657B31B8}</x14:id>
        </ext>
      </extLst>
    </cfRule>
  </conditionalFormatting>
  <conditionalFormatting sqref="H100">
    <cfRule type="dataBar" priority="181">
      <dataBar>
        <cfvo type="num" val="0"/>
        <cfvo type="num" val="1"/>
        <color theme="0" tint="-0.34998626667073579"/>
      </dataBar>
      <extLst>
        <ext xmlns:x14="http://schemas.microsoft.com/office/spreadsheetml/2009/9/main" uri="{B025F937-C7B1-47D3-B67F-A62EFF666E3E}">
          <x14:id>{94D7114F-D901-499B-853B-A9D3F8D72229}</x14:id>
        </ext>
      </extLst>
    </cfRule>
  </conditionalFormatting>
  <conditionalFormatting sqref="H101">
    <cfRule type="dataBar" priority="177">
      <dataBar>
        <cfvo type="num" val="0"/>
        <cfvo type="num" val="1"/>
        <color theme="0" tint="-0.34998626667073579"/>
      </dataBar>
      <extLst>
        <ext xmlns:x14="http://schemas.microsoft.com/office/spreadsheetml/2009/9/main" uri="{B025F937-C7B1-47D3-B67F-A62EFF666E3E}">
          <x14:id>{28FE73B8-970E-4B74-B1CC-3AA74DA97C53}</x14:id>
        </ext>
      </extLst>
    </cfRule>
  </conditionalFormatting>
  <conditionalFormatting sqref="H102">
    <cfRule type="dataBar" priority="169">
      <dataBar>
        <cfvo type="num" val="0"/>
        <cfvo type="num" val="1"/>
        <color theme="0" tint="-0.34998626667073579"/>
      </dataBar>
      <extLst>
        <ext xmlns:x14="http://schemas.microsoft.com/office/spreadsheetml/2009/9/main" uri="{B025F937-C7B1-47D3-B67F-A62EFF666E3E}">
          <x14:id>{D563C6E6-3F8A-427E-9281-DCCE7BA88388}</x14:id>
        </ext>
      </extLst>
    </cfRule>
  </conditionalFormatting>
  <conditionalFormatting sqref="H103">
    <cfRule type="dataBar" priority="165">
      <dataBar>
        <cfvo type="num" val="0"/>
        <cfvo type="num" val="1"/>
        <color theme="0" tint="-0.34998626667073579"/>
      </dataBar>
      <extLst>
        <ext xmlns:x14="http://schemas.microsoft.com/office/spreadsheetml/2009/9/main" uri="{B025F937-C7B1-47D3-B67F-A62EFF666E3E}">
          <x14:id>{A26BCB48-3981-4275-86C9-8F9CCB05A23E}</x14:id>
        </ext>
      </extLst>
    </cfRule>
  </conditionalFormatting>
  <conditionalFormatting sqref="H104">
    <cfRule type="dataBar" priority="237">
      <dataBar>
        <cfvo type="num" val="0"/>
        <cfvo type="num" val="1"/>
        <color theme="0" tint="-0.34998626667073579"/>
      </dataBar>
      <extLst>
        <ext xmlns:x14="http://schemas.microsoft.com/office/spreadsheetml/2009/9/main" uri="{B025F937-C7B1-47D3-B67F-A62EFF666E3E}">
          <x14:id>{86DF5821-015A-4484-9B4F-444D478234BB}</x14:id>
        </ext>
      </extLst>
    </cfRule>
  </conditionalFormatting>
  <conditionalFormatting sqref="H108">
    <cfRule type="dataBar" priority="225">
      <dataBar>
        <cfvo type="num" val="0"/>
        <cfvo type="num" val="1"/>
        <color theme="0" tint="-0.34998626667073579"/>
      </dataBar>
      <extLst>
        <ext xmlns:x14="http://schemas.microsoft.com/office/spreadsheetml/2009/9/main" uri="{B025F937-C7B1-47D3-B67F-A62EFF666E3E}">
          <x14:id>{B3794FFA-68F2-4E38-B13B-C3A74F4F71CF}</x14:id>
        </ext>
      </extLst>
    </cfRule>
  </conditionalFormatting>
  <conditionalFormatting sqref="H114">
    <cfRule type="dataBar" priority="205">
      <dataBar>
        <cfvo type="num" val="0"/>
        <cfvo type="num" val="1"/>
        <color theme="0" tint="-0.34998626667073579"/>
      </dataBar>
      <extLst>
        <ext xmlns:x14="http://schemas.microsoft.com/office/spreadsheetml/2009/9/main" uri="{B025F937-C7B1-47D3-B67F-A62EFF666E3E}">
          <x14:id>{5F5C5C2F-C25C-4ED4-BA16-EDD220E27648}</x14:id>
        </ext>
      </extLst>
    </cfRule>
  </conditionalFormatting>
  <conditionalFormatting sqref="H115">
    <cfRule type="dataBar" priority="201">
      <dataBar>
        <cfvo type="num" val="0"/>
        <cfvo type="num" val="1"/>
        <color theme="0" tint="-0.34998626667073579"/>
      </dataBar>
      <extLst>
        <ext xmlns:x14="http://schemas.microsoft.com/office/spreadsheetml/2009/9/main" uri="{B025F937-C7B1-47D3-B67F-A62EFF666E3E}">
          <x14:id>{6523BA1B-CFC8-405A-93E8-D131011E3F73}</x14:id>
        </ext>
      </extLst>
    </cfRule>
  </conditionalFormatting>
  <conditionalFormatting sqref="H12:H15">
    <cfRule type="dataBar" priority="153">
      <dataBar>
        <cfvo type="num" val="0"/>
        <cfvo type="num" val="1"/>
        <color theme="0" tint="-0.34998626667073579"/>
      </dataBar>
      <extLst>
        <ext xmlns:x14="http://schemas.microsoft.com/office/spreadsheetml/2009/9/main" uri="{B025F937-C7B1-47D3-B67F-A62EFF666E3E}">
          <x14:id>{2BE7505A-DD50-49F2-A8B9-38EDD684022B}</x14:id>
        </ext>
      </extLst>
    </cfRule>
  </conditionalFormatting>
  <conditionalFormatting sqref="H16:H17">
    <cfRule type="dataBar" priority="149">
      <dataBar>
        <cfvo type="num" val="0"/>
        <cfvo type="num" val="1"/>
        <color theme="0" tint="-0.34998626667073579"/>
      </dataBar>
      <extLst>
        <ext xmlns:x14="http://schemas.microsoft.com/office/spreadsheetml/2009/9/main" uri="{B025F937-C7B1-47D3-B67F-A62EFF666E3E}">
          <x14:id>{540E5C62-18E7-47A5-8A80-93B435CFD9E0}</x14:id>
        </ext>
      </extLst>
    </cfRule>
  </conditionalFormatting>
  <conditionalFormatting sqref="H82:H86">
    <cfRule type="dataBar" priority="257">
      <dataBar>
        <cfvo type="num" val="0"/>
        <cfvo type="num" val="1"/>
        <color theme="0" tint="-0.34998626667073579"/>
      </dataBar>
      <extLst>
        <ext xmlns:x14="http://schemas.microsoft.com/office/spreadsheetml/2009/9/main" uri="{B025F937-C7B1-47D3-B67F-A62EFF666E3E}">
          <x14:id>{E87DE01A-8F41-4462-AF3B-619E8D6B67E5}</x14:id>
        </ext>
      </extLst>
    </cfRule>
  </conditionalFormatting>
  <conditionalFormatting sqref="H87:H89">
    <cfRule type="dataBar" priority="253">
      <dataBar>
        <cfvo type="num" val="0"/>
        <cfvo type="num" val="1"/>
        <color theme="0" tint="-0.34998626667073579"/>
      </dataBar>
      <extLst>
        <ext xmlns:x14="http://schemas.microsoft.com/office/spreadsheetml/2009/9/main" uri="{B025F937-C7B1-47D3-B67F-A62EFF666E3E}">
          <x14:id>{C078E29B-B0EA-4B50-B7F5-6A0A5CBDF788}</x14:id>
        </ext>
      </extLst>
    </cfRule>
  </conditionalFormatting>
  <conditionalFormatting sqref="H92:H96">
    <cfRule type="dataBar" priority="249">
      <dataBar>
        <cfvo type="num" val="0"/>
        <cfvo type="num" val="1"/>
        <color theme="0" tint="-0.34998626667073579"/>
      </dataBar>
      <extLst>
        <ext xmlns:x14="http://schemas.microsoft.com/office/spreadsheetml/2009/9/main" uri="{B025F937-C7B1-47D3-B67F-A62EFF666E3E}">
          <x14:id>{EC64BEEE-3E2C-4ED8-8C0A-82E233A8B6F3}</x14:id>
        </ext>
      </extLst>
    </cfRule>
  </conditionalFormatting>
  <conditionalFormatting sqref="H97:H98">
    <cfRule type="dataBar" priority="245">
      <dataBar>
        <cfvo type="num" val="0"/>
        <cfvo type="num" val="1"/>
        <color theme="0" tint="-0.34998626667073579"/>
      </dataBar>
      <extLst>
        <ext xmlns:x14="http://schemas.microsoft.com/office/spreadsheetml/2009/9/main" uri="{B025F937-C7B1-47D3-B67F-A62EFF666E3E}">
          <x14:id>{11425AF0-9CFC-42B8-84A7-DFBE45C809E7}</x14:id>
        </ext>
      </extLst>
    </cfRule>
  </conditionalFormatting>
  <conditionalFormatting sqref="H105:H107">
    <cfRule type="dataBar" priority="233">
      <dataBar>
        <cfvo type="num" val="0"/>
        <cfvo type="num" val="1"/>
        <color theme="0" tint="-0.34998626667073579"/>
      </dataBar>
      <extLst>
        <ext xmlns:x14="http://schemas.microsoft.com/office/spreadsheetml/2009/9/main" uri="{B025F937-C7B1-47D3-B67F-A62EFF666E3E}">
          <x14:id>{52AF7A61-F799-44F9-A1AE-629F62F1E696}</x14:id>
        </ext>
      </extLst>
    </cfRule>
  </conditionalFormatting>
  <conditionalFormatting sqref="H109:H113">
    <cfRule type="dataBar" priority="217">
      <dataBar>
        <cfvo type="num" val="0"/>
        <cfvo type="num" val="1"/>
        <color theme="0" tint="-0.34998626667073579"/>
      </dataBar>
      <extLst>
        <ext xmlns:x14="http://schemas.microsoft.com/office/spreadsheetml/2009/9/main" uri="{B025F937-C7B1-47D3-B67F-A62EFF666E3E}">
          <x14:id>{01264BB0-CDEA-485A-80E2-0525F0F2C226}</x14:id>
        </ext>
      </extLst>
    </cfRule>
  </conditionalFormatting>
  <conditionalFormatting sqref="K6:BN7">
    <cfRule type="expression" dxfId="9" priority="313">
      <formula>K$6=TODAY()</formula>
    </cfRule>
  </conditionalFormatting>
  <conditionalFormatting sqref="K6:BN44 K46:BN60">
    <cfRule type="expression" dxfId="8" priority="5">
      <formula>K$6=TODAY()</formula>
    </cfRule>
  </conditionalFormatting>
  <conditionalFormatting sqref="H8:H10 H76:H81 H20:H31">
    <cfRule type="dataBar" priority="270">
      <dataBar>
        <cfvo type="num" val="0"/>
        <cfvo type="num" val="1"/>
        <color theme="0" tint="-0.34998626667073579"/>
      </dataBar>
      <extLst>
        <ext xmlns:x14="http://schemas.microsoft.com/office/spreadsheetml/2009/9/main" uri="{B025F937-C7B1-47D3-B67F-A62EFF666E3E}">
          <x14:id>{5629A077-AC46-4B24-A4FE-AA98EF2453D7}</x14:id>
        </ext>
      </extLst>
    </cfRule>
  </conditionalFormatting>
  <conditionalFormatting sqref="K8:BN60">
    <cfRule type="expression" dxfId="7" priority="6">
      <formula>AND($E8&lt;=K$6,ROUNDDOWN(($F8-$E8+1)*$H8,0)+$E8-1&gt;=K$6)</formula>
    </cfRule>
    <cfRule type="expression" dxfId="6" priority="7">
      <formula>AND(NOT(ISBLANK($E8)),$E8&lt;=K$6,$F8&gt;=K$6)</formula>
    </cfRule>
  </conditionalFormatting>
  <conditionalFormatting sqref="H62:H75 H40:H44 H46:H60">
    <cfRule type="dataBar" priority="105">
      <dataBar>
        <cfvo type="num" val="0"/>
        <cfvo type="num" val="1"/>
        <color theme="0" tint="-0.34998626667073579"/>
      </dataBar>
      <extLst>
        <ext xmlns:x14="http://schemas.microsoft.com/office/spreadsheetml/2009/9/main" uri="{B025F937-C7B1-47D3-B67F-A62EFF666E3E}">
          <x14:id>{03F1B327-66B8-4A98-9EE4-A8FFA1EE7D03}</x14:id>
        </ext>
      </extLst>
    </cfRule>
  </conditionalFormatting>
  <conditionalFormatting sqref="K62:BN115">
    <cfRule type="expression" dxfId="5" priority="98">
      <formula>K$6=TODAY()</formula>
    </cfRule>
    <cfRule type="expression" dxfId="4" priority="99">
      <formula>AND($E62&lt;=K$6,ROUNDDOWN(($F62-$E62+1)*$H62,0)+$E62-1&gt;=K$6)</formula>
    </cfRule>
    <cfRule type="expression" dxfId="3" priority="100">
      <formula>AND(NOT(ISBLANK($E62)),$E62&lt;=K$6,$F62&gt;=K$6)</formula>
    </cfRule>
  </conditionalFormatting>
  <dataValidations count="1">
    <dataValidation allowBlank="1" showInputMessage="1" promptTitle="Display Week" prompt="Enter the week number to display first in the Gantt Chart. The weeks are numbered starting from the week containing the Project Start Date." sqref="H4"/>
  </dataValidations>
  <pageMargins left="0.25" right="0.25" top="0.5" bottom="0.5" header="0.5" footer="0.25"/>
  <pageSetup scale="53" orientation="landscape"/>
  <headerFooter alignWithMargins="0"/>
  <ignoredErrors>
    <ignoredError sqref="A76" formula="1"/>
    <ignoredError sqref="H78:H80 G76:H76 E76" unlockedFormula="1"/>
  </ignoredErrors>
  <drawing r:id="rId1"/>
  <legacyDrawing r:id="rId2"/>
  <mc:AlternateContent xmlns:mc="http://schemas.openxmlformats.org/markup-compatibility/2006">
    <mc:Choice Requires="x14">
      <controls>
        <mc:AlternateContent xmlns:mc="http://schemas.openxmlformats.org/markup-compatibility/2006">
          <mc:Choice Requires="x14">
            <control shapeId="8238" r:id="rId3" name="Scroll Bar 46">
              <controlPr defaultSize="0" print="0" autoPict="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5D411FD4-3E54-4BD1-8532-6C23EBBD552E}">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A496E16E-E84B-4E22-B781-7A016AAC9A6D}">
            <x14:dataBar minLength="0" maxLength="100" gradient="0">
              <x14:cfvo type="num">
                <xm:f>0</xm:f>
              </x14:cfvo>
              <x14:cfvo type="num">
                <xm:f>1</xm:f>
              </x14:cfvo>
              <x14:negativeFillColor rgb="FFFF0000"/>
              <x14:axisColor rgb="FF000000"/>
            </x14:dataBar>
          </x14:cfRule>
          <xm:sqref>H18</xm:sqref>
        </x14:conditionalFormatting>
        <x14:conditionalFormatting xmlns:xm="http://schemas.microsoft.com/office/excel/2006/main">
          <x14:cfRule type="dataBar" id="{77833048-568D-4394-81C6-5BD49732C40B}">
            <x14:dataBar minLength="0" maxLength="100" gradient="0">
              <x14:cfvo type="num">
                <xm:f>0</xm:f>
              </x14:cfvo>
              <x14:cfvo type="num">
                <xm:f>1</xm:f>
              </x14:cfvo>
              <x14:negativeFillColor rgb="FFFF0000"/>
              <x14:axisColor rgb="FF000000"/>
            </x14:dataBar>
          </x14:cfRule>
          <xm:sqref>H19</xm:sqref>
        </x14:conditionalFormatting>
        <x14:conditionalFormatting xmlns:xm="http://schemas.microsoft.com/office/excel/2006/main">
          <x14:cfRule type="dataBar" id="{64DE3F20-31B0-43D1-B0B2-3FA0FAB992EB}">
            <x14:dataBar minLength="0" maxLength="100" gradient="0">
              <x14:cfvo type="num">
                <xm:f>0</xm:f>
              </x14:cfvo>
              <x14:cfvo type="num">
                <xm:f>1</xm:f>
              </x14:cfvo>
              <x14:negativeFillColor rgb="FFFF0000"/>
              <x14:axisColor rgb="FF000000"/>
            </x14:dataBar>
          </x14:cfRule>
          <xm:sqref>H32</xm:sqref>
        </x14:conditionalFormatting>
        <x14:conditionalFormatting xmlns:xm="http://schemas.microsoft.com/office/excel/2006/main">
          <x14:cfRule type="dataBar" id="{3D7DA7F9-34EF-413C-97FE-5C685264E782}">
            <x14:dataBar minLength="0" maxLength="100" gradient="0">
              <x14:cfvo type="num">
                <xm:f>0</xm:f>
              </x14:cfvo>
              <x14:cfvo type="num">
                <xm:f>1</xm:f>
              </x14:cfvo>
              <x14:negativeFillColor rgb="FFFF0000"/>
              <x14:axisColor rgb="FF000000"/>
            </x14:dataBar>
          </x14:cfRule>
          <xm:sqref>H33</xm:sqref>
        </x14:conditionalFormatting>
        <x14:conditionalFormatting xmlns:xm="http://schemas.microsoft.com/office/excel/2006/main">
          <x14:cfRule type="dataBar" id="{2E4BEE17-1AD8-4EE1-ABFA-CE8DBB66F5B9}">
            <x14:dataBar minLength="0" maxLength="100" gradient="0">
              <x14:cfvo type="num">
                <xm:f>0</xm:f>
              </x14:cfvo>
              <x14:cfvo type="num">
                <xm:f>1</xm:f>
              </x14:cfvo>
              <x14:negativeFillColor rgb="FFFF0000"/>
              <x14:axisColor rgb="FF000000"/>
            </x14:dataBar>
          </x14:cfRule>
          <xm:sqref>H34</xm:sqref>
        </x14:conditionalFormatting>
        <x14:conditionalFormatting xmlns:xm="http://schemas.microsoft.com/office/excel/2006/main">
          <x14:cfRule type="dataBar" id="{C34C3A4A-B2F1-4A99-BAAD-377AA832D261}">
            <x14:dataBar minLength="0" maxLength="100" gradient="0">
              <x14:cfvo type="num">
                <xm:f>0</xm:f>
              </x14:cfvo>
              <x14:cfvo type="num">
                <xm:f>1</xm:f>
              </x14:cfvo>
              <x14:negativeFillColor rgb="FFFF0000"/>
              <x14:axisColor rgb="FF000000"/>
            </x14:dataBar>
          </x14:cfRule>
          <xm:sqref>H35</xm:sqref>
        </x14:conditionalFormatting>
        <x14:conditionalFormatting xmlns:xm="http://schemas.microsoft.com/office/excel/2006/main">
          <x14:cfRule type="dataBar" id="{E5CC2AB0-9781-47A5-83E2-8BB2D8186002}">
            <x14:dataBar minLength="0" maxLength="100" gradient="0">
              <x14:cfvo type="num">
                <xm:f>0</xm:f>
              </x14:cfvo>
              <x14:cfvo type="num">
                <xm:f>1</xm:f>
              </x14:cfvo>
              <x14:negativeFillColor rgb="FFFF0000"/>
              <x14:axisColor rgb="FF000000"/>
            </x14:dataBar>
          </x14:cfRule>
          <xm:sqref>H36</xm:sqref>
        </x14:conditionalFormatting>
        <x14:conditionalFormatting xmlns:xm="http://schemas.microsoft.com/office/excel/2006/main">
          <x14:cfRule type="dataBar" id="{CE678E65-4430-4631-8C47-0FF523236192}">
            <x14:dataBar minLength="0" maxLength="100" gradient="0">
              <x14:cfvo type="num">
                <xm:f>0</xm:f>
              </x14:cfvo>
              <x14:cfvo type="num">
                <xm:f>1</xm:f>
              </x14:cfvo>
              <x14:negativeFillColor rgb="FFFF0000"/>
              <x14:axisColor rgb="FF000000"/>
            </x14:dataBar>
          </x14:cfRule>
          <xm:sqref>H37</xm:sqref>
        </x14:conditionalFormatting>
        <x14:conditionalFormatting xmlns:xm="http://schemas.microsoft.com/office/excel/2006/main">
          <x14:cfRule type="dataBar" id="{51568B3E-4D28-4E71-862F-E0478DB892D9}">
            <x14:dataBar minLength="0" maxLength="100" gradient="0">
              <x14:cfvo type="num">
                <xm:f>0</xm:f>
              </x14:cfvo>
              <x14:cfvo type="num">
                <xm:f>1</xm:f>
              </x14:cfvo>
              <x14:negativeFillColor rgb="FFFF0000"/>
              <x14:axisColor rgb="FF000000"/>
            </x14:dataBar>
          </x14:cfRule>
          <xm:sqref>H38</xm:sqref>
        </x14:conditionalFormatting>
        <x14:conditionalFormatting xmlns:xm="http://schemas.microsoft.com/office/excel/2006/main">
          <x14:cfRule type="dataBar" id="{4C8AB46A-D580-445F-8550-BA3B7D59E2CC}">
            <x14:dataBar minLength="0" maxLength="100" gradient="0">
              <x14:cfvo type="num">
                <xm:f>0</xm:f>
              </x14:cfvo>
              <x14:cfvo type="num">
                <xm:f>1</xm:f>
              </x14:cfvo>
              <x14:negativeFillColor rgb="FFFF0000"/>
              <x14:axisColor rgb="FF000000"/>
            </x14:dataBar>
          </x14:cfRule>
          <xm:sqref>H39</xm:sqref>
        </x14:conditionalFormatting>
        <x14:conditionalFormatting xmlns:xm="http://schemas.microsoft.com/office/excel/2006/main">
          <x14:cfRule type="dataBar" id="{D04EE583-134D-478E-8AB2-5C89C9F8DA03}">
            <x14:dataBar minLength="0" maxLength="100" gradient="0">
              <x14:cfvo type="num">
                <xm:f>0</xm:f>
              </x14:cfvo>
              <x14:cfvo type="num">
                <xm:f>1</xm:f>
              </x14:cfvo>
              <x14:negativeFillColor rgb="FFFF0000"/>
              <x14:axisColor rgb="FF000000"/>
            </x14:dataBar>
          </x14:cfRule>
          <xm:sqref>H45</xm:sqref>
        </x14:conditionalFormatting>
        <x14:conditionalFormatting xmlns:xm="http://schemas.microsoft.com/office/excel/2006/main">
          <x14:cfRule type="dataBar" id="{3E29C452-C19C-45AA-819A-55686B848AA2}">
            <x14:dataBar minLength="0" maxLength="100" gradient="0">
              <x14:cfvo type="num">
                <xm:f>0</xm:f>
              </x14:cfvo>
              <x14:cfvo type="num">
                <xm:f>1</xm:f>
              </x14:cfvo>
              <x14:negativeFillColor rgb="FFFF0000"/>
              <x14:axisColor rgb="FF000000"/>
            </x14:dataBar>
          </x14:cfRule>
          <xm:sqref>H90</xm:sqref>
        </x14:conditionalFormatting>
        <x14:conditionalFormatting xmlns:xm="http://schemas.microsoft.com/office/excel/2006/main">
          <x14:cfRule type="dataBar" id="{61761229-4066-4A43-ABBE-C3C05D55411E}">
            <x14:dataBar minLength="0" maxLength="100" gradient="0">
              <x14:cfvo type="num">
                <xm:f>0</xm:f>
              </x14:cfvo>
              <x14:cfvo type="num">
                <xm:f>1</xm:f>
              </x14:cfvo>
              <x14:negativeFillColor rgb="FFFF0000"/>
              <x14:axisColor rgb="FF000000"/>
            </x14:dataBar>
          </x14:cfRule>
          <xm:sqref>H91</xm:sqref>
        </x14:conditionalFormatting>
        <x14:conditionalFormatting xmlns:xm="http://schemas.microsoft.com/office/excel/2006/main">
          <x14:cfRule type="dataBar" id="{4BD8555B-F8EF-4DEF-A90C-742D657B31B8}">
            <x14:dataBar minLength="0" maxLength="100" gradient="0">
              <x14:cfvo type="num">
                <xm:f>0</xm:f>
              </x14:cfvo>
              <x14:cfvo type="num">
                <xm:f>1</xm:f>
              </x14:cfvo>
              <x14:negativeFillColor rgb="FFFF0000"/>
              <x14:axisColor rgb="FF000000"/>
            </x14:dataBar>
          </x14:cfRule>
          <xm:sqref>H99</xm:sqref>
        </x14:conditionalFormatting>
        <x14:conditionalFormatting xmlns:xm="http://schemas.microsoft.com/office/excel/2006/main">
          <x14:cfRule type="dataBar" id="{94D7114F-D901-499B-853B-A9D3F8D72229}">
            <x14:dataBar minLength="0" maxLength="100" gradient="0">
              <x14:cfvo type="num">
                <xm:f>0</xm:f>
              </x14:cfvo>
              <x14:cfvo type="num">
                <xm:f>1</xm:f>
              </x14:cfvo>
              <x14:negativeFillColor rgb="FFFF0000"/>
              <x14:axisColor rgb="FF000000"/>
            </x14:dataBar>
          </x14:cfRule>
          <xm:sqref>H100</xm:sqref>
        </x14:conditionalFormatting>
        <x14:conditionalFormatting xmlns:xm="http://schemas.microsoft.com/office/excel/2006/main">
          <x14:cfRule type="dataBar" id="{28FE73B8-970E-4B74-B1CC-3AA74DA97C53}">
            <x14:dataBar minLength="0" maxLength="100" gradient="0">
              <x14:cfvo type="num">
                <xm:f>0</xm:f>
              </x14:cfvo>
              <x14:cfvo type="num">
                <xm:f>1</xm:f>
              </x14:cfvo>
              <x14:negativeFillColor rgb="FFFF0000"/>
              <x14:axisColor rgb="FF000000"/>
            </x14:dataBar>
          </x14:cfRule>
          <xm:sqref>H101</xm:sqref>
        </x14:conditionalFormatting>
        <x14:conditionalFormatting xmlns:xm="http://schemas.microsoft.com/office/excel/2006/main">
          <x14:cfRule type="dataBar" id="{D563C6E6-3F8A-427E-9281-DCCE7BA88388}">
            <x14:dataBar minLength="0" maxLength="100" gradient="0">
              <x14:cfvo type="num">
                <xm:f>0</xm:f>
              </x14:cfvo>
              <x14:cfvo type="num">
                <xm:f>1</xm:f>
              </x14:cfvo>
              <x14:negativeFillColor rgb="FFFF0000"/>
              <x14:axisColor rgb="FF000000"/>
            </x14:dataBar>
          </x14:cfRule>
          <xm:sqref>H102</xm:sqref>
        </x14:conditionalFormatting>
        <x14:conditionalFormatting xmlns:xm="http://schemas.microsoft.com/office/excel/2006/main">
          <x14:cfRule type="dataBar" id="{A26BCB48-3981-4275-86C9-8F9CCB05A23E}">
            <x14:dataBar minLength="0" maxLength="100" gradient="0">
              <x14:cfvo type="num">
                <xm:f>0</xm:f>
              </x14:cfvo>
              <x14:cfvo type="num">
                <xm:f>1</xm:f>
              </x14:cfvo>
              <x14:negativeFillColor rgb="FFFF0000"/>
              <x14:axisColor rgb="FF000000"/>
            </x14:dataBar>
          </x14:cfRule>
          <xm:sqref>H103</xm:sqref>
        </x14:conditionalFormatting>
        <x14:conditionalFormatting xmlns:xm="http://schemas.microsoft.com/office/excel/2006/main">
          <x14:cfRule type="dataBar" id="{86DF5821-015A-4484-9B4F-444D478234BB}">
            <x14:dataBar minLength="0" maxLength="100" gradient="0">
              <x14:cfvo type="num">
                <xm:f>0</xm:f>
              </x14:cfvo>
              <x14:cfvo type="num">
                <xm:f>1</xm:f>
              </x14:cfvo>
              <x14:negativeFillColor rgb="FFFF0000"/>
              <x14:axisColor rgb="FF000000"/>
            </x14:dataBar>
          </x14:cfRule>
          <xm:sqref>H104</xm:sqref>
        </x14:conditionalFormatting>
        <x14:conditionalFormatting xmlns:xm="http://schemas.microsoft.com/office/excel/2006/main">
          <x14:cfRule type="dataBar" id="{B3794FFA-68F2-4E38-B13B-C3A74F4F71CF}">
            <x14:dataBar minLength="0" maxLength="100" gradient="0">
              <x14:cfvo type="num">
                <xm:f>0</xm:f>
              </x14:cfvo>
              <x14:cfvo type="num">
                <xm:f>1</xm:f>
              </x14:cfvo>
              <x14:negativeFillColor rgb="FFFF0000"/>
              <x14:axisColor rgb="FF000000"/>
            </x14:dataBar>
          </x14:cfRule>
          <xm:sqref>H108</xm:sqref>
        </x14:conditionalFormatting>
        <x14:conditionalFormatting xmlns:xm="http://schemas.microsoft.com/office/excel/2006/main">
          <x14:cfRule type="dataBar" id="{5F5C5C2F-C25C-4ED4-BA16-EDD220E27648}">
            <x14:dataBar minLength="0" maxLength="100" gradient="0">
              <x14:cfvo type="num">
                <xm:f>0</xm:f>
              </x14:cfvo>
              <x14:cfvo type="num">
                <xm:f>1</xm:f>
              </x14:cfvo>
              <x14:negativeFillColor rgb="FFFF0000"/>
              <x14:axisColor rgb="FF000000"/>
            </x14:dataBar>
          </x14:cfRule>
          <xm:sqref>H114</xm:sqref>
        </x14:conditionalFormatting>
        <x14:conditionalFormatting xmlns:xm="http://schemas.microsoft.com/office/excel/2006/main">
          <x14:cfRule type="dataBar" id="{6523BA1B-CFC8-405A-93E8-D131011E3F73}">
            <x14:dataBar minLength="0" maxLength="100" gradient="0">
              <x14:cfvo type="num">
                <xm:f>0</xm:f>
              </x14:cfvo>
              <x14:cfvo type="num">
                <xm:f>1</xm:f>
              </x14:cfvo>
              <x14:negativeFillColor rgb="FFFF0000"/>
              <x14:axisColor rgb="FF000000"/>
            </x14:dataBar>
          </x14:cfRule>
          <xm:sqref>H115</xm:sqref>
        </x14:conditionalFormatting>
        <x14:conditionalFormatting xmlns:xm="http://schemas.microsoft.com/office/excel/2006/main">
          <x14:cfRule type="dataBar" id="{2BE7505A-DD50-49F2-A8B9-38EDD684022B}">
            <x14:dataBar minLength="0" maxLength="100" gradient="0">
              <x14:cfvo type="num">
                <xm:f>0</xm:f>
              </x14:cfvo>
              <x14:cfvo type="num">
                <xm:f>1</xm:f>
              </x14:cfvo>
              <x14:negativeFillColor rgb="FFFF0000"/>
              <x14:axisColor rgb="FF000000"/>
            </x14:dataBar>
          </x14:cfRule>
          <xm:sqref>H12:H15</xm:sqref>
        </x14:conditionalFormatting>
        <x14:conditionalFormatting xmlns:xm="http://schemas.microsoft.com/office/excel/2006/main">
          <x14:cfRule type="dataBar" id="{540E5C62-18E7-47A5-8A80-93B435CFD9E0}">
            <x14:dataBar minLength="0" maxLength="100" gradient="0">
              <x14:cfvo type="num">
                <xm:f>0</xm:f>
              </x14:cfvo>
              <x14:cfvo type="num">
                <xm:f>1</xm:f>
              </x14:cfvo>
              <x14:negativeFillColor rgb="FFFF0000"/>
              <x14:axisColor rgb="FF000000"/>
            </x14:dataBar>
          </x14:cfRule>
          <xm:sqref>H16:H17</xm:sqref>
        </x14:conditionalFormatting>
        <x14:conditionalFormatting xmlns:xm="http://schemas.microsoft.com/office/excel/2006/main">
          <x14:cfRule type="dataBar" id="{E87DE01A-8F41-4462-AF3B-619E8D6B67E5}">
            <x14:dataBar minLength="0" maxLength="100" gradient="0">
              <x14:cfvo type="num">
                <xm:f>0</xm:f>
              </x14:cfvo>
              <x14:cfvo type="num">
                <xm:f>1</xm:f>
              </x14:cfvo>
              <x14:negativeFillColor rgb="FFFF0000"/>
              <x14:axisColor rgb="FF000000"/>
            </x14:dataBar>
          </x14:cfRule>
          <xm:sqref>H82:H86</xm:sqref>
        </x14:conditionalFormatting>
        <x14:conditionalFormatting xmlns:xm="http://schemas.microsoft.com/office/excel/2006/main">
          <x14:cfRule type="dataBar" id="{C078E29B-B0EA-4B50-B7F5-6A0A5CBDF788}">
            <x14:dataBar minLength="0" maxLength="100" gradient="0">
              <x14:cfvo type="num">
                <xm:f>0</xm:f>
              </x14:cfvo>
              <x14:cfvo type="num">
                <xm:f>1</xm:f>
              </x14:cfvo>
              <x14:negativeFillColor rgb="FFFF0000"/>
              <x14:axisColor rgb="FF000000"/>
            </x14:dataBar>
          </x14:cfRule>
          <xm:sqref>H87:H89</xm:sqref>
        </x14:conditionalFormatting>
        <x14:conditionalFormatting xmlns:xm="http://schemas.microsoft.com/office/excel/2006/main">
          <x14:cfRule type="dataBar" id="{EC64BEEE-3E2C-4ED8-8C0A-82E233A8B6F3}">
            <x14:dataBar minLength="0" maxLength="100" gradient="0">
              <x14:cfvo type="num">
                <xm:f>0</xm:f>
              </x14:cfvo>
              <x14:cfvo type="num">
                <xm:f>1</xm:f>
              </x14:cfvo>
              <x14:negativeFillColor rgb="FFFF0000"/>
              <x14:axisColor rgb="FF000000"/>
            </x14:dataBar>
          </x14:cfRule>
          <xm:sqref>H92:H96</xm:sqref>
        </x14:conditionalFormatting>
        <x14:conditionalFormatting xmlns:xm="http://schemas.microsoft.com/office/excel/2006/main">
          <x14:cfRule type="dataBar" id="{11425AF0-9CFC-42B8-84A7-DFBE45C809E7}">
            <x14:dataBar minLength="0" maxLength="100" gradient="0">
              <x14:cfvo type="num">
                <xm:f>0</xm:f>
              </x14:cfvo>
              <x14:cfvo type="num">
                <xm:f>1</xm:f>
              </x14:cfvo>
              <x14:negativeFillColor rgb="FFFF0000"/>
              <x14:axisColor rgb="FF000000"/>
            </x14:dataBar>
          </x14:cfRule>
          <xm:sqref>H97:H98</xm:sqref>
        </x14:conditionalFormatting>
        <x14:conditionalFormatting xmlns:xm="http://schemas.microsoft.com/office/excel/2006/main">
          <x14:cfRule type="dataBar" id="{52AF7A61-F799-44F9-A1AE-629F62F1E696}">
            <x14:dataBar minLength="0" maxLength="100" gradient="0">
              <x14:cfvo type="num">
                <xm:f>0</xm:f>
              </x14:cfvo>
              <x14:cfvo type="num">
                <xm:f>1</xm:f>
              </x14:cfvo>
              <x14:negativeFillColor rgb="FFFF0000"/>
              <x14:axisColor rgb="FF000000"/>
            </x14:dataBar>
          </x14:cfRule>
          <xm:sqref>H105:H107</xm:sqref>
        </x14:conditionalFormatting>
        <x14:conditionalFormatting xmlns:xm="http://schemas.microsoft.com/office/excel/2006/main">
          <x14:cfRule type="dataBar" id="{01264BB0-CDEA-485A-80E2-0525F0F2C226}">
            <x14:dataBar minLength="0" maxLength="100" gradient="0">
              <x14:cfvo type="num">
                <xm:f>0</xm:f>
              </x14:cfvo>
              <x14:cfvo type="num">
                <xm:f>1</xm:f>
              </x14:cfvo>
              <x14:negativeFillColor rgb="FFFF0000"/>
              <x14:axisColor rgb="FF000000"/>
            </x14:dataBar>
          </x14:cfRule>
          <xm:sqref>H109:H113</xm:sqref>
        </x14:conditionalFormatting>
        <x14:conditionalFormatting xmlns:xm="http://schemas.microsoft.com/office/excel/2006/main">
          <x14:cfRule type="dataBar" id="{5629A077-AC46-4B24-A4FE-AA98EF2453D7}">
            <x14:dataBar minLength="0" maxLength="100" gradient="0">
              <x14:cfvo type="num">
                <xm:f>0</xm:f>
              </x14:cfvo>
              <x14:cfvo type="num">
                <xm:f>1</xm:f>
              </x14:cfvo>
              <x14:negativeFillColor rgb="FFFF0000"/>
              <x14:axisColor rgb="FF000000"/>
            </x14:dataBar>
          </x14:cfRule>
          <xm:sqref>H8:H10 H76:H81 H20:H31</xm:sqref>
        </x14:conditionalFormatting>
        <x14:conditionalFormatting xmlns:xm="http://schemas.microsoft.com/office/excel/2006/main">
          <x14:cfRule type="dataBar" id="{03F1B327-66B8-4A98-9EE4-A8FFA1EE7D03}">
            <x14:dataBar minLength="0" maxLength="100" gradient="0">
              <x14:cfvo type="num">
                <xm:f>0</xm:f>
              </x14:cfvo>
              <x14:cfvo type="num">
                <xm:f>1</xm:f>
              </x14:cfvo>
              <x14:negativeFillColor rgb="FFFF0000"/>
              <x14:axisColor rgb="FF000000"/>
            </x14:dataBar>
          </x14:cfRule>
          <xm:sqref>H62:H75 H40:H44 H46:H60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C46"/>
  <sheetViews>
    <sheetView showGridLines="0" workbookViewId="0"/>
  </sheetViews>
  <sheetFormatPr defaultColWidth="9" defaultRowHeight="12.75"/>
  <cols>
    <col min="1" max="1" width="5.5703125" customWidth="1"/>
    <col min="2" max="2" width="37.7109375" customWidth="1"/>
    <col min="3" max="3" width="55.140625" customWidth="1"/>
    <col min="4" max="7" width="8.85546875"/>
  </cols>
  <sheetData>
    <row r="1" spans="1:3" ht="30" customHeight="1">
      <c r="A1" s="51" t="s">
        <v>115</v>
      </c>
    </row>
    <row r="4" spans="1:3">
      <c r="C4" s="36" t="s">
        <v>116</v>
      </c>
    </row>
    <row r="5" spans="1:3">
      <c r="C5" t="s">
        <v>117</v>
      </c>
    </row>
    <row r="7" spans="1:3" ht="18">
      <c r="C7" s="52" t="s">
        <v>118</v>
      </c>
    </row>
    <row r="8" spans="1:3">
      <c r="C8" s="53" t="s">
        <v>119</v>
      </c>
    </row>
    <row r="10" spans="1:3">
      <c r="C10" t="s">
        <v>120</v>
      </c>
    </row>
    <row r="11" spans="1:3">
      <c r="C11" t="s">
        <v>121</v>
      </c>
    </row>
    <row r="13" spans="1:3" ht="18">
      <c r="C13" s="52" t="s">
        <v>122</v>
      </c>
    </row>
    <row r="16" spans="1:3" ht="15.75">
      <c r="A16" s="27" t="s">
        <v>123</v>
      </c>
    </row>
    <row r="18" spans="2:2" ht="15">
      <c r="B18" s="54" t="s">
        <v>124</v>
      </c>
    </row>
    <row r="19" spans="2:2">
      <c r="B19" t="s">
        <v>125</v>
      </c>
    </row>
    <row r="20" spans="2:2">
      <c r="B20" t="s">
        <v>126</v>
      </c>
    </row>
    <row r="22" spans="2:2" ht="15">
      <c r="B22" s="54" t="s">
        <v>127</v>
      </c>
    </row>
    <row r="23" spans="2:2">
      <c r="B23" t="s">
        <v>128</v>
      </c>
    </row>
    <row r="24" spans="2:2">
      <c r="B24" t="s">
        <v>129</v>
      </c>
    </row>
    <row r="26" spans="2:2" ht="15">
      <c r="B26" s="54" t="s">
        <v>130</v>
      </c>
    </row>
    <row r="27" spans="2:2">
      <c r="B27" t="s">
        <v>131</v>
      </c>
    </row>
    <row r="28" spans="2:2">
      <c r="B28" t="s">
        <v>132</v>
      </c>
    </row>
    <row r="29" spans="2:2">
      <c r="B29" t="s">
        <v>133</v>
      </c>
    </row>
    <row r="30" spans="2:2">
      <c r="B30" t="s">
        <v>134</v>
      </c>
    </row>
    <row r="31" spans="2:2">
      <c r="B31" t="s">
        <v>135</v>
      </c>
    </row>
    <row r="32" spans="2:2">
      <c r="B32" t="s">
        <v>136</v>
      </c>
    </row>
    <row r="34" spans="2:2" ht="15">
      <c r="B34" s="54" t="s">
        <v>137</v>
      </c>
    </row>
    <row r="35" spans="2:2">
      <c r="B35" t="s">
        <v>138</v>
      </c>
    </row>
    <row r="36" spans="2:2">
      <c r="B36" t="s">
        <v>139</v>
      </c>
    </row>
    <row r="37" spans="2:2">
      <c r="B37" t="s">
        <v>140</v>
      </c>
    </row>
    <row r="39" spans="2:2" ht="15">
      <c r="B39" s="54" t="s">
        <v>141</v>
      </c>
    </row>
    <row r="40" spans="2:2">
      <c r="B40" t="s">
        <v>142</v>
      </c>
    </row>
    <row r="42" spans="2:2" ht="15">
      <c r="B42" s="54" t="s">
        <v>143</v>
      </c>
    </row>
    <row r="43" spans="2:2">
      <c r="B43" t="s">
        <v>144</v>
      </c>
    </row>
    <row r="44" spans="2:2">
      <c r="B44" t="s">
        <v>145</v>
      </c>
    </row>
    <row r="46" spans="2:2" ht="18">
      <c r="B46" s="52" t="s">
        <v>146</v>
      </c>
    </row>
  </sheetData>
  <hyperlinks>
    <hyperlink ref="C7" r:id="rId1"/>
    <hyperlink ref="B46" r:id="rId2" tooltip="Go to Vertex42.com"/>
    <hyperlink ref="C13" r:id="rId3"/>
  </hyperlinks>
  <pageMargins left="0.7" right="0.7" top="0.75" bottom="0.75" header="0.3" footer="0.3"/>
  <pageSetup scale="93" orientation="portrait"/>
  <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C94"/>
  <sheetViews>
    <sheetView showGridLines="0" workbookViewId="0"/>
  </sheetViews>
  <sheetFormatPr defaultColWidth="8.85546875" defaultRowHeight="12.75"/>
  <cols>
    <col min="1" max="1" width="5.5703125" customWidth="1"/>
    <col min="2" max="2" width="90.42578125" customWidth="1"/>
    <col min="3" max="3" width="16.42578125" customWidth="1"/>
  </cols>
  <sheetData>
    <row r="1" spans="1:3" ht="30" customHeight="1">
      <c r="A1" s="12" t="s">
        <v>147</v>
      </c>
      <c r="B1" s="23"/>
    </row>
    <row r="2" spans="1:3" ht="14.25">
      <c r="A2" s="24" t="s">
        <v>119</v>
      </c>
      <c r="B2" s="25"/>
    </row>
    <row r="3" spans="1:3">
      <c r="B3" s="25"/>
    </row>
    <row r="4" spans="1:3" ht="18">
      <c r="A4" s="26" t="s">
        <v>148</v>
      </c>
      <c r="B4" s="27"/>
    </row>
    <row r="5" spans="1:3" ht="57">
      <c r="B5" s="28" t="s">
        <v>149</v>
      </c>
    </row>
    <row r="7" spans="1:3" ht="28.5">
      <c r="B7" s="28" t="s">
        <v>150</v>
      </c>
    </row>
    <row r="9" spans="1:3" ht="14.25">
      <c r="B9" s="24" t="s">
        <v>151</v>
      </c>
    </row>
    <row r="11" spans="1:3" ht="28.5">
      <c r="B11" s="29" t="s">
        <v>152</v>
      </c>
    </row>
    <row r="13" spans="1:3" ht="18">
      <c r="A13" s="124" t="s">
        <v>153</v>
      </c>
      <c r="B13" s="124"/>
    </row>
    <row r="15" spans="1:3" s="22" customFormat="1" ht="18">
      <c r="A15" s="30"/>
      <c r="B15" s="31" t="s">
        <v>154</v>
      </c>
    </row>
    <row r="16" spans="1:3" s="22" customFormat="1" ht="18">
      <c r="A16" s="30"/>
      <c r="B16" s="31" t="s">
        <v>155</v>
      </c>
      <c r="C16" s="32" t="s">
        <v>156</v>
      </c>
    </row>
    <row r="17" spans="1:3" ht="18">
      <c r="A17" s="33"/>
      <c r="B17" s="31" t="s">
        <v>157</v>
      </c>
    </row>
    <row r="18" spans="1:3" ht="18">
      <c r="A18" s="33"/>
      <c r="B18" s="31" t="s">
        <v>158</v>
      </c>
    </row>
    <row r="19" spans="1:3" ht="18">
      <c r="A19" s="33"/>
      <c r="B19" s="31" t="s">
        <v>159</v>
      </c>
    </row>
    <row r="20" spans="1:3" s="22" customFormat="1" ht="18">
      <c r="A20" s="30"/>
      <c r="B20" s="31" t="s">
        <v>160</v>
      </c>
      <c r="C20" s="34" t="s">
        <v>161</v>
      </c>
    </row>
    <row r="21" spans="1:3" ht="18">
      <c r="A21" s="33"/>
      <c r="B21" s="31" t="s">
        <v>162</v>
      </c>
    </row>
    <row r="22" spans="1:3" ht="18">
      <c r="A22" s="33"/>
      <c r="B22" s="35" t="s">
        <v>163</v>
      </c>
    </row>
    <row r="23" spans="1:3" ht="18">
      <c r="A23" s="33"/>
      <c r="B23" s="36"/>
    </row>
    <row r="24" spans="1:3" ht="18">
      <c r="A24" s="124" t="s">
        <v>164</v>
      </c>
      <c r="B24" s="124"/>
    </row>
    <row r="25" spans="1:3" ht="43.5">
      <c r="A25" s="33"/>
      <c r="B25" s="31" t="s">
        <v>165</v>
      </c>
    </row>
    <row r="26" spans="1:3" ht="18">
      <c r="A26" s="33"/>
      <c r="B26" s="31"/>
    </row>
    <row r="27" spans="1:3" ht="18">
      <c r="A27" s="33"/>
      <c r="B27" s="37" t="s">
        <v>166</v>
      </c>
    </row>
    <row r="28" spans="1:3" ht="18">
      <c r="A28" s="33"/>
      <c r="B28" s="31" t="s">
        <v>167</v>
      </c>
    </row>
    <row r="29" spans="1:3" ht="28.5">
      <c r="A29" s="33"/>
      <c r="B29" s="31" t="s">
        <v>168</v>
      </c>
    </row>
    <row r="30" spans="1:3" ht="18">
      <c r="A30" s="33"/>
      <c r="B30" s="31"/>
    </row>
    <row r="31" spans="1:3" ht="18">
      <c r="A31" s="33"/>
      <c r="B31" s="37" t="s">
        <v>169</v>
      </c>
    </row>
    <row r="32" spans="1:3" ht="18">
      <c r="A32" s="33"/>
      <c r="B32" s="31" t="s">
        <v>170</v>
      </c>
    </row>
    <row r="33" spans="1:2" ht="18">
      <c r="A33" s="33"/>
      <c r="B33" s="31" t="s">
        <v>171</v>
      </c>
    </row>
    <row r="34" spans="1:2" ht="18">
      <c r="A34" s="33"/>
      <c r="B34" s="36"/>
    </row>
    <row r="35" spans="1:2" ht="28.5">
      <c r="A35" s="33"/>
      <c r="B35" s="31" t="s">
        <v>172</v>
      </c>
    </row>
    <row r="36" spans="1:2" ht="18">
      <c r="A36" s="33"/>
      <c r="B36" s="38" t="s">
        <v>173</v>
      </c>
    </row>
    <row r="37" spans="1:2" ht="18">
      <c r="A37" s="33"/>
      <c r="B37" s="36"/>
    </row>
    <row r="38" spans="1:2" ht="18">
      <c r="A38" s="124" t="s">
        <v>174</v>
      </c>
      <c r="B38" s="124"/>
    </row>
    <row r="39" spans="1:2" ht="28.5">
      <c r="B39" s="31" t="s">
        <v>175</v>
      </c>
    </row>
    <row r="41" spans="1:2" ht="14.25">
      <c r="B41" s="31" t="s">
        <v>176</v>
      </c>
    </row>
    <row r="43" spans="1:2" ht="28.5">
      <c r="B43" s="31" t="s">
        <v>177</v>
      </c>
    </row>
    <row r="45" spans="1:2" ht="28.5">
      <c r="B45" s="31" t="s">
        <v>178</v>
      </c>
    </row>
    <row r="46" spans="1:2">
      <c r="B46" s="39"/>
    </row>
    <row r="47" spans="1:2" ht="28.5">
      <c r="B47" s="31" t="s">
        <v>179</v>
      </c>
    </row>
    <row r="49" spans="1:2" ht="18">
      <c r="A49" s="124" t="s">
        <v>180</v>
      </c>
      <c r="B49" s="124"/>
    </row>
    <row r="50" spans="1:2" ht="28.5">
      <c r="B50" s="31" t="s">
        <v>181</v>
      </c>
    </row>
    <row r="52" spans="1:2" ht="14.25">
      <c r="A52" s="40" t="s">
        <v>182</v>
      </c>
      <c r="B52" s="31" t="s">
        <v>183</v>
      </c>
    </row>
    <row r="53" spans="1:2" ht="14.25">
      <c r="A53" s="40" t="s">
        <v>184</v>
      </c>
      <c r="B53" s="31" t="s">
        <v>185</v>
      </c>
    </row>
    <row r="54" spans="1:2" ht="14.25">
      <c r="A54" s="40" t="s">
        <v>186</v>
      </c>
      <c r="B54" s="31" t="s">
        <v>187</v>
      </c>
    </row>
    <row r="55" spans="1:2" ht="28.5">
      <c r="A55" s="29"/>
      <c r="B55" s="31" t="s">
        <v>188</v>
      </c>
    </row>
    <row r="56" spans="1:2" ht="28.5">
      <c r="A56" s="29"/>
      <c r="B56" s="31" t="s">
        <v>189</v>
      </c>
    </row>
    <row r="57" spans="1:2" ht="14.25">
      <c r="A57" s="40" t="s">
        <v>190</v>
      </c>
      <c r="B57" s="31" t="s">
        <v>191</v>
      </c>
    </row>
    <row r="58" spans="1:2" ht="14.25">
      <c r="A58" s="29"/>
      <c r="B58" s="31" t="s">
        <v>192</v>
      </c>
    </row>
    <row r="59" spans="1:2" ht="14.25">
      <c r="A59" s="29"/>
      <c r="B59" s="31" t="s">
        <v>193</v>
      </c>
    </row>
    <row r="60" spans="1:2" ht="14.25">
      <c r="A60" s="40" t="s">
        <v>194</v>
      </c>
      <c r="B60" s="31" t="s">
        <v>195</v>
      </c>
    </row>
    <row r="61" spans="1:2" ht="28.5">
      <c r="A61" s="29"/>
      <c r="B61" s="31" t="s">
        <v>196</v>
      </c>
    </row>
    <row r="62" spans="1:2" ht="14.25">
      <c r="A62" s="40" t="s">
        <v>197</v>
      </c>
      <c r="B62" s="31" t="s">
        <v>198</v>
      </c>
    </row>
    <row r="63" spans="1:2" ht="14.25">
      <c r="A63" s="41"/>
      <c r="B63" s="31" t="s">
        <v>199</v>
      </c>
    </row>
    <row r="64" spans="1:2">
      <c r="B64" s="42"/>
    </row>
    <row r="65" spans="1:2" ht="18">
      <c r="A65" s="124" t="s">
        <v>200</v>
      </c>
      <c r="B65" s="124"/>
    </row>
    <row r="66" spans="1:2" ht="42.75">
      <c r="B66" s="31" t="s">
        <v>201</v>
      </c>
    </row>
    <row r="68" spans="1:2" ht="18">
      <c r="A68" s="124" t="s">
        <v>202</v>
      </c>
      <c r="B68" s="124"/>
    </row>
    <row r="69" spans="1:2" ht="15">
      <c r="A69" s="43" t="s">
        <v>203</v>
      </c>
      <c r="B69" s="44" t="s">
        <v>204</v>
      </c>
    </row>
    <row r="70" spans="1:2" ht="28.5">
      <c r="A70" s="41"/>
      <c r="B70" s="45" t="s">
        <v>205</v>
      </c>
    </row>
    <row r="71" spans="1:2" ht="14.25">
      <c r="A71" s="41"/>
      <c r="B71" s="46"/>
    </row>
    <row r="72" spans="1:2" ht="15">
      <c r="A72" s="43" t="s">
        <v>203</v>
      </c>
      <c r="B72" s="44" t="s">
        <v>206</v>
      </c>
    </row>
    <row r="73" spans="1:2" ht="28.5">
      <c r="A73" s="41"/>
      <c r="B73" s="45" t="s">
        <v>207</v>
      </c>
    </row>
    <row r="74" spans="1:2" ht="14.25">
      <c r="A74" s="41"/>
      <c r="B74" s="46"/>
    </row>
    <row r="75" spans="1:2" ht="15">
      <c r="A75" s="43" t="s">
        <v>203</v>
      </c>
      <c r="B75" s="47" t="s">
        <v>208</v>
      </c>
    </row>
    <row r="76" spans="1:2" ht="42.75">
      <c r="A76" s="41"/>
      <c r="B76" s="28" t="s">
        <v>209</v>
      </c>
    </row>
    <row r="77" spans="1:2" ht="14.25">
      <c r="A77" s="41"/>
      <c r="B77" s="41"/>
    </row>
    <row r="78" spans="1:2" ht="15">
      <c r="A78" s="43" t="s">
        <v>203</v>
      </c>
      <c r="B78" s="47" t="s">
        <v>210</v>
      </c>
    </row>
    <row r="79" spans="1:2" ht="28.5">
      <c r="A79" s="41"/>
      <c r="B79" s="28" t="s">
        <v>211</v>
      </c>
    </row>
    <row r="80" spans="1:2" ht="14.25">
      <c r="A80" s="41"/>
      <c r="B80" s="41"/>
    </row>
    <row r="81" spans="1:2" ht="15">
      <c r="A81" s="43" t="s">
        <v>203</v>
      </c>
      <c r="B81" s="47" t="s">
        <v>212</v>
      </c>
    </row>
    <row r="82" spans="1:2" ht="14.25">
      <c r="A82" s="41"/>
      <c r="B82" s="48" t="s">
        <v>213</v>
      </c>
    </row>
    <row r="83" spans="1:2" ht="14.25">
      <c r="A83" s="41"/>
      <c r="B83" s="48" t="s">
        <v>214</v>
      </c>
    </row>
    <row r="84" spans="1:2" ht="14.25">
      <c r="A84" s="41"/>
      <c r="B84" s="48" t="s">
        <v>215</v>
      </c>
    </row>
    <row r="85" spans="1:2" ht="15">
      <c r="A85" s="41"/>
      <c r="B85" s="49"/>
    </row>
    <row r="86" spans="1:2" ht="15">
      <c r="A86" s="43" t="s">
        <v>203</v>
      </c>
      <c r="B86" s="47" t="s">
        <v>216</v>
      </c>
    </row>
    <row r="87" spans="1:2" ht="42.75">
      <c r="A87" s="41"/>
      <c r="B87" s="28" t="s">
        <v>217</v>
      </c>
    </row>
    <row r="88" spans="1:2" ht="14.25">
      <c r="A88" s="41"/>
      <c r="B88" s="109" t="s">
        <v>218</v>
      </c>
    </row>
    <row r="89" spans="1:2" ht="57">
      <c r="A89" s="41"/>
      <c r="B89" s="110" t="s">
        <v>219</v>
      </c>
    </row>
    <row r="90" spans="1:2" ht="14.25">
      <c r="A90" s="41"/>
      <c r="B90" s="41"/>
    </row>
    <row r="91" spans="1:2" ht="15">
      <c r="A91" s="43" t="s">
        <v>203</v>
      </c>
      <c r="B91" s="47" t="s">
        <v>220</v>
      </c>
    </row>
    <row r="92" spans="1:2" ht="28.5">
      <c r="A92" s="29"/>
      <c r="B92" s="48" t="s">
        <v>221</v>
      </c>
    </row>
    <row r="94" spans="1:2">
      <c r="A94" s="50" t="s">
        <v>222</v>
      </c>
    </row>
  </sheetData>
  <mergeCells count="6">
    <mergeCell ref="A68:B68"/>
    <mergeCell ref="A13:B13"/>
    <mergeCell ref="A24:B24"/>
    <mergeCell ref="A38:B38"/>
    <mergeCell ref="A49:B49"/>
    <mergeCell ref="A65:B65"/>
  </mergeCells>
  <hyperlinks>
    <hyperlink ref="B9" r:id="rId1"/>
    <hyperlink ref="A2" r:id="rId2"/>
    <hyperlink ref="B36" r:id="rId3"/>
  </hyperlinks>
  <pageMargins left="0.5" right="0.5" top="0.25" bottom="0.25" header="0.5" footer="0.5"/>
  <pageSetup orientation="portrait"/>
  <headerFooter alignWithMargins="0"/>
  <drawing r:id="rId4"/>
  <legacy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C29"/>
  <sheetViews>
    <sheetView showGridLines="0" workbookViewId="0"/>
  </sheetViews>
  <sheetFormatPr defaultColWidth="8.85546875" defaultRowHeight="12.75"/>
  <cols>
    <col min="1" max="1" width="5.5703125" customWidth="1"/>
    <col min="2" max="2" width="82.140625" customWidth="1"/>
  </cols>
  <sheetData>
    <row r="1" spans="1:3" ht="30" customHeight="1">
      <c r="A1" s="12" t="s">
        <v>223</v>
      </c>
      <c r="B1" s="12"/>
    </row>
    <row r="2" spans="1:3" ht="15">
      <c r="B2" s="13"/>
    </row>
    <row r="3" spans="1:3" ht="15">
      <c r="A3" s="14"/>
      <c r="B3" s="15" t="s">
        <v>224</v>
      </c>
      <c r="C3" s="14"/>
    </row>
    <row r="4" spans="1:3" ht="14.25">
      <c r="A4" s="16"/>
      <c r="B4" s="17" t="s">
        <v>119</v>
      </c>
      <c r="C4" s="16"/>
    </row>
    <row r="5" spans="1:3" ht="15">
      <c r="A5" s="16"/>
      <c r="B5" s="18"/>
      <c r="C5" s="16"/>
    </row>
    <row r="6" spans="1:3" ht="15.75">
      <c r="A6" s="16"/>
      <c r="B6" s="19" t="s">
        <v>222</v>
      </c>
      <c r="C6" s="16"/>
    </row>
    <row r="7" spans="1:3" ht="15">
      <c r="A7" s="16"/>
      <c r="B7" s="18"/>
      <c r="C7" s="16"/>
    </row>
    <row r="8" spans="1:3" ht="30">
      <c r="A8" s="16"/>
      <c r="B8" s="18" t="s">
        <v>225</v>
      </c>
      <c r="C8" s="16"/>
    </row>
    <row r="9" spans="1:3" ht="15">
      <c r="A9" s="16"/>
      <c r="B9" s="18"/>
      <c r="C9" s="16"/>
    </row>
    <row r="10" spans="1:3" ht="46.5">
      <c r="A10" s="16"/>
      <c r="B10" s="18" t="s">
        <v>226</v>
      </c>
      <c r="C10" s="16"/>
    </row>
    <row r="11" spans="1:3" ht="15">
      <c r="A11" s="16"/>
      <c r="B11" s="18"/>
      <c r="C11" s="16"/>
    </row>
    <row r="12" spans="1:3" ht="45">
      <c r="A12" s="16"/>
      <c r="B12" s="18" t="s">
        <v>227</v>
      </c>
      <c r="C12" s="16"/>
    </row>
    <row r="13" spans="1:3" ht="15">
      <c r="A13" s="16"/>
      <c r="B13" s="18"/>
      <c r="C13" s="16"/>
    </row>
    <row r="14" spans="1:3" ht="60">
      <c r="A14" s="16"/>
      <c r="B14" s="18" t="s">
        <v>228</v>
      </c>
      <c r="C14" s="16"/>
    </row>
    <row r="15" spans="1:3" ht="15">
      <c r="A15" s="16"/>
      <c r="B15" s="18"/>
      <c r="C15" s="16"/>
    </row>
    <row r="16" spans="1:3" ht="30.75">
      <c r="A16" s="16"/>
      <c r="B16" s="18" t="s">
        <v>229</v>
      </c>
      <c r="C16" s="16"/>
    </row>
    <row r="17" spans="1:3" ht="15">
      <c r="A17" s="16"/>
      <c r="B17" s="18"/>
      <c r="C17" s="16"/>
    </row>
    <row r="18" spans="1:3" ht="15.75">
      <c r="A18" s="16"/>
      <c r="B18" s="19" t="s">
        <v>230</v>
      </c>
      <c r="C18" s="16"/>
    </row>
    <row r="19" spans="1:3" ht="15">
      <c r="A19" s="16"/>
      <c r="B19" s="20" t="s">
        <v>231</v>
      </c>
      <c r="C19" s="16"/>
    </row>
    <row r="20" spans="1:3" ht="15">
      <c r="A20" s="16"/>
      <c r="B20" s="21"/>
      <c r="C20" s="16"/>
    </row>
    <row r="21" spans="1:3">
      <c r="A21" s="16"/>
      <c r="B21" s="16"/>
      <c r="C21" s="16"/>
    </row>
    <row r="22" spans="1:3">
      <c r="A22" s="16"/>
      <c r="B22" s="16"/>
      <c r="C22" s="16"/>
    </row>
    <row r="23" spans="1:3">
      <c r="A23" s="16"/>
      <c r="B23" s="16"/>
      <c r="C23" s="16"/>
    </row>
    <row r="24" spans="1:3">
      <c r="A24" s="16"/>
      <c r="B24" s="16"/>
      <c r="C24" s="16"/>
    </row>
    <row r="25" spans="1:3">
      <c r="A25" s="16"/>
      <c r="B25" s="16"/>
      <c r="C25" s="16"/>
    </row>
    <row r="26" spans="1:3">
      <c r="A26" s="16"/>
      <c r="B26" s="16"/>
      <c r="C26" s="16"/>
    </row>
    <row r="27" spans="1:3">
      <c r="A27" s="16"/>
      <c r="B27" s="16"/>
      <c r="C27" s="16"/>
    </row>
    <row r="28" spans="1:3">
      <c r="A28" s="16"/>
      <c r="B28" s="16"/>
      <c r="C28" s="16"/>
    </row>
    <row r="29" spans="1:3">
      <c r="A29" s="16"/>
      <c r="B29" s="16"/>
      <c r="C29" s="16"/>
    </row>
  </sheetData>
  <hyperlinks>
    <hyperlink ref="B4" r:id="rId1"/>
    <hyperlink ref="B19" r:id="rId2"/>
  </hyperlinks>
  <pageMargins left="0.7" right="0.7" top="0.75" bottom="0.75" header="0.3" footer="0.3"/>
  <pageSetup orientation="portrait"/>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5"/>
  <sheetViews>
    <sheetView workbookViewId="0">
      <selection activeCell="A16" sqref="A16"/>
    </sheetView>
  </sheetViews>
  <sheetFormatPr defaultColWidth="9" defaultRowHeight="12.75"/>
  <cols>
    <col min="1" max="1" width="49.7109375" customWidth="1"/>
  </cols>
  <sheetData>
    <row r="1" spans="1:13" ht="37.5" customHeight="1">
      <c r="A1" s="125" t="s">
        <v>250</v>
      </c>
      <c r="B1" s="125"/>
      <c r="C1" s="125"/>
      <c r="D1" s="125"/>
      <c r="E1" s="125"/>
      <c r="F1" s="125"/>
      <c r="G1" s="125"/>
      <c r="H1" s="125"/>
      <c r="I1" s="125"/>
      <c r="J1" s="125"/>
      <c r="K1" s="125"/>
      <c r="L1" s="125"/>
      <c r="M1" s="125"/>
    </row>
    <row r="4" spans="1:13">
      <c r="A4" t="s">
        <v>232</v>
      </c>
    </row>
    <row r="5" spans="1:13">
      <c r="A5" t="s">
        <v>242</v>
      </c>
    </row>
    <row r="6" spans="1:13">
      <c r="A6" t="s">
        <v>239</v>
      </c>
    </row>
    <row r="7" spans="1:13">
      <c r="A7" t="s">
        <v>240</v>
      </c>
    </row>
    <row r="8" spans="1:13">
      <c r="A8" t="s">
        <v>241</v>
      </c>
    </row>
    <row r="10" spans="1:13">
      <c r="A10" t="s">
        <v>243</v>
      </c>
    </row>
    <row r="11" spans="1:13">
      <c r="A11" t="s">
        <v>244</v>
      </c>
    </row>
    <row r="12" spans="1:13">
      <c r="A12" t="s">
        <v>245</v>
      </c>
    </row>
    <row r="13" spans="1:13">
      <c r="A13" t="s">
        <v>246</v>
      </c>
    </row>
    <row r="14" spans="1:13">
      <c r="A14" t="s">
        <v>247</v>
      </c>
    </row>
    <row r="15" spans="1:13">
      <c r="A15" t="s">
        <v>248</v>
      </c>
    </row>
  </sheetData>
  <mergeCells count="1">
    <mergeCell ref="A1:M1"/>
  </mergeCells>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N22"/>
  <sheetViews>
    <sheetView workbookViewId="0">
      <selection activeCell="A22" sqref="A22"/>
    </sheetView>
  </sheetViews>
  <sheetFormatPr defaultColWidth="9" defaultRowHeight="12.75"/>
  <cols>
    <col min="1" max="1" width="66.140625" customWidth="1"/>
    <col min="2" max="2" width="42" customWidth="1"/>
  </cols>
  <sheetData>
    <row r="1" spans="1:66" ht="15">
      <c r="A1" s="2"/>
      <c r="B1" s="3"/>
    </row>
    <row r="2" spans="1:66" ht="15">
      <c r="A2" s="2"/>
      <c r="B2" s="3"/>
    </row>
    <row r="3" spans="1:66" ht="15">
      <c r="A3" s="2" t="s">
        <v>233</v>
      </c>
      <c r="B3" s="3"/>
    </row>
    <row r="4" spans="1:66" ht="15">
      <c r="A4" s="2" t="s">
        <v>234</v>
      </c>
      <c r="B4" s="3"/>
    </row>
    <row r="5" spans="1:66" ht="15">
      <c r="A5" s="2" t="s">
        <v>235</v>
      </c>
      <c r="B5" s="3"/>
    </row>
    <row r="6" spans="1:66">
      <c r="A6" s="2" t="s">
        <v>236</v>
      </c>
    </row>
    <row r="7" spans="1:66">
      <c r="A7" s="2" t="s">
        <v>237</v>
      </c>
    </row>
    <row r="13" spans="1:66" s="1" customFormat="1" ht="18">
      <c r="A1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0.1</v>
      </c>
      <c r="B13" s="2" t="s">
        <v>233</v>
      </c>
      <c r="C13" s="1" t="s">
        <v>28</v>
      </c>
      <c r="D13" s="5"/>
      <c r="E13" s="6">
        <f>GanttChart!F59+1</f>
        <v>46116</v>
      </c>
      <c r="F13" s="7">
        <f t="shared" ref="F13:F17" si="0">IF(ISBLANK(E13)," - ",IF(G13=0,E13,E13+G13-1))</f>
        <v>46117</v>
      </c>
      <c r="G13" s="8">
        <v>2</v>
      </c>
      <c r="H13" s="9">
        <v>0</v>
      </c>
      <c r="I13" s="10">
        <f t="shared" ref="I13:I17" si="1">IF(OR(F13=0,E13=0)," - ",NETWORKDAYS(E13,F13))</f>
        <v>0</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0.2</v>
      </c>
      <c r="B14" s="2" t="s">
        <v>234</v>
      </c>
      <c r="C14" s="1" t="s">
        <v>19</v>
      </c>
      <c r="D14" s="5"/>
      <c r="E14" s="6">
        <f>GanttChart!F60+1</f>
        <v>46120</v>
      </c>
      <c r="F14" s="7">
        <f t="shared" si="0"/>
        <v>46123</v>
      </c>
      <c r="G14" s="8">
        <v>4</v>
      </c>
      <c r="H14" s="9">
        <v>0</v>
      </c>
      <c r="I14" s="10">
        <f t="shared" si="1"/>
        <v>3</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0.3</v>
      </c>
      <c r="B15" s="2" t="s">
        <v>235</v>
      </c>
      <c r="C15" s="1" t="s">
        <v>28</v>
      </c>
      <c r="D15" s="5"/>
      <c r="E15" s="6">
        <f t="shared" ref="E15:E17" si="2">F13+1</f>
        <v>46118</v>
      </c>
      <c r="F15" s="7">
        <f t="shared" si="0"/>
        <v>46121</v>
      </c>
      <c r="G15" s="8">
        <v>4</v>
      </c>
      <c r="H15" s="9">
        <v>0</v>
      </c>
      <c r="I15" s="10">
        <f t="shared" si="1"/>
        <v>4</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0.4</v>
      </c>
      <c r="B16" s="2" t="s">
        <v>236</v>
      </c>
      <c r="C16" s="1" t="s">
        <v>19</v>
      </c>
      <c r="D16" s="5"/>
      <c r="E16" s="6">
        <f t="shared" si="2"/>
        <v>46124</v>
      </c>
      <c r="F16" s="7">
        <f t="shared" si="0"/>
        <v>46125</v>
      </c>
      <c r="G16" s="8">
        <v>2</v>
      </c>
      <c r="H16" s="9">
        <v>0</v>
      </c>
      <c r="I16" s="10">
        <f t="shared" si="1"/>
        <v>1</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0.5</v>
      </c>
      <c r="B17" s="2" t="s">
        <v>237</v>
      </c>
      <c r="C17" s="1" t="s">
        <v>28</v>
      </c>
      <c r="D17" s="5"/>
      <c r="E17" s="6">
        <f t="shared" si="2"/>
        <v>46122</v>
      </c>
      <c r="F17" s="7">
        <f t="shared" si="0"/>
        <v>46123</v>
      </c>
      <c r="G17" s="8">
        <v>2</v>
      </c>
      <c r="H17" s="9">
        <v>0</v>
      </c>
      <c r="I17" s="10">
        <f t="shared" si="1"/>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22" spans="1:66">
      <c r="A22" t="s">
        <v>238</v>
      </c>
    </row>
  </sheetData>
  <conditionalFormatting sqref="H13">
    <cfRule type="dataBar" priority="20">
      <dataBar>
        <cfvo type="num" val="0"/>
        <cfvo type="num" val="1"/>
        <color theme="0" tint="-0.34998626667073579"/>
      </dataBar>
      <extLst>
        <ext xmlns:x14="http://schemas.microsoft.com/office/spreadsheetml/2009/9/main" uri="{B025F937-C7B1-47D3-B67F-A62EFF666E3E}">
          <x14:id>{BAE600E7-FE4A-406D-A0A0-D49AD13AF25E}</x14:id>
        </ext>
      </extLst>
    </cfRule>
  </conditionalFormatting>
  <conditionalFormatting sqref="H14">
    <cfRule type="dataBar" priority="16">
      <dataBar>
        <cfvo type="num" val="0"/>
        <cfvo type="num" val="1"/>
        <color theme="0" tint="-0.34998626667073579"/>
      </dataBar>
      <extLst>
        <ext xmlns:x14="http://schemas.microsoft.com/office/spreadsheetml/2009/9/main" uri="{B025F937-C7B1-47D3-B67F-A62EFF666E3E}">
          <x14:id>{5C19D324-34A6-430A-912B-754B3A96CBE3}</x14:id>
        </ext>
      </extLst>
    </cfRule>
  </conditionalFormatting>
  <conditionalFormatting sqref="H15">
    <cfRule type="dataBar" priority="12">
      <dataBar>
        <cfvo type="num" val="0"/>
        <cfvo type="num" val="1"/>
        <color theme="0" tint="-0.34998626667073579"/>
      </dataBar>
      <extLst>
        <ext xmlns:x14="http://schemas.microsoft.com/office/spreadsheetml/2009/9/main" uri="{B025F937-C7B1-47D3-B67F-A62EFF666E3E}">
          <x14:id>{DEFBED01-472B-49D5-9EC8-A70152298A6C}</x14:id>
        </ext>
      </extLst>
    </cfRule>
  </conditionalFormatting>
  <conditionalFormatting sqref="H16">
    <cfRule type="dataBar" priority="8">
      <dataBar>
        <cfvo type="num" val="0"/>
        <cfvo type="num" val="1"/>
        <color theme="0" tint="-0.34998626667073579"/>
      </dataBar>
      <extLst>
        <ext xmlns:x14="http://schemas.microsoft.com/office/spreadsheetml/2009/9/main" uri="{B025F937-C7B1-47D3-B67F-A62EFF666E3E}">
          <x14:id>{8A0FC972-E9C5-456E-B171-44CEF3A11DAF}</x14:id>
        </ext>
      </extLst>
    </cfRule>
  </conditionalFormatting>
  <conditionalFormatting sqref="H17">
    <cfRule type="dataBar" priority="4">
      <dataBar>
        <cfvo type="num" val="0"/>
        <cfvo type="num" val="1"/>
        <color theme="0" tint="-0.34998626667073579"/>
      </dataBar>
      <extLst>
        <ext xmlns:x14="http://schemas.microsoft.com/office/spreadsheetml/2009/9/main" uri="{B025F937-C7B1-47D3-B67F-A62EFF666E3E}">
          <x14:id>{E031BC06-22B7-4628-BB42-6BBEC0C7FED9}</x14:id>
        </ext>
      </extLst>
    </cfRule>
  </conditionalFormatting>
  <conditionalFormatting sqref="K13:BN17">
    <cfRule type="expression" dxfId="2" priority="1">
      <formula>K$6=TODAY()</formula>
    </cfRule>
    <cfRule type="expression" dxfId="1" priority="2">
      <formula>AND($E13&lt;=K$6,ROUNDDOWN(($F13-$E13+1)*$H13,0)+$E13-1&gt;=K$6)</formula>
    </cfRule>
    <cfRule type="expression" dxfId="0" priority="3">
      <formula>AND(NOT(ISBLANK($E13)),$E13&lt;=K$6,$F13&gt;=K$6)</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AE600E7-FE4A-406D-A0A0-D49AD13AF25E}">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5C19D324-34A6-430A-912B-754B3A96CBE3}">
            <x14:dataBar minLength="0" maxLength="100" gradient="0">
              <x14:cfvo type="num">
                <xm:f>0</xm:f>
              </x14:cfvo>
              <x14:cfvo type="num">
                <xm:f>1</xm:f>
              </x14:cfvo>
              <x14:negativeFillColor rgb="FFFF0000"/>
              <x14:axisColor rgb="FF000000"/>
            </x14:dataBar>
          </x14:cfRule>
          <xm:sqref>H14</xm:sqref>
        </x14:conditionalFormatting>
        <x14:conditionalFormatting xmlns:xm="http://schemas.microsoft.com/office/excel/2006/main">
          <x14:cfRule type="dataBar" id="{DEFBED01-472B-49D5-9EC8-A70152298A6C}">
            <x14:dataBar minLength="0" maxLength="100" gradient="0">
              <x14:cfvo type="num">
                <xm:f>0</xm:f>
              </x14:cfvo>
              <x14:cfvo type="num">
                <xm:f>1</xm:f>
              </x14:cfvo>
              <x14:negativeFillColor rgb="FFFF0000"/>
              <x14:axisColor rgb="FF000000"/>
            </x14:dataBar>
          </x14:cfRule>
          <xm:sqref>H15</xm:sqref>
        </x14:conditionalFormatting>
        <x14:conditionalFormatting xmlns:xm="http://schemas.microsoft.com/office/excel/2006/main">
          <x14:cfRule type="dataBar" id="{8A0FC972-E9C5-456E-B171-44CEF3A11DAF}">
            <x14:dataBar minLength="0" maxLength="100" gradient="0">
              <x14:cfvo type="num">
                <xm:f>0</xm:f>
              </x14:cfvo>
              <x14:cfvo type="num">
                <xm:f>1</xm:f>
              </x14:cfvo>
              <x14:negativeFillColor rgb="FFFF0000"/>
              <x14:axisColor rgb="FF000000"/>
            </x14:dataBar>
          </x14:cfRule>
          <xm:sqref>H16</xm:sqref>
        </x14:conditionalFormatting>
        <x14:conditionalFormatting xmlns:xm="http://schemas.microsoft.com/office/excel/2006/main">
          <x14:cfRule type="dataBar" id="{E031BC06-22B7-4628-BB42-6BBEC0C7FED9}">
            <x14:dataBar minLength="0" maxLength="100" gradient="0">
              <x14:cfvo type="num">
                <xm:f>0</xm:f>
              </x14:cfvo>
              <x14:cfvo type="num">
                <xm:f>1</xm:f>
              </x14:cfvo>
              <x14:negativeFillColor rgb="FFFF0000"/>
              <x14:axisColor rgb="FF000000"/>
            </x14:dataBar>
          </x14:cfRule>
          <xm:sqref>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GanttChart</vt:lpstr>
      <vt:lpstr>GanttChartPro</vt:lpstr>
      <vt:lpstr>Help</vt:lpstr>
      <vt:lpstr>TermsOfUse</vt:lpstr>
      <vt:lpstr>Update Project</vt:lpstr>
      <vt:lpstr>etc</vt:lpstr>
      <vt:lpstr>etc!prevWBS</vt:lpstr>
      <vt:lpstr>GanttChart!prevWBS</vt:lpstr>
      <vt:lpstr>GanttChart!Print_Area</vt:lpstr>
      <vt:lpstr>GanttChartPro!Print_Area</vt:lpstr>
      <vt:lpstr>GanttChart!Print_Titles</vt:lpstr>
    </vt:vector>
  </TitlesOfParts>
  <Company>Vertex42 LLC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BC</cp:lastModifiedBy>
  <cp:lastPrinted>2025-11-24T02:54:00Z</cp:lastPrinted>
  <dcterms:created xsi:type="dcterms:W3CDTF">2010-06-09T16:05:00Z</dcterms:created>
  <dcterms:modified xsi:type="dcterms:W3CDTF">2026-03-12T01:32:44Z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89D1A92380FC4DD99C65273B46E79D1C_13</vt:lpwstr>
  </property>
  <property fmtid="{D5CDD505-2E9C-101B-9397-08002B2CF9AE}" pid="6" name="KSOProductBuildVer">
    <vt:lpwstr>1033-12.1.0.25242</vt:lpwstr>
  </property>
  <property fmtid="{D5CDD505-2E9C-101B-9397-08002B2CF9AE}" pid="7" name="CalculationRule">
    <vt:i4>0</vt:i4>
  </property>
</Properties>
</file>